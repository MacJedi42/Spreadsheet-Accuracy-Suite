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135" windowWidth="11340" windowHeight="5835" tabRatio="603" firstSheet="1" activeTab="1"/>
  </bookViews>
  <sheets>
    <sheet name="Fund Balance" sheetId="19" state="hidden" r:id="rId1"/>
    <sheet name="FB Graphs" sheetId="20" r:id="rId2"/>
  </sheets>
  <externalReferences>
    <externalReference r:id="rId3"/>
  </externalReferences>
  <definedNames>
    <definedName name="_xlnm.Print_Area" localSheetId="1">'FB Graphs'!$A$1:$J$64</definedName>
    <definedName name="_xlnm.Print_Area" localSheetId="0">'Fund Balance'!$A$1:$M$15</definedName>
  </definedNames>
  <calcPr calcId="125725"/>
</workbook>
</file>

<file path=xl/calcChain.xml><?xml version="1.0" encoding="utf-8"?>
<calcChain xmlns="http://schemas.openxmlformats.org/spreadsheetml/2006/main">
  <c r="G26" i="20"/>
  <c r="D26"/>
  <c r="C26"/>
  <c r="H26" s="1"/>
  <c r="G24"/>
  <c r="D24"/>
  <c r="C24"/>
  <c r="H24" s="1"/>
  <c r="G23"/>
  <c r="D23"/>
  <c r="C23"/>
  <c r="I23" s="1"/>
  <c r="G22"/>
  <c r="D22"/>
  <c r="C22"/>
  <c r="H22" s="1"/>
  <c r="G21"/>
  <c r="D21"/>
  <c r="C21"/>
  <c r="I21" s="1"/>
  <c r="G20"/>
  <c r="G27" s="1"/>
  <c r="D20"/>
  <c r="D27" s="1"/>
  <c r="C20"/>
  <c r="H20" s="1"/>
  <c r="G12"/>
  <c r="D12"/>
  <c r="C12"/>
  <c r="I12" s="1"/>
  <c r="G11"/>
  <c r="D11"/>
  <c r="C11"/>
  <c r="H11" s="1"/>
  <c r="G10"/>
  <c r="D10"/>
  <c r="C10"/>
  <c r="I10" s="1"/>
  <c r="G9"/>
  <c r="D9"/>
  <c r="C9"/>
  <c r="H9" s="1"/>
  <c r="G8"/>
  <c r="D8"/>
  <c r="C8"/>
  <c r="I8" s="1"/>
  <c r="G7"/>
  <c r="D7"/>
  <c r="C7"/>
  <c r="H7" s="1"/>
  <c r="G6"/>
  <c r="D6"/>
  <c r="C6"/>
  <c r="I6" s="1"/>
  <c r="G5"/>
  <c r="G13" s="1"/>
  <c r="D5"/>
  <c r="D13" s="1"/>
  <c r="C5"/>
  <c r="H5" s="1"/>
  <c r="E20" l="1"/>
  <c r="I20"/>
  <c r="F21"/>
  <c r="H21"/>
  <c r="E22"/>
  <c r="I22"/>
  <c r="F23"/>
  <c r="H23"/>
  <c r="E24"/>
  <c r="I24"/>
  <c r="E26"/>
  <c r="C27"/>
  <c r="F20"/>
  <c r="E21"/>
  <c r="F22"/>
  <c r="E23"/>
  <c r="F24"/>
  <c r="F26"/>
  <c r="E5"/>
  <c r="I5"/>
  <c r="F6"/>
  <c r="H6"/>
  <c r="E7"/>
  <c r="I7"/>
  <c r="F8"/>
  <c r="H8"/>
  <c r="E9"/>
  <c r="I9"/>
  <c r="F10"/>
  <c r="H10"/>
  <c r="E11"/>
  <c r="I11"/>
  <c r="F12"/>
  <c r="H12"/>
  <c r="C13"/>
  <c r="F5"/>
  <c r="E6"/>
  <c r="F7"/>
  <c r="E8"/>
  <c r="F9"/>
  <c r="E10"/>
  <c r="F11"/>
  <c r="E12"/>
  <c r="H27" l="1"/>
  <c r="F27"/>
  <c r="I27"/>
  <c r="E27"/>
  <c r="H13"/>
  <c r="F13"/>
  <c r="I13"/>
  <c r="E13"/>
</calcChain>
</file>

<file path=xl/sharedStrings.xml><?xml version="1.0" encoding="utf-8"?>
<sst xmlns="http://schemas.openxmlformats.org/spreadsheetml/2006/main" count="90" uniqueCount="60">
  <si>
    <t>Total revenues</t>
  </si>
  <si>
    <t>Total expenditures</t>
  </si>
  <si>
    <t>Actual</t>
  </si>
  <si>
    <t>Projected</t>
  </si>
  <si>
    <t>Property Tax</t>
  </si>
  <si>
    <t>Sales Tax</t>
  </si>
  <si>
    <t>Franchise Tax</t>
  </si>
  <si>
    <t>Total</t>
  </si>
  <si>
    <t>Budget</t>
  </si>
  <si>
    <t>Net change in fund balance</t>
  </si>
  <si>
    <t>FY12</t>
  </si>
  <si>
    <t>FY11</t>
  </si>
  <si>
    <t>FY10</t>
  </si>
  <si>
    <t>FY13</t>
  </si>
  <si>
    <t>FY14</t>
  </si>
  <si>
    <t>FY15</t>
  </si>
  <si>
    <t>FY16</t>
  </si>
  <si>
    <t>FY17</t>
  </si>
  <si>
    <t>FY07</t>
  </si>
  <si>
    <t>FY08</t>
  </si>
  <si>
    <t>FY09</t>
  </si>
  <si>
    <t>GENERAL FUND BALANCE</t>
  </si>
  <si>
    <t>Ending Fund Balance</t>
  </si>
  <si>
    <t>Beginning Fund Balance</t>
  </si>
  <si>
    <t xml:space="preserve">   Net Change in FB</t>
  </si>
  <si>
    <t xml:space="preserve">   Revenues - Expenditures</t>
  </si>
  <si>
    <t xml:space="preserve">   Ending FB as a % of exp</t>
  </si>
  <si>
    <t>Actual*</t>
  </si>
  <si>
    <t>*Unaudited</t>
  </si>
  <si>
    <t>Check 001 301.000</t>
  </si>
  <si>
    <t>Fund Balance a/o:</t>
  </si>
  <si>
    <t>FY12 Bud</t>
  </si>
  <si>
    <t>FY12 Proj</t>
  </si>
  <si>
    <t>GENERAL FUND REVENUES FOR FY2012</t>
  </si>
  <si>
    <t>Variance Actual to Budget</t>
  </si>
  <si>
    <t xml:space="preserve">Variance Actual to Prior Year </t>
  </si>
  <si>
    <t>Revenue Type</t>
  </si>
  <si>
    <t>Actual YTD</t>
  </si>
  <si>
    <t>Budget YTD</t>
  </si>
  <si>
    <t>$</t>
  </si>
  <si>
    <t>%</t>
  </si>
  <si>
    <t>Prior Year YTD</t>
  </si>
  <si>
    <t>Other Taxes</t>
  </si>
  <si>
    <t>Vehicles Tax</t>
  </si>
  <si>
    <t>Payment for G &amp; A</t>
  </si>
  <si>
    <t>Licenses, Permits &amp; Fees</t>
  </si>
  <si>
    <t>Intergovernment</t>
  </si>
  <si>
    <t>GENERAL FUND EXPENDITURES FOR FY2012</t>
  </si>
  <si>
    <t>Expenditure Type</t>
  </si>
  <si>
    <t>Actual YTD*</t>
  </si>
  <si>
    <t>Personal Services</t>
  </si>
  <si>
    <t>Other Services</t>
  </si>
  <si>
    <t>Maintenance &amp; Repair</t>
  </si>
  <si>
    <t>Utilities &amp; Fuel</t>
  </si>
  <si>
    <t>Supplies</t>
  </si>
  <si>
    <t>Transfers</t>
  </si>
  <si>
    <t>Capital Equipment</t>
  </si>
  <si>
    <t>25% required fund balance</t>
  </si>
  <si>
    <t>* Includes encumbrances</t>
  </si>
  <si>
    <t>FY12 MONTHLY FINANCIAL REPORT - DECEMBER 2011</t>
  </si>
</sst>
</file>

<file path=xl/styles.xml><?xml version="1.0" encoding="utf-8"?>
<styleSheet xmlns="http://schemas.openxmlformats.org/spreadsheetml/2006/main">
  <numFmts count="8">
    <numFmt numFmtId="5" formatCode="&quot;$&quot;#,##0_);\(&quot;$&quot;#,##0\)"/>
    <numFmt numFmtId="44" formatCode="_(&quot;$&quot;* #,##0.00_);_(&quot;$&quot;* \(#,##0.00\);_(&quot;$&quot;* &quot;-&quot;??_);_(@_)"/>
    <numFmt numFmtId="164" formatCode="#,##0\ ;\(#,##0\);\-\ \ \ \ \ "/>
    <numFmt numFmtId="165" formatCode="#,##0\ ;\(#,##0\);\–\ \ \ \ \ "/>
    <numFmt numFmtId="166" formatCode="#,##0\ \ \ ;[Red]\(#,##0\)\ \ ;\—\ \ \ \ "/>
    <numFmt numFmtId="167" formatCode="_(&quot;$&quot;* #,##0_);_(&quot;$&quot;* \(#,##0\);_(&quot;$&quot;* &quot;-&quot;??_);_(@_)"/>
    <numFmt numFmtId="168" formatCode="&quot;$&quot;#,##0"/>
    <numFmt numFmtId="169" formatCode="0.0%"/>
  </numFmts>
  <fonts count="21">
    <font>
      <sz val="10"/>
      <name val="Arial"/>
    </font>
    <font>
      <sz val="10"/>
      <name val="Arial"/>
      <family val="2"/>
    </font>
    <font>
      <sz val="11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0"/>
      <name val="Calibri"/>
      <family val="2"/>
      <scheme val="minor"/>
    </font>
    <font>
      <u val="singleAccounting"/>
      <sz val="8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u/>
      <sz val="8"/>
      <color theme="0"/>
      <name val="Calibri"/>
      <family val="2"/>
      <scheme val="minor"/>
    </font>
    <font>
      <u/>
      <sz val="8"/>
      <name val="Calibri"/>
      <family val="2"/>
      <scheme val="minor"/>
    </font>
    <font>
      <sz val="7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164" fontId="2" fillId="0" borderId="1" applyNumberFormat="0" applyFill="0" applyAlignment="0" applyProtection="0">
      <alignment horizontal="center"/>
    </xf>
    <xf numFmtId="165" fontId="2" fillId="0" borderId="2" applyFill="0" applyAlignment="0" applyProtection="0">
      <alignment horizontal="center"/>
    </xf>
    <xf numFmtId="44" fontId="1" fillId="0" borderId="0" applyFont="0" applyFill="0" applyBorder="0" applyAlignment="0" applyProtection="0"/>
    <xf numFmtId="0" fontId="2" fillId="0" borderId="0" applyNumberFormat="0" applyFill="0" applyAlignment="0" applyProtection="0"/>
    <xf numFmtId="166" fontId="2" fillId="0" borderId="0" applyFill="0" applyBorder="0" applyProtection="0"/>
    <xf numFmtId="9" fontId="1" fillId="0" borderId="0" applyFont="0" applyFill="0" applyBorder="0" applyAlignment="0" applyProtection="0"/>
    <xf numFmtId="0" fontId="2" fillId="0" borderId="2" applyNumberFormat="0" applyFill="0" applyAlignment="0" applyProtection="0"/>
    <xf numFmtId="0" fontId="1" fillId="0" borderId="0"/>
  </cellStyleXfs>
  <cellXfs count="109">
    <xf numFmtId="0" fontId="0" fillId="0" borderId="0" xfId="0"/>
    <xf numFmtId="0" fontId="3" fillId="0" borderId="0" xfId="0" applyFont="1"/>
    <xf numFmtId="167" fontId="3" fillId="0" borderId="0" xfId="3" applyNumberFormat="1" applyFont="1"/>
    <xf numFmtId="0" fontId="3" fillId="0" borderId="0" xfId="0" applyFont="1" applyAlignment="1">
      <alignment horizontal="left" wrapText="1"/>
    </xf>
    <xf numFmtId="0" fontId="1" fillId="0" borderId="0" xfId="0" applyFont="1"/>
    <xf numFmtId="167" fontId="4" fillId="0" borderId="0" xfId="3" applyNumberFormat="1" applyFont="1" applyAlignment="1">
      <alignment horizontal="center"/>
    </xf>
    <xf numFmtId="167" fontId="4" fillId="0" borderId="0" xfId="3" applyNumberFormat="1" applyFont="1"/>
    <xf numFmtId="0" fontId="7" fillId="0" borderId="12" xfId="0" applyFont="1" applyFill="1" applyBorder="1" applyAlignment="1"/>
    <xf numFmtId="0" fontId="7" fillId="0" borderId="9" xfId="0" applyFont="1" applyFill="1" applyBorder="1" applyAlignment="1"/>
    <xf numFmtId="0" fontId="8" fillId="3" borderId="2" xfId="0" applyFont="1" applyFill="1" applyBorder="1" applyAlignment="1">
      <alignment horizontal="center"/>
    </xf>
    <xf numFmtId="0" fontId="0" fillId="3" borderId="0" xfId="0" applyFill="1"/>
    <xf numFmtId="0" fontId="8" fillId="3" borderId="0" xfId="0" applyFont="1" applyFill="1" applyBorder="1" applyAlignment="1">
      <alignment horizontal="center"/>
    </xf>
    <xf numFmtId="0" fontId="0" fillId="3" borderId="2" xfId="0" applyFill="1" applyBorder="1"/>
    <xf numFmtId="0" fontId="5" fillId="4" borderId="0" xfId="0" applyFont="1" applyFill="1"/>
    <xf numFmtId="167" fontId="6" fillId="4" borderId="0" xfId="3" applyNumberFormat="1" applyFont="1" applyFill="1"/>
    <xf numFmtId="0" fontId="6" fillId="4" borderId="0" xfId="0" applyFont="1" applyFill="1" applyBorder="1"/>
    <xf numFmtId="0" fontId="3" fillId="5" borderId="8" xfId="0" applyFont="1" applyFill="1" applyBorder="1"/>
    <xf numFmtId="167" fontId="3" fillId="5" borderId="8" xfId="0" applyNumberFormat="1" applyFont="1" applyFill="1" applyBorder="1"/>
    <xf numFmtId="167" fontId="9" fillId="0" borderId="0" xfId="3" applyNumberFormat="1" applyFont="1"/>
    <xf numFmtId="10" fontId="3" fillId="0" borderId="0" xfId="0" applyNumberFormat="1" applyFont="1"/>
    <xf numFmtId="169" fontId="3" fillId="0" borderId="0" xfId="6" applyNumberFormat="1" applyFont="1"/>
    <xf numFmtId="14" fontId="3" fillId="0" borderId="0" xfId="0" applyNumberFormat="1" applyFont="1" applyAlignment="1">
      <alignment horizontal="right"/>
    </xf>
    <xf numFmtId="0" fontId="0" fillId="4" borderId="0" xfId="0" applyFill="1"/>
    <xf numFmtId="0" fontId="3" fillId="0" borderId="0" xfId="0" applyFont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13" fillId="8" borderId="15" xfId="8" applyFont="1" applyFill="1" applyBorder="1" applyAlignment="1">
      <alignment horizontal="left"/>
    </xf>
    <xf numFmtId="0" fontId="14" fillId="9" borderId="12" xfId="8" applyFont="1" applyFill="1" applyBorder="1"/>
    <xf numFmtId="0" fontId="16" fillId="9" borderId="16" xfId="8" applyFont="1" applyFill="1" applyBorder="1" applyAlignment="1">
      <alignment horizontal="center" vertical="center" wrapText="1"/>
    </xf>
    <xf numFmtId="0" fontId="13" fillId="8" borderId="13" xfId="8" applyFont="1" applyFill="1" applyBorder="1" applyAlignment="1">
      <alignment horizontal="left"/>
    </xf>
    <xf numFmtId="0" fontId="16" fillId="9" borderId="18" xfId="8" applyFont="1" applyFill="1" applyBorder="1" applyAlignment="1">
      <alignment horizontal="center"/>
    </xf>
    <xf numFmtId="0" fontId="16" fillId="9" borderId="19" xfId="8" applyFont="1" applyFill="1" applyBorder="1" applyAlignment="1">
      <alignment horizontal="center" wrapText="1"/>
    </xf>
    <xf numFmtId="0" fontId="16" fillId="9" borderId="1" xfId="8" applyFont="1" applyFill="1" applyBorder="1" applyAlignment="1">
      <alignment horizontal="center" wrapText="1"/>
    </xf>
    <xf numFmtId="0" fontId="16" fillId="9" borderId="19" xfId="8" applyFont="1" applyFill="1" applyBorder="1" applyAlignment="1">
      <alignment horizontal="center" vertical="center" wrapText="1"/>
    </xf>
    <xf numFmtId="0" fontId="16" fillId="9" borderId="20" xfId="8" applyFont="1" applyFill="1" applyBorder="1" applyAlignment="1">
      <alignment horizontal="center" wrapText="1"/>
    </xf>
    <xf numFmtId="0" fontId="17" fillId="8" borderId="21" xfId="8" applyFont="1" applyFill="1" applyBorder="1"/>
    <xf numFmtId="168" fontId="14" fillId="0" borderId="22" xfId="8" applyNumberFormat="1" applyFont="1" applyFill="1" applyBorder="1"/>
    <xf numFmtId="168" fontId="14" fillId="0" borderId="0" xfId="8" applyNumberFormat="1" applyFont="1" applyFill="1" applyBorder="1"/>
    <xf numFmtId="5" fontId="14" fillId="0" borderId="10" xfId="8" applyNumberFormat="1" applyFont="1" applyFill="1" applyBorder="1" applyAlignment="1">
      <alignment horizontal="right" indent="2"/>
    </xf>
    <xf numFmtId="168" fontId="14" fillId="0" borderId="22" xfId="8" applyNumberFormat="1" applyFont="1" applyFill="1" applyBorder="1" applyAlignment="1">
      <alignment horizontal="right" indent="2"/>
    </xf>
    <xf numFmtId="168" fontId="14" fillId="0" borderId="0" xfId="8" applyNumberFormat="1" applyFont="1" applyFill="1" applyBorder="1" applyAlignment="1">
      <alignment horizontal="right" indent="3"/>
    </xf>
    <xf numFmtId="0" fontId="18" fillId="8" borderId="21" xfId="8" applyFont="1" applyFill="1" applyBorder="1"/>
    <xf numFmtId="0" fontId="17" fillId="8" borderId="13" xfId="8" applyFont="1" applyFill="1" applyBorder="1" applyAlignment="1">
      <alignment horizontal="left" indent="1"/>
    </xf>
    <xf numFmtId="168" fontId="16" fillId="0" borderId="18" xfId="8" applyNumberFormat="1" applyFont="1" applyFill="1" applyBorder="1"/>
    <xf numFmtId="168" fontId="16" fillId="0" borderId="1" xfId="8" applyNumberFormat="1" applyFont="1" applyFill="1" applyBorder="1"/>
    <xf numFmtId="5" fontId="16" fillId="0" borderId="19" xfId="8" applyNumberFormat="1" applyFont="1" applyFill="1" applyBorder="1" applyAlignment="1">
      <alignment horizontal="right" indent="2"/>
    </xf>
    <xf numFmtId="168" fontId="16" fillId="0" borderId="18" xfId="8" applyNumberFormat="1" applyFont="1" applyFill="1" applyBorder="1" applyAlignment="1">
      <alignment horizontal="right" indent="2"/>
    </xf>
    <xf numFmtId="168" fontId="16" fillId="0" borderId="1" xfId="8" applyNumberFormat="1" applyFont="1" applyFill="1" applyBorder="1" applyAlignment="1">
      <alignment horizontal="right" indent="3"/>
    </xf>
    <xf numFmtId="168" fontId="14" fillId="0" borderId="24" xfId="8" applyNumberFormat="1" applyFont="1" applyFill="1" applyBorder="1" applyAlignment="1">
      <alignment horizontal="right" indent="2"/>
    </xf>
    <xf numFmtId="168" fontId="19" fillId="0" borderId="22" xfId="8" applyNumberFormat="1" applyFont="1" applyFill="1" applyBorder="1"/>
    <xf numFmtId="168" fontId="19" fillId="0" borderId="0" xfId="8" applyNumberFormat="1" applyFont="1" applyFill="1" applyBorder="1"/>
    <xf numFmtId="5" fontId="19" fillId="0" borderId="10" xfId="8" applyNumberFormat="1" applyFont="1" applyFill="1" applyBorder="1" applyAlignment="1">
      <alignment horizontal="right" indent="2"/>
    </xf>
    <xf numFmtId="168" fontId="19" fillId="0" borderId="22" xfId="8" applyNumberFormat="1" applyFont="1" applyFill="1" applyBorder="1" applyAlignment="1">
      <alignment horizontal="right" indent="2"/>
    </xf>
    <xf numFmtId="168" fontId="19" fillId="0" borderId="0" xfId="8" applyNumberFormat="1" applyFont="1" applyFill="1" applyBorder="1" applyAlignment="1">
      <alignment horizontal="right" indent="3"/>
    </xf>
    <xf numFmtId="0" fontId="10" fillId="6" borderId="0" xfId="0" applyFont="1" applyFill="1" applyAlignment="1"/>
    <xf numFmtId="169" fontId="19" fillId="0" borderId="0" xfId="8" applyNumberFormat="1" applyFont="1" applyFill="1" applyBorder="1" applyAlignment="1">
      <alignment horizontal="center"/>
    </xf>
    <xf numFmtId="0" fontId="16" fillId="6" borderId="0" xfId="8" applyFont="1" applyFill="1" applyAlignment="1">
      <alignment horizontal="left" indent="1"/>
    </xf>
    <xf numFmtId="168" fontId="16" fillId="6" borderId="0" xfId="8" applyNumberFormat="1" applyFont="1" applyFill="1"/>
    <xf numFmtId="169" fontId="16" fillId="6" borderId="0" xfId="8" applyNumberFormat="1" applyFont="1" applyFill="1" applyAlignment="1">
      <alignment horizontal="center"/>
    </xf>
    <xf numFmtId="168" fontId="16" fillId="6" borderId="0" xfId="8" applyNumberFormat="1" applyFont="1" applyFill="1" applyAlignment="1">
      <alignment horizontal="right" vertical="center"/>
    </xf>
    <xf numFmtId="168" fontId="16" fillId="6" borderId="0" xfId="8" applyNumberFormat="1" applyFont="1" applyFill="1" applyAlignment="1">
      <alignment horizontal="center" vertical="center"/>
    </xf>
    <xf numFmtId="0" fontId="20" fillId="6" borderId="0" xfId="0" applyFont="1" applyFill="1"/>
    <xf numFmtId="0" fontId="7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15" fillId="9" borderId="16" xfId="8" applyFont="1" applyFill="1" applyBorder="1" applyAlignment="1">
      <alignment horizontal="center" wrapText="1"/>
    </xf>
    <xf numFmtId="0" fontId="15" fillId="9" borderId="17" xfId="8" applyFont="1" applyFill="1" applyBorder="1" applyAlignment="1">
      <alignment horizontal="center" wrapText="1"/>
    </xf>
    <xf numFmtId="0" fontId="11" fillId="7" borderId="3" xfId="8" applyFont="1" applyFill="1" applyBorder="1" applyAlignment="1">
      <alignment horizontal="center" vertical="center"/>
    </xf>
    <xf numFmtId="0" fontId="11" fillId="7" borderId="8" xfId="8" applyFont="1" applyFill="1" applyBorder="1" applyAlignment="1">
      <alignment horizontal="center" vertical="center"/>
    </xf>
    <xf numFmtId="0" fontId="11" fillId="7" borderId="4" xfId="8" applyFont="1" applyFill="1" applyBorder="1" applyAlignment="1">
      <alignment horizontal="center" vertical="center"/>
    </xf>
    <xf numFmtId="0" fontId="12" fillId="8" borderId="5" xfId="8" applyFont="1" applyFill="1" applyBorder="1" applyAlignment="1">
      <alignment horizontal="center"/>
    </xf>
    <xf numFmtId="0" fontId="12" fillId="8" borderId="6" xfId="8" applyFont="1" applyFill="1" applyBorder="1" applyAlignment="1">
      <alignment horizontal="center"/>
    </xf>
    <xf numFmtId="0" fontId="12" fillId="8" borderId="7" xfId="8" applyFont="1" applyFill="1" applyBorder="1" applyAlignment="1">
      <alignment horizontal="center"/>
    </xf>
    <xf numFmtId="0" fontId="0" fillId="0" borderId="0" xfId="0" applyFill="1" applyBorder="1"/>
    <xf numFmtId="0" fontId="10" fillId="0" borderId="0" xfId="0" applyFont="1" applyFill="1" applyBorder="1" applyAlignment="1"/>
    <xf numFmtId="0" fontId="4" fillId="0" borderId="0" xfId="0" applyFont="1" applyFill="1" applyBorder="1" applyAlignment="1"/>
    <xf numFmtId="0" fontId="18" fillId="0" borderId="0" xfId="8" applyFont="1" applyFill="1" applyBorder="1"/>
    <xf numFmtId="5" fontId="19" fillId="0" borderId="0" xfId="8" applyNumberFormat="1" applyFont="1" applyFill="1" applyBorder="1" applyAlignment="1">
      <alignment horizontal="right" indent="2"/>
    </xf>
    <xf numFmtId="168" fontId="19" fillId="0" borderId="0" xfId="8" applyNumberFormat="1" applyFont="1" applyFill="1" applyBorder="1" applyAlignment="1">
      <alignment horizontal="right" indent="2"/>
    </xf>
    <xf numFmtId="0" fontId="17" fillId="0" borderId="0" xfId="8" applyFont="1" applyFill="1" applyBorder="1" applyAlignment="1">
      <alignment horizontal="left" indent="1"/>
    </xf>
    <xf numFmtId="168" fontId="16" fillId="0" borderId="0" xfId="8" applyNumberFormat="1" applyFont="1" applyFill="1" applyBorder="1"/>
    <xf numFmtId="5" fontId="16" fillId="0" borderId="0" xfId="8" applyNumberFormat="1" applyFont="1" applyFill="1" applyBorder="1" applyAlignment="1">
      <alignment horizontal="right" indent="2"/>
    </xf>
    <xf numFmtId="169" fontId="16" fillId="0" borderId="0" xfId="8" applyNumberFormat="1" applyFont="1" applyFill="1" applyBorder="1" applyAlignment="1">
      <alignment horizontal="center"/>
    </xf>
    <xf numFmtId="168" fontId="16" fillId="0" borderId="0" xfId="8" applyNumberFormat="1" applyFont="1" applyFill="1" applyBorder="1" applyAlignment="1">
      <alignment horizontal="right" indent="2"/>
    </xf>
    <xf numFmtId="168" fontId="16" fillId="0" borderId="0" xfId="8" applyNumberFormat="1" applyFont="1" applyFill="1" applyBorder="1" applyAlignment="1">
      <alignment horizontal="right" indent="3"/>
    </xf>
    <xf numFmtId="0" fontId="12" fillId="8" borderId="13" xfId="8" applyFont="1" applyFill="1" applyBorder="1" applyAlignment="1">
      <alignment horizontal="center" wrapText="1"/>
    </xf>
    <xf numFmtId="0" fontId="12" fillId="8" borderId="1" xfId="8" applyFont="1" applyFill="1" applyBorder="1" applyAlignment="1">
      <alignment horizontal="center"/>
    </xf>
    <xf numFmtId="0" fontId="12" fillId="8" borderId="14" xfId="8" applyFont="1" applyFill="1" applyBorder="1" applyAlignment="1">
      <alignment horizontal="center"/>
    </xf>
    <xf numFmtId="169" fontId="14" fillId="0" borderId="0" xfId="8" applyNumberFormat="1" applyFont="1" applyFill="1" applyBorder="1" applyAlignment="1">
      <alignment horizontal="right" indent="4"/>
    </xf>
    <xf numFmtId="169" fontId="14" fillId="0" borderId="23" xfId="8" applyNumberFormat="1" applyFont="1" applyFill="1" applyBorder="1" applyAlignment="1">
      <alignment horizontal="right" indent="4"/>
    </xf>
    <xf numFmtId="168" fontId="14" fillId="7" borderId="22" xfId="8" applyNumberFormat="1" applyFont="1" applyFill="1" applyBorder="1"/>
    <xf numFmtId="168" fontId="14" fillId="7" borderId="0" xfId="8" applyNumberFormat="1" applyFont="1" applyFill="1" applyBorder="1"/>
    <xf numFmtId="5" fontId="14" fillId="7" borderId="10" xfId="8" applyNumberFormat="1" applyFont="1" applyFill="1" applyBorder="1" applyAlignment="1">
      <alignment horizontal="right" indent="2"/>
    </xf>
    <xf numFmtId="169" fontId="14" fillId="7" borderId="0" xfId="8" applyNumberFormat="1" applyFont="1" applyFill="1" applyBorder="1" applyAlignment="1">
      <alignment horizontal="right" indent="4"/>
    </xf>
    <xf numFmtId="168" fontId="14" fillId="7" borderId="22" xfId="8" applyNumberFormat="1" applyFont="1" applyFill="1" applyBorder="1" applyAlignment="1">
      <alignment horizontal="right" indent="2"/>
    </xf>
    <xf numFmtId="168" fontId="14" fillId="7" borderId="0" xfId="8" applyNumberFormat="1" applyFont="1" applyFill="1" applyBorder="1" applyAlignment="1">
      <alignment horizontal="right" indent="3"/>
    </xf>
    <xf numFmtId="169" fontId="14" fillId="7" borderId="23" xfId="8" applyNumberFormat="1" applyFont="1" applyFill="1" applyBorder="1" applyAlignment="1">
      <alignment horizontal="right" indent="4"/>
    </xf>
    <xf numFmtId="169" fontId="16" fillId="0" borderId="1" xfId="8" applyNumberFormat="1" applyFont="1" applyFill="1" applyBorder="1" applyAlignment="1">
      <alignment horizontal="right" indent="4"/>
    </xf>
    <xf numFmtId="169" fontId="16" fillId="0" borderId="14" xfId="8" applyNumberFormat="1" applyFont="1" applyFill="1" applyBorder="1" applyAlignment="1">
      <alignment horizontal="right" indent="4"/>
    </xf>
    <xf numFmtId="0" fontId="17" fillId="8" borderId="11" xfId="8" applyFont="1" applyFill="1" applyBorder="1"/>
    <xf numFmtId="169" fontId="19" fillId="0" borderId="0" xfId="8" applyNumberFormat="1" applyFont="1" applyFill="1" applyBorder="1" applyAlignment="1">
      <alignment horizontal="right" indent="4"/>
    </xf>
    <xf numFmtId="169" fontId="19" fillId="0" borderId="23" xfId="8" applyNumberFormat="1" applyFont="1" applyFill="1" applyBorder="1" applyAlignment="1">
      <alignment horizontal="right" indent="4"/>
    </xf>
    <xf numFmtId="168" fontId="14" fillId="7" borderId="18" xfId="8" applyNumberFormat="1" applyFont="1" applyFill="1" applyBorder="1"/>
    <xf numFmtId="168" fontId="14" fillId="7" borderId="1" xfId="8" applyNumberFormat="1" applyFont="1" applyFill="1" applyBorder="1"/>
    <xf numFmtId="5" fontId="14" fillId="7" borderId="19" xfId="8" applyNumberFormat="1" applyFont="1" applyFill="1" applyBorder="1" applyAlignment="1">
      <alignment horizontal="right" indent="2"/>
    </xf>
    <xf numFmtId="169" fontId="14" fillId="7" borderId="1" xfId="8" applyNumberFormat="1" applyFont="1" applyFill="1" applyBorder="1" applyAlignment="1">
      <alignment horizontal="right" indent="4"/>
    </xf>
    <xf numFmtId="168" fontId="14" fillId="7" borderId="18" xfId="8" applyNumberFormat="1" applyFont="1" applyFill="1" applyBorder="1" applyAlignment="1">
      <alignment horizontal="right" indent="2"/>
    </xf>
    <xf numFmtId="168" fontId="14" fillId="7" borderId="1" xfId="8" applyNumberFormat="1" applyFont="1" applyFill="1" applyBorder="1" applyAlignment="1">
      <alignment horizontal="right" indent="3"/>
    </xf>
    <xf numFmtId="169" fontId="14" fillId="7" borderId="14" xfId="8" applyNumberFormat="1" applyFont="1" applyFill="1" applyBorder="1" applyAlignment="1">
      <alignment horizontal="right" indent="4"/>
    </xf>
  </cellXfs>
  <cellStyles count="9">
    <cellStyle name="Bottom bold border" xfId="1"/>
    <cellStyle name="Bottom single border" xfId="2"/>
    <cellStyle name="Currency" xfId="3" builtinId="4"/>
    <cellStyle name="No Border" xfId="4"/>
    <cellStyle name="Normal" xfId="0" builtinId="0"/>
    <cellStyle name="Normal 2" xfId="8"/>
    <cellStyle name="Number" xfId="5"/>
    <cellStyle name="Percent" xfId="6" builtinId="5"/>
    <cellStyle name="Single Border" xfId="7"/>
  </cellStyles>
  <dxfs count="1">
    <dxf>
      <font>
        <color theme="5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General Fund Revenues and Expenditures</a:t>
            </a:r>
          </a:p>
        </c:rich>
      </c:tx>
      <c:layout>
        <c:manualLayout>
          <c:xMode val="edge"/>
          <c:yMode val="edge"/>
          <c:x val="0.25906316925108286"/>
          <c:y val="2.4125788624248048E-2"/>
        </c:manualLayout>
      </c:layout>
    </c:title>
    <c:plotArea>
      <c:layout>
        <c:manualLayout>
          <c:layoutTarget val="inner"/>
          <c:xMode val="edge"/>
          <c:yMode val="edge"/>
          <c:x val="0.121872170956335"/>
          <c:y val="0.14656167979002624"/>
          <c:w val="0.8391009564096874"/>
          <c:h val="0.62700133252574308"/>
        </c:manualLayout>
      </c:layout>
      <c:lineChart>
        <c:grouping val="standard"/>
        <c:ser>
          <c:idx val="0"/>
          <c:order val="0"/>
          <c:tx>
            <c:strRef>
              <c:f>'Fund Balance'!$A$4</c:f>
              <c:strCache>
                <c:ptCount val="1"/>
                <c:pt idx="0">
                  <c:v>Total revenues</c:v>
                </c:pt>
              </c:strCache>
            </c:strRef>
          </c:tx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1">
                  <a:lumMod val="75000"/>
                </a:schemeClr>
              </a:solidFill>
            </c:spPr>
          </c:marker>
          <c:dPt>
            <c:idx val="6"/>
            <c:spPr>
              <a:ln>
                <a:solidFill>
                  <a:schemeClr val="accent1">
                    <a:lumMod val="50000"/>
                  </a:schemeClr>
                </a:solidFill>
                <a:prstDash val="sysDot"/>
              </a:ln>
            </c:spPr>
          </c:dPt>
          <c:dPt>
            <c:idx val="7"/>
            <c:spPr>
              <a:ln>
                <a:solidFill>
                  <a:schemeClr val="accent1">
                    <a:lumMod val="50000"/>
                  </a:schemeClr>
                </a:solidFill>
                <a:prstDash val="sysDot"/>
              </a:ln>
            </c:spPr>
          </c:dPt>
          <c:dPt>
            <c:idx val="8"/>
            <c:spPr>
              <a:ln>
                <a:solidFill>
                  <a:schemeClr val="accent1">
                    <a:lumMod val="50000"/>
                  </a:schemeClr>
                </a:solidFill>
                <a:prstDash val="sysDot"/>
              </a:ln>
            </c:spPr>
          </c:dPt>
          <c:dPt>
            <c:idx val="9"/>
            <c:spPr>
              <a:ln>
                <a:solidFill>
                  <a:schemeClr val="accent1">
                    <a:lumMod val="50000"/>
                  </a:schemeClr>
                </a:solidFill>
                <a:prstDash val="sysDot"/>
              </a:ln>
            </c:spPr>
          </c:dPt>
          <c:dPt>
            <c:idx val="10"/>
            <c:spPr>
              <a:ln>
                <a:solidFill>
                  <a:schemeClr val="accent1">
                    <a:lumMod val="50000"/>
                  </a:schemeClr>
                </a:solidFill>
                <a:prstDash val="sysDot"/>
              </a:ln>
            </c:spPr>
          </c:dPt>
          <c:cat>
            <c:strRef>
              <c:f>'Fund Balance'!$B$28:$M$28</c:f>
              <c:strCache>
                <c:ptCount val="11"/>
                <c:pt idx="0">
                  <c:v>FY08</c:v>
                </c:pt>
                <c:pt idx="1">
                  <c:v>FY09</c:v>
                </c:pt>
                <c:pt idx="2">
                  <c:v>FY10</c:v>
                </c:pt>
                <c:pt idx="3">
                  <c:v>FY11</c:v>
                </c:pt>
                <c:pt idx="4">
                  <c:v>FY12 Bud</c:v>
                </c:pt>
                <c:pt idx="5">
                  <c:v>FY12 Proj</c:v>
                </c:pt>
                <c:pt idx="6">
                  <c:v>FY13</c:v>
                </c:pt>
                <c:pt idx="7">
                  <c:v>FY14</c:v>
                </c:pt>
                <c:pt idx="8">
                  <c:v>FY15</c:v>
                </c:pt>
                <c:pt idx="9">
                  <c:v>FY16</c:v>
                </c:pt>
                <c:pt idx="10">
                  <c:v>FY17</c:v>
                </c:pt>
              </c:strCache>
            </c:strRef>
          </c:cat>
          <c:val>
            <c:numRef>
              <c:f>'Fund Balance'!$B$4:$M$4</c:f>
              <c:numCache>
                <c:formatCode>_("$"* #,##0_);_("$"* \(#,##0\);_("$"* "-"??_);_(@_)</c:formatCode>
                <c:ptCount val="11"/>
                <c:pt idx="0">
                  <c:v>57527396.860000014</c:v>
                </c:pt>
                <c:pt idx="1">
                  <c:v>55193423.170000002</c:v>
                </c:pt>
                <c:pt idx="2">
                  <c:v>57560029.5</c:v>
                </c:pt>
                <c:pt idx="3">
                  <c:v>58250737.580000006</c:v>
                </c:pt>
                <c:pt idx="4">
                  <c:v>58717136.898300007</c:v>
                </c:pt>
                <c:pt idx="5">
                  <c:v>58717136.898300007</c:v>
                </c:pt>
                <c:pt idx="6">
                  <c:v>60622863.515424252</c:v>
                </c:pt>
                <c:pt idx="7">
                  <c:v>61556318.148564994</c:v>
                </c:pt>
                <c:pt idx="8">
                  <c:v>61503743.994693503</c:v>
                </c:pt>
                <c:pt idx="9">
                  <c:v>62440026.301625557</c:v>
                </c:pt>
                <c:pt idx="10">
                  <c:v>63087542.641489819</c:v>
                </c:pt>
              </c:numCache>
            </c:numRef>
          </c:val>
        </c:ser>
        <c:ser>
          <c:idx val="1"/>
          <c:order val="1"/>
          <c:tx>
            <c:strRef>
              <c:f>'Fund Balance'!$A$5</c:f>
              <c:strCache>
                <c:ptCount val="1"/>
                <c:pt idx="0">
                  <c:v>Total expenditures</c:v>
                </c:pt>
              </c:strCache>
            </c:strRef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3"/>
            <c:spPr>
              <a:solidFill>
                <a:schemeClr val="bg2">
                  <a:lumMod val="50000"/>
                </a:schemeClr>
              </a:solidFill>
              <a:ln>
                <a:solidFill>
                  <a:srgbClr val="EEECE1">
                    <a:lumMod val="50000"/>
                  </a:srgbClr>
                </a:solidFill>
              </a:ln>
            </c:spPr>
          </c:marker>
          <c:dPt>
            <c:idx val="6"/>
            <c:spPr>
              <a:ln>
                <a:solidFill>
                  <a:schemeClr val="bg2">
                    <a:lumMod val="50000"/>
                  </a:schemeClr>
                </a:solidFill>
                <a:prstDash val="sysDot"/>
              </a:ln>
            </c:spPr>
          </c:dPt>
          <c:dPt>
            <c:idx val="7"/>
            <c:spPr>
              <a:ln>
                <a:solidFill>
                  <a:schemeClr val="bg2">
                    <a:lumMod val="50000"/>
                  </a:schemeClr>
                </a:solidFill>
                <a:prstDash val="sysDot"/>
              </a:ln>
            </c:spPr>
          </c:dPt>
          <c:dPt>
            <c:idx val="8"/>
            <c:spPr>
              <a:ln>
                <a:solidFill>
                  <a:schemeClr val="bg2">
                    <a:lumMod val="50000"/>
                  </a:schemeClr>
                </a:solidFill>
                <a:prstDash val="sysDot"/>
              </a:ln>
            </c:spPr>
          </c:dPt>
          <c:dPt>
            <c:idx val="9"/>
            <c:spPr>
              <a:ln>
                <a:solidFill>
                  <a:schemeClr val="bg2">
                    <a:lumMod val="50000"/>
                  </a:schemeClr>
                </a:solidFill>
                <a:prstDash val="sysDot"/>
              </a:ln>
            </c:spPr>
          </c:dPt>
          <c:dPt>
            <c:idx val="10"/>
            <c:spPr>
              <a:ln>
                <a:solidFill>
                  <a:schemeClr val="bg2">
                    <a:lumMod val="50000"/>
                  </a:schemeClr>
                </a:solidFill>
                <a:prstDash val="sysDot"/>
              </a:ln>
            </c:spPr>
          </c:dPt>
          <c:cat>
            <c:strRef>
              <c:f>'Fund Balance'!$B$28:$M$28</c:f>
              <c:strCache>
                <c:ptCount val="11"/>
                <c:pt idx="0">
                  <c:v>FY08</c:v>
                </c:pt>
                <c:pt idx="1">
                  <c:v>FY09</c:v>
                </c:pt>
                <c:pt idx="2">
                  <c:v>FY10</c:v>
                </c:pt>
                <c:pt idx="3">
                  <c:v>FY11</c:v>
                </c:pt>
                <c:pt idx="4">
                  <c:v>FY12 Bud</c:v>
                </c:pt>
                <c:pt idx="5">
                  <c:v>FY12 Proj</c:v>
                </c:pt>
                <c:pt idx="6">
                  <c:v>FY13</c:v>
                </c:pt>
                <c:pt idx="7">
                  <c:v>FY14</c:v>
                </c:pt>
                <c:pt idx="8">
                  <c:v>FY15</c:v>
                </c:pt>
                <c:pt idx="9">
                  <c:v>FY16</c:v>
                </c:pt>
                <c:pt idx="10">
                  <c:v>FY17</c:v>
                </c:pt>
              </c:strCache>
            </c:strRef>
          </c:cat>
          <c:val>
            <c:numRef>
              <c:f>'Fund Balance'!$B$5:$M$5</c:f>
              <c:numCache>
                <c:formatCode>_("$"* #,##0_);_("$"* \(#,##0\);_("$"* "-"??_);_(@_)</c:formatCode>
                <c:ptCount val="11"/>
                <c:pt idx="0">
                  <c:v>52266331.940000005</c:v>
                </c:pt>
                <c:pt idx="1">
                  <c:v>53178117.540000007</c:v>
                </c:pt>
                <c:pt idx="2">
                  <c:v>53450634</c:v>
                </c:pt>
                <c:pt idx="3">
                  <c:v>73436038.200000018</c:v>
                </c:pt>
                <c:pt idx="4">
                  <c:v>57519633.309</c:v>
                </c:pt>
                <c:pt idx="5">
                  <c:v>57519635.309</c:v>
                </c:pt>
                <c:pt idx="6">
                  <c:v>58789111.685180001</c:v>
                </c:pt>
                <c:pt idx="7">
                  <c:v>60369688.865483597</c:v>
                </c:pt>
                <c:pt idx="8">
                  <c:v>62003142.635671273</c:v>
                </c:pt>
                <c:pt idx="9">
                  <c:v>63691806.96278064</c:v>
                </c:pt>
                <c:pt idx="10">
                  <c:v>65438145.480116881</c:v>
                </c:pt>
              </c:numCache>
            </c:numRef>
          </c:val>
        </c:ser>
        <c:marker val="1"/>
        <c:axId val="151218048"/>
        <c:axId val="151228800"/>
      </c:lineChart>
      <c:catAx>
        <c:axId val="151218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 sz="900" b="0"/>
                  <a:t>Fiscal Year</a:t>
                </a:r>
              </a:p>
            </c:rich>
          </c:tx>
          <c:layout>
            <c:manualLayout>
              <c:xMode val="edge"/>
              <c:yMode val="edge"/>
              <c:x val="0.45663377196918087"/>
              <c:y val="0.92744922269331831"/>
            </c:manualLayout>
          </c:layout>
        </c:title>
        <c:numFmt formatCode="General" sourceLinked="1"/>
        <c:majorTickMark val="none"/>
        <c:tickLblPos val="nextTo"/>
        <c:spPr>
          <a:ln>
            <a:noFill/>
          </a:ln>
        </c:spPr>
        <c:txPr>
          <a:bodyPr rot="0" anchor="t" anchorCtr="0"/>
          <a:lstStyle/>
          <a:p>
            <a:pPr>
              <a:defRPr sz="900"/>
            </a:pPr>
            <a:endParaRPr lang="en-US"/>
          </a:p>
        </c:txPr>
        <c:crossAx val="151228800"/>
        <c:crosses val="autoZero"/>
        <c:auto val="1"/>
        <c:lblAlgn val="ctr"/>
        <c:lblOffset val="100"/>
      </c:catAx>
      <c:valAx>
        <c:axId val="151228800"/>
        <c:scaling>
          <c:orientation val="minMax"/>
          <c:min val="40000000"/>
        </c:scaling>
        <c:axPos val="l"/>
        <c:majorGridlines/>
        <c:numFmt formatCode="_(&quot;$&quot;* #,##0_);_(&quot;$&quot;* \(#,##0\);_(&quot;$&quot;* &quot;-&quot;??_);_(@_)" sourceLinked="1"/>
        <c:maj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151218048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2672491281055643E-2"/>
                <c:y val="0.35163036438626988"/>
              </c:manualLayout>
            </c:layout>
          </c:dispUnitsLbl>
        </c:dispUnits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70312110785761417"/>
          <c:y val="0.66803886972322435"/>
          <c:w val="0.22195277737522073"/>
          <c:h val="0.10347206599175103"/>
        </c:manualLayout>
      </c:layout>
      <c:spPr>
        <a:solidFill>
          <a:sysClr val="window" lastClr="FFFFFF"/>
        </a:solidFill>
        <a:ln>
          <a:solidFill>
            <a:schemeClr val="tx1">
              <a:lumMod val="50000"/>
              <a:lumOff val="50000"/>
            </a:schemeClr>
          </a:solidFill>
        </a:ln>
      </c:spPr>
      <c:txPr>
        <a:bodyPr/>
        <a:lstStyle/>
        <a:p>
          <a:pPr>
            <a:defRPr sz="800"/>
          </a:pPr>
          <a:endParaRPr lang="en-US"/>
        </a:p>
      </c:txPr>
    </c:legend>
    <c:plotVisOnly val="1"/>
  </c:chart>
  <c:spPr>
    <a:ln>
      <a:solidFill>
        <a:schemeClr val="tx1">
          <a:lumMod val="50000"/>
          <a:lumOff val="50000"/>
        </a:schemeClr>
      </a:solidFill>
    </a:ln>
  </c:spPr>
  <c:printSettings>
    <c:headerFooter/>
    <c:pageMargins b="0.75000000000000611" l="0.70000000000000062" r="0.70000000000000062" t="0.75000000000000611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General Fund Year End Balance</a:t>
            </a:r>
          </a:p>
        </c:rich>
      </c:tx>
      <c:layout>
        <c:manualLayout>
          <c:xMode val="edge"/>
          <c:yMode val="edge"/>
          <c:x val="0.36920940170940192"/>
          <c:y val="1.6666666666666677E-2"/>
        </c:manualLayout>
      </c:layout>
    </c:title>
    <c:plotArea>
      <c:layout>
        <c:manualLayout>
          <c:layoutTarget val="inner"/>
          <c:xMode val="edge"/>
          <c:yMode val="edge"/>
          <c:x val="0.19293503937007891"/>
          <c:y val="0.15589743589744148"/>
          <c:w val="0.72715974605738465"/>
          <c:h val="0.58522807746185224"/>
        </c:manualLayout>
      </c:layout>
      <c:barChart>
        <c:barDir val="col"/>
        <c:grouping val="stacked"/>
        <c:ser>
          <c:idx val="0"/>
          <c:order val="0"/>
          <c:tx>
            <c:strRef>
              <c:f>'Fund Balance'!$A$11</c:f>
              <c:strCache>
                <c:ptCount val="1"/>
                <c:pt idx="0">
                  <c:v>Ending Fund Balance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dPt>
            <c:idx val="5"/>
            <c:spPr>
              <a:solidFill>
                <a:srgbClr val="94B6D2">
                  <a:lumMod val="50000"/>
                  <a:alpha val="80000"/>
                </a:srgbClr>
              </a:solidFill>
            </c:spPr>
          </c:dPt>
          <c:dPt>
            <c:idx val="6"/>
            <c:spPr>
              <a:solidFill>
                <a:srgbClr val="94B6D2">
                  <a:lumMod val="50000"/>
                  <a:alpha val="80000"/>
                </a:srgbClr>
              </a:solidFill>
            </c:spPr>
          </c:dPt>
          <c:dPt>
            <c:idx val="7"/>
            <c:spPr>
              <a:solidFill>
                <a:srgbClr val="94B6D2">
                  <a:lumMod val="50000"/>
                  <a:alpha val="80000"/>
                </a:srgbClr>
              </a:solidFill>
            </c:spPr>
          </c:dPt>
          <c:dPt>
            <c:idx val="8"/>
            <c:spPr>
              <a:solidFill>
                <a:srgbClr val="94B6D2">
                  <a:lumMod val="50000"/>
                  <a:alpha val="80000"/>
                </a:srgbClr>
              </a:solidFill>
            </c:spPr>
          </c:dPt>
          <c:dPt>
            <c:idx val="9"/>
            <c:spPr>
              <a:solidFill>
                <a:srgbClr val="94B6D2">
                  <a:lumMod val="50000"/>
                  <a:alpha val="80000"/>
                </a:srgbClr>
              </a:solidFill>
            </c:spPr>
          </c:dPt>
          <c:dPt>
            <c:idx val="10"/>
            <c:spPr>
              <a:solidFill>
                <a:srgbClr val="94B6D2">
                  <a:lumMod val="50000"/>
                  <a:alpha val="80000"/>
                </a:srgbClr>
              </a:solidFill>
            </c:spPr>
          </c:dPt>
          <c:cat>
            <c:strRef>
              <c:f>'Fund Balance'!$B$28:$M$28</c:f>
              <c:strCache>
                <c:ptCount val="11"/>
                <c:pt idx="0">
                  <c:v>FY08</c:v>
                </c:pt>
                <c:pt idx="1">
                  <c:v>FY09</c:v>
                </c:pt>
                <c:pt idx="2">
                  <c:v>FY10</c:v>
                </c:pt>
                <c:pt idx="3">
                  <c:v>FY11</c:v>
                </c:pt>
                <c:pt idx="4">
                  <c:v>FY12 Bud</c:v>
                </c:pt>
                <c:pt idx="5">
                  <c:v>FY12 Proj</c:v>
                </c:pt>
                <c:pt idx="6">
                  <c:v>FY13</c:v>
                </c:pt>
                <c:pt idx="7">
                  <c:v>FY14</c:v>
                </c:pt>
                <c:pt idx="8">
                  <c:v>FY15</c:v>
                </c:pt>
                <c:pt idx="9">
                  <c:v>FY16</c:v>
                </c:pt>
                <c:pt idx="10">
                  <c:v>FY17</c:v>
                </c:pt>
              </c:strCache>
            </c:strRef>
          </c:cat>
          <c:val>
            <c:numRef>
              <c:f>'Fund Balance'!$B$11:$M$11</c:f>
              <c:numCache>
                <c:formatCode>_("$"* #,##0_);_("$"* \(#,##0\);_("$"* "-"??_);_(@_)</c:formatCode>
                <c:ptCount val="11"/>
                <c:pt idx="0">
                  <c:v>21201762.920000009</c:v>
                </c:pt>
                <c:pt idx="1">
                  <c:v>23217068.549999997</c:v>
                </c:pt>
                <c:pt idx="2">
                  <c:v>27326464.049999997</c:v>
                </c:pt>
                <c:pt idx="3">
                  <c:v>12141163.429999977</c:v>
                </c:pt>
                <c:pt idx="4">
                  <c:v>13338667.019299984</c:v>
                </c:pt>
                <c:pt idx="5">
                  <c:v>13338665.019299984</c:v>
                </c:pt>
                <c:pt idx="6">
                  <c:v>15172418.849544235</c:v>
                </c:pt>
                <c:pt idx="7">
                  <c:v>16359048.132625625</c:v>
                </c:pt>
                <c:pt idx="8">
                  <c:v>15859649.491647854</c:v>
                </c:pt>
                <c:pt idx="9">
                  <c:v>14607868.83049278</c:v>
                </c:pt>
                <c:pt idx="10">
                  <c:v>12257265.991865717</c:v>
                </c:pt>
              </c:numCache>
            </c:numRef>
          </c:val>
        </c:ser>
        <c:overlap val="100"/>
        <c:axId val="150585344"/>
        <c:axId val="150587264"/>
      </c:barChart>
      <c:lineChart>
        <c:grouping val="standard"/>
        <c:ser>
          <c:idx val="1"/>
          <c:order val="1"/>
          <c:tx>
            <c:strRef>
              <c:f>'Fund Balance'!$A$15</c:f>
              <c:strCache>
                <c:ptCount val="1"/>
                <c:pt idx="0">
                  <c:v>25% required fund balance</c:v>
                </c:pt>
              </c:strCache>
            </c:strRef>
          </c:tx>
          <c:spPr>
            <a:ln>
              <a:solidFill>
                <a:srgbClr val="D1612F"/>
              </a:solidFill>
              <a:prstDash val="sysDot"/>
            </a:ln>
          </c:spPr>
          <c:marker>
            <c:symbol val="diamond"/>
            <c:size val="5"/>
            <c:spPr>
              <a:solidFill>
                <a:srgbClr val="D1612F"/>
              </a:solidFill>
            </c:spPr>
          </c:marker>
          <c:dPt>
            <c:idx val="1"/>
            <c:spPr>
              <a:ln w="15875">
                <a:solidFill>
                  <a:srgbClr val="D1612F"/>
                </a:solidFill>
                <a:prstDash val="solid"/>
              </a:ln>
            </c:spPr>
          </c:dPt>
          <c:dPt>
            <c:idx val="2"/>
            <c:spPr>
              <a:ln w="15875">
                <a:solidFill>
                  <a:srgbClr val="D1612F"/>
                </a:solidFill>
                <a:prstDash val="solid"/>
              </a:ln>
            </c:spPr>
          </c:dPt>
          <c:dPt>
            <c:idx val="3"/>
            <c:spPr>
              <a:ln w="15875">
                <a:solidFill>
                  <a:srgbClr val="D1612F"/>
                </a:solidFill>
                <a:prstDash val="solid"/>
              </a:ln>
            </c:spPr>
          </c:dPt>
          <c:dPt>
            <c:idx val="4"/>
            <c:spPr>
              <a:ln w="15875" cmpd="sng">
                <a:solidFill>
                  <a:srgbClr val="D1612F"/>
                </a:solidFill>
                <a:prstDash val="solid"/>
              </a:ln>
            </c:spPr>
          </c:dPt>
          <c:dPt>
            <c:idx val="5"/>
            <c:spPr>
              <a:ln w="15875" cmpd="sng">
                <a:solidFill>
                  <a:srgbClr val="D1612F"/>
                </a:solidFill>
                <a:prstDash val="solid"/>
              </a:ln>
            </c:spPr>
          </c:dPt>
          <c:cat>
            <c:strRef>
              <c:f>'Fund Balance'!$B$28:$M$28</c:f>
              <c:strCache>
                <c:ptCount val="11"/>
                <c:pt idx="0">
                  <c:v>FY08</c:v>
                </c:pt>
                <c:pt idx="1">
                  <c:v>FY09</c:v>
                </c:pt>
                <c:pt idx="2">
                  <c:v>FY10</c:v>
                </c:pt>
                <c:pt idx="3">
                  <c:v>FY11</c:v>
                </c:pt>
                <c:pt idx="4">
                  <c:v>FY12 Bud</c:v>
                </c:pt>
                <c:pt idx="5">
                  <c:v>FY12 Proj</c:v>
                </c:pt>
                <c:pt idx="6">
                  <c:v>FY13</c:v>
                </c:pt>
                <c:pt idx="7">
                  <c:v>FY14</c:v>
                </c:pt>
                <c:pt idx="8">
                  <c:v>FY15</c:v>
                </c:pt>
                <c:pt idx="9">
                  <c:v>FY16</c:v>
                </c:pt>
                <c:pt idx="10">
                  <c:v>FY17</c:v>
                </c:pt>
              </c:strCache>
            </c:strRef>
          </c:cat>
          <c:val>
            <c:numRef>
              <c:f>'Fund Balance'!$B$15:$M$15</c:f>
              <c:numCache>
                <c:formatCode>_("$"* #,##0_);_("$"* \(#,##0\);_("$"* "-"??_);_(@_)</c:formatCode>
                <c:ptCount val="11"/>
                <c:pt idx="0">
                  <c:v>13066582.985000001</c:v>
                </c:pt>
                <c:pt idx="1">
                  <c:v>13294529.385000002</c:v>
                </c:pt>
                <c:pt idx="2">
                  <c:v>13362658.5</c:v>
                </c:pt>
                <c:pt idx="3">
                  <c:v>18359009.550000004</c:v>
                </c:pt>
                <c:pt idx="4">
                  <c:v>14379908.32725</c:v>
                </c:pt>
                <c:pt idx="5">
                  <c:v>14379908.82725</c:v>
                </c:pt>
                <c:pt idx="6">
                  <c:v>14697277.921295</c:v>
                </c:pt>
                <c:pt idx="7">
                  <c:v>15092422.216370899</c:v>
                </c:pt>
                <c:pt idx="8">
                  <c:v>15500785.658917818</c:v>
                </c:pt>
                <c:pt idx="9">
                  <c:v>15922951.74069516</c:v>
                </c:pt>
                <c:pt idx="10">
                  <c:v>16359536.37002922</c:v>
                </c:pt>
              </c:numCache>
            </c:numRef>
          </c:val>
        </c:ser>
        <c:ser>
          <c:idx val="2"/>
          <c:order val="2"/>
          <c:tx>
            <c:v>Current Balance</c:v>
          </c:tx>
          <c:marker>
            <c:symbol val="diamond"/>
            <c:size val="7"/>
          </c:marker>
          <c:dLbls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showSerName val="1"/>
          </c:dLbls>
          <c:cat>
            <c:strRef>
              <c:f>'Fund Balance'!$B$28:$M$28</c:f>
              <c:strCache>
                <c:ptCount val="11"/>
                <c:pt idx="0">
                  <c:v>FY08</c:v>
                </c:pt>
                <c:pt idx="1">
                  <c:v>FY09</c:v>
                </c:pt>
                <c:pt idx="2">
                  <c:v>FY10</c:v>
                </c:pt>
                <c:pt idx="3">
                  <c:v>FY11</c:v>
                </c:pt>
                <c:pt idx="4">
                  <c:v>FY12 Bud</c:v>
                </c:pt>
                <c:pt idx="5">
                  <c:v>FY12 Proj</c:v>
                </c:pt>
                <c:pt idx="6">
                  <c:v>FY13</c:v>
                </c:pt>
                <c:pt idx="7">
                  <c:v>FY14</c:v>
                </c:pt>
                <c:pt idx="8">
                  <c:v>FY15</c:v>
                </c:pt>
                <c:pt idx="9">
                  <c:v>FY16</c:v>
                </c:pt>
                <c:pt idx="10">
                  <c:v>FY17</c:v>
                </c:pt>
              </c:strCache>
            </c:strRef>
          </c:cat>
          <c:val>
            <c:numRef>
              <c:f>'Fund Balance'!$B$26:$M$26</c:f>
              <c:numCache>
                <c:formatCode>General</c:formatCode>
                <c:ptCount val="11"/>
                <c:pt idx="5" formatCode="_(&quot;$&quot;* #,##0_);_(&quot;$&quot;* \(#,##0\);_(&quot;$&quot;* &quot;-&quot;??_);_(@_)">
                  <c:v>12252608</c:v>
                </c:pt>
              </c:numCache>
            </c:numRef>
          </c:val>
        </c:ser>
        <c:marker val="1"/>
        <c:axId val="150585344"/>
        <c:axId val="150587264"/>
      </c:lineChart>
      <c:catAx>
        <c:axId val="150585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 sz="900" b="0"/>
                  <a:t>Fiscal Year</a:t>
                </a:r>
              </a:p>
            </c:rich>
          </c:tx>
          <c:layout>
            <c:manualLayout>
              <c:xMode val="edge"/>
              <c:yMode val="edge"/>
              <c:x val="0.44087353330412132"/>
              <c:y val="0.92456072023255098"/>
            </c:manualLayout>
          </c:layout>
        </c:title>
        <c:numFmt formatCode="General" sourceLinked="1"/>
        <c:maj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50587264"/>
        <c:crosses val="autoZero"/>
        <c:auto val="1"/>
        <c:lblAlgn val="ctr"/>
        <c:lblOffset val="100"/>
      </c:catAx>
      <c:valAx>
        <c:axId val="150587264"/>
        <c:scaling>
          <c:orientation val="minMax"/>
          <c:min val="5000000"/>
        </c:scaling>
        <c:axPos val="l"/>
        <c:majorGridlines/>
        <c:min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inorGridlines>
        <c:numFmt formatCode="_(&quot;$&quot;* #,##0_);_(&quot;$&quot;* \(#,##0\);_(&quot;$&quot;* &quot;-&quot;??_);_(@_)" sourceLinked="1"/>
        <c:maj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150585344"/>
        <c:crosses val="autoZero"/>
        <c:crossBetween val="between"/>
      </c:valAx>
      <c:spPr>
        <a:ln>
          <a:solidFill>
            <a:sysClr val="window" lastClr="FFFFFF">
              <a:lumMod val="75000"/>
            </a:sysClr>
          </a:solidFill>
        </a:ln>
      </c:spPr>
    </c:plotArea>
    <c:plotVisOnly val="1"/>
    <c:dispBlanksAs val="gap"/>
  </c:chart>
  <c:spPr>
    <a:ln>
      <a:solidFill>
        <a:schemeClr val="tx1">
          <a:lumMod val="50000"/>
          <a:lumOff val="50000"/>
        </a:schemeClr>
      </a:solidFill>
    </a:ln>
  </c:spPr>
  <c:printSettings>
    <c:headerFooter/>
    <c:pageMargins b="0.75000000000000655" l="0.70000000000000062" r="0.70000000000000062" t="0.7500000000000065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66676</xdr:colOff>
      <xdr:row>28</xdr:row>
      <xdr:rowOff>47623</xdr:rowOff>
    </xdr:from>
    <xdr:to>
      <xdr:col>8</xdr:col>
      <xdr:colOff>419101</xdr:colOff>
      <xdr:row>45</xdr:row>
      <xdr:rowOff>38098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46</xdr:row>
      <xdr:rowOff>133350</xdr:rowOff>
    </xdr:from>
    <xdr:to>
      <xdr:col>8</xdr:col>
      <xdr:colOff>438150</xdr:colOff>
      <xdr:row>63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0.56768</cdr:x>
      <cdr:y>0.18258</cdr:y>
    </cdr:from>
    <cdr:to>
      <cdr:x>0.89169</cdr:x>
      <cdr:y>0.24161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3163184" y="519996"/>
          <a:ext cx="1805424" cy="1681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800">
              <a:solidFill>
                <a:schemeClr val="bg1">
                  <a:lumMod val="50000"/>
                </a:schemeClr>
              </a:solidFill>
            </a:rPr>
            <a:t>Projected</a:t>
          </a:r>
          <a:endParaRPr lang="en-US" sz="900">
            <a:solidFill>
              <a:schemeClr val="bg1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0.5265</cdr:x>
      <cdr:y>0.25298</cdr:y>
    </cdr:from>
    <cdr:to>
      <cdr:x>0.93594</cdr:x>
      <cdr:y>0.32776</cdr:y>
    </cdr:to>
    <cdr:sp macro="" textlink="">
      <cdr:nvSpPr>
        <cdr:cNvPr id="4" name="Right Brace 3"/>
        <cdr:cNvSpPr/>
      </cdr:nvSpPr>
      <cdr:spPr>
        <a:xfrm xmlns:a="http://schemas.openxmlformats.org/drawingml/2006/main" rot="5400000" flipH="1">
          <a:off x="3967953" y="-313765"/>
          <a:ext cx="212960" cy="2281468"/>
        </a:xfrm>
        <a:prstGeom xmlns:a="http://schemas.openxmlformats.org/drawingml/2006/main" prst="rightBrace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ysClr val="window" lastClr="FFFFFF">
              <a:lumMod val="50000"/>
            </a:sysClr>
          </a:solidFill>
          <a:prstDash val="solid"/>
        </a:ln>
        <a:effectLst xmlns:a="http://schemas.openxmlformats.org/drawingml/2006/main"/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endParaRPr lang="en-US">
            <a:solidFill>
              <a:sysClr val="windowText" lastClr="000000">
                <a:lumMod val="65000"/>
                <a:lumOff val="35000"/>
              </a:sys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0.56324</cdr:x>
      <cdr:y>0.83333</cdr:y>
    </cdr:from>
    <cdr:to>
      <cdr:x>0.90128</cdr:x>
      <cdr:y>0.90027</cdr:y>
    </cdr:to>
    <cdr:sp macro="" textlink="">
      <cdr:nvSpPr>
        <cdr:cNvPr id="4" name="Right Brace 3"/>
        <cdr:cNvSpPr/>
      </cdr:nvSpPr>
      <cdr:spPr>
        <a:xfrm xmlns:a="http://schemas.openxmlformats.org/drawingml/2006/main" rot="16200000" flipH="1">
          <a:off x="4017447" y="2116657"/>
          <a:ext cx="237184" cy="1909372"/>
        </a:xfrm>
        <a:prstGeom xmlns:a="http://schemas.openxmlformats.org/drawingml/2006/main" prst="rightBrace">
          <a:avLst/>
        </a:prstGeom>
        <a:noFill xmlns:a="http://schemas.openxmlformats.org/drawingml/2006/main"/>
        <a:ln xmlns:a="http://schemas.openxmlformats.org/drawingml/2006/main" w="9525" cap="flat" cmpd="sng" algn="ctr">
          <a:solidFill>
            <a:schemeClr val="bg1">
              <a:lumMod val="50000"/>
            </a:schemeClr>
          </a:solidFill>
          <a:prstDash val="solid"/>
        </a:ln>
        <a:effectLst xmlns:a="http://schemas.openxmlformats.org/drawingml/2006/main"/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endParaRPr lang="en-US">
            <a:solidFill>
              <a:sysClr val="windowText" lastClr="000000">
                <a:lumMod val="65000"/>
                <a:lumOff val="35000"/>
              </a:sysClr>
            </a:solidFill>
          </a:endParaRPr>
        </a:p>
      </cdr:txBody>
    </cdr:sp>
  </cdr:relSizeAnchor>
  <cdr:relSizeAnchor xmlns:cdr="http://schemas.openxmlformats.org/drawingml/2006/chartDrawing">
    <cdr:from>
      <cdr:x>0.5577</cdr:x>
      <cdr:y>0.90313</cdr:y>
    </cdr:from>
    <cdr:to>
      <cdr:x>0.89625</cdr:x>
      <cdr:y>0.96252</cdr:y>
    </cdr:to>
    <cdr:sp macro="" textlink="">
      <cdr:nvSpPr>
        <cdr:cNvPr id="5" name="TextBox 1"/>
        <cdr:cNvSpPr txBox="1"/>
      </cdr:nvSpPr>
      <cdr:spPr>
        <a:xfrm xmlns:a="http://schemas.openxmlformats.org/drawingml/2006/main">
          <a:off x="3150068" y="3200061"/>
          <a:ext cx="1912241" cy="2104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800">
              <a:solidFill>
                <a:sysClr val="window" lastClr="FFFFFF">
                  <a:lumMod val="50000"/>
                </a:sysClr>
              </a:solidFill>
            </a:rPr>
            <a:t>Projected</a:t>
          </a:r>
        </a:p>
      </cdr:txBody>
    </cdr:sp>
  </cdr:relSizeAnchor>
  <cdr:relSizeAnchor xmlns:cdr="http://schemas.openxmlformats.org/drawingml/2006/chartDrawing">
    <cdr:from>
      <cdr:x>0.53288</cdr:x>
      <cdr:y>0.23631</cdr:y>
    </cdr:from>
    <cdr:to>
      <cdr:x>0.75302</cdr:x>
      <cdr:y>0.48925</cdr:y>
    </cdr:to>
    <cdr:sp macro="" textlink="">
      <cdr:nvSpPr>
        <cdr:cNvPr id="7" name="Straight Arrow Connector 6"/>
        <cdr:cNvSpPr/>
      </cdr:nvSpPr>
      <cdr:spPr>
        <a:xfrm xmlns:a="http://schemas.openxmlformats.org/drawingml/2006/main" rot="5400000">
          <a:off x="3183483" y="663733"/>
          <a:ext cx="896233" cy="124340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chemeClr val="tx1">
              <a:lumMod val="65000"/>
              <a:lumOff val="35000"/>
            </a:schemeClr>
          </a:solidFill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>
            <a:ln>
              <a:solidFill>
                <a:schemeClr val="bg1">
                  <a:lumMod val="50000"/>
                </a:schemeClr>
              </a:solidFill>
            </a:ln>
          </a:endParaRPr>
        </a:p>
      </cdr:txBody>
    </cdr:sp>
  </cdr:relSizeAnchor>
  <cdr:relSizeAnchor xmlns:cdr="http://schemas.openxmlformats.org/drawingml/2006/chartDrawing">
    <cdr:from>
      <cdr:x>0.68627</cdr:x>
      <cdr:y>0.17231</cdr:y>
    </cdr:from>
    <cdr:to>
      <cdr:x>0.97604</cdr:x>
      <cdr:y>0.22154</cdr:y>
    </cdr:to>
    <cdr:sp macro="" textlink="">
      <cdr:nvSpPr>
        <cdr:cNvPr id="8" name="TextBox 4"/>
        <cdr:cNvSpPr txBox="1"/>
      </cdr:nvSpPr>
      <cdr:spPr>
        <a:xfrm xmlns:a="http://schemas.openxmlformats.org/drawingml/2006/main">
          <a:off x="3000376" y="533397"/>
          <a:ext cx="1266825" cy="15240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solidFill>
            <a:sysClr val="windowText" lastClr="000000">
              <a:lumMod val="75000"/>
              <a:lumOff val="25000"/>
            </a:sysClr>
          </a:solidFill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800">
              <a:solidFill>
                <a:schemeClr val="bg1">
                  <a:lumMod val="50000"/>
                </a:schemeClr>
              </a:solidFill>
            </a:rPr>
            <a:t>25% of GF Expenditures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ANCE\Financials\11-12\December%202011%20Income%20Stm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v"/>
      <sheetName val="Exp"/>
      <sheetName val="entry"/>
      <sheetName val="Sum #1"/>
      <sheetName val="Sum #2"/>
    </sheetNames>
    <sheetDataSet>
      <sheetData sheetId="0"/>
      <sheetData sheetId="1"/>
      <sheetData sheetId="2"/>
      <sheetData sheetId="3">
        <row r="4">
          <cell r="B4">
            <v>1140233.92</v>
          </cell>
          <cell r="C4">
            <v>1046360.88</v>
          </cell>
          <cell r="F4">
            <v>1030582.7</v>
          </cell>
        </row>
        <row r="5">
          <cell r="B5">
            <v>6115648.7000000002</v>
          </cell>
          <cell r="C5">
            <v>5785261.6900000004</v>
          </cell>
          <cell r="F5">
            <v>5572638</v>
          </cell>
        </row>
        <row r="6">
          <cell r="B6">
            <v>7338991.9699999997</v>
          </cell>
          <cell r="C6">
            <v>7124593.1200000001</v>
          </cell>
          <cell r="F6">
            <v>7188798</v>
          </cell>
        </row>
        <row r="7">
          <cell r="B7">
            <v>1370847.73</v>
          </cell>
          <cell r="C7">
            <v>1403056.64</v>
          </cell>
          <cell r="F7">
            <v>1406082.72</v>
          </cell>
        </row>
        <row r="8">
          <cell r="B8">
            <v>377928.3</v>
          </cell>
          <cell r="C8">
            <v>420955.6</v>
          </cell>
          <cell r="F8">
            <v>443567.45</v>
          </cell>
        </row>
        <row r="9">
          <cell r="B9">
            <v>348776.95</v>
          </cell>
          <cell r="C9">
            <v>563176.71</v>
          </cell>
          <cell r="F9">
            <v>615420.80000000005</v>
          </cell>
        </row>
        <row r="10">
          <cell r="B10">
            <v>673498.98</v>
          </cell>
          <cell r="C10">
            <v>684645.14</v>
          </cell>
          <cell r="F10">
            <v>685171.15</v>
          </cell>
        </row>
        <row r="11">
          <cell r="B11">
            <v>3592093.54</v>
          </cell>
          <cell r="C11">
            <v>4139490.1199999996</v>
          </cell>
          <cell r="F11">
            <v>3102611.28</v>
          </cell>
        </row>
        <row r="18">
          <cell r="B18">
            <v>3222026.72</v>
          </cell>
          <cell r="C18">
            <v>3891539.85</v>
          </cell>
          <cell r="F18">
            <v>3273393.63</v>
          </cell>
        </row>
        <row r="19">
          <cell r="B19">
            <v>2155454.0099999998</v>
          </cell>
          <cell r="C19">
            <v>2217803.02</v>
          </cell>
          <cell r="F19">
            <v>1355156.18</v>
          </cell>
        </row>
        <row r="20">
          <cell r="B20">
            <v>1043670.8800000001</v>
          </cell>
          <cell r="C20">
            <v>1221112.8999999999</v>
          </cell>
          <cell r="F20">
            <v>980446.27</v>
          </cell>
        </row>
        <row r="21">
          <cell r="B21">
            <v>22807.42</v>
          </cell>
          <cell r="C21">
            <v>10500</v>
          </cell>
          <cell r="F21">
            <v>11473.1</v>
          </cell>
        </row>
        <row r="22">
          <cell r="B22">
            <v>759402</v>
          </cell>
          <cell r="C22">
            <v>759402</v>
          </cell>
          <cell r="F22">
            <v>232305.5</v>
          </cell>
        </row>
        <row r="23">
          <cell r="B23">
            <v>27706198.209999997</v>
          </cell>
          <cell r="C23">
            <v>29334026.449999999</v>
          </cell>
          <cell r="F23">
            <v>26159033.57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8"/>
  <sheetViews>
    <sheetView workbookViewId="0">
      <selection activeCell="C11" sqref="C11"/>
    </sheetView>
  </sheetViews>
  <sheetFormatPr defaultRowHeight="12.75"/>
  <cols>
    <col min="1" max="1" width="23.140625" customWidth="1"/>
    <col min="2" max="2" width="14.5703125" hidden="1" customWidth="1"/>
    <col min="3" max="7" width="14.5703125" bestFit="1" customWidth="1"/>
    <col min="8" max="8" width="14.5703125" customWidth="1"/>
    <col min="9" max="13" width="14.5703125" bestFit="1" customWidth="1"/>
  </cols>
  <sheetData>
    <row r="1" spans="1:15" ht="15.75">
      <c r="A1" s="63" t="s">
        <v>21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7"/>
      <c r="O1" s="8"/>
    </row>
    <row r="2" spans="1:15">
      <c r="A2" s="10"/>
      <c r="B2" s="11" t="s">
        <v>18</v>
      </c>
      <c r="C2" s="11" t="s">
        <v>19</v>
      </c>
      <c r="D2" s="11" t="s">
        <v>20</v>
      </c>
      <c r="E2" s="11" t="s">
        <v>12</v>
      </c>
      <c r="F2" s="11" t="s">
        <v>11</v>
      </c>
      <c r="G2" s="11" t="s">
        <v>10</v>
      </c>
      <c r="H2" s="11" t="s">
        <v>10</v>
      </c>
      <c r="I2" s="11" t="s">
        <v>13</v>
      </c>
      <c r="J2" s="11" t="s">
        <v>14</v>
      </c>
      <c r="K2" s="11" t="s">
        <v>15</v>
      </c>
      <c r="L2" s="11" t="s">
        <v>16</v>
      </c>
      <c r="M2" s="11" t="s">
        <v>17</v>
      </c>
    </row>
    <row r="3" spans="1:15">
      <c r="A3" s="12"/>
      <c r="B3" s="9" t="s">
        <v>2</v>
      </c>
      <c r="C3" s="9" t="s">
        <v>2</v>
      </c>
      <c r="D3" s="9" t="s">
        <v>2</v>
      </c>
      <c r="E3" s="9" t="s">
        <v>2</v>
      </c>
      <c r="F3" s="9" t="s">
        <v>27</v>
      </c>
      <c r="G3" s="9" t="s">
        <v>8</v>
      </c>
      <c r="H3" s="9" t="s">
        <v>3</v>
      </c>
      <c r="I3" s="9" t="s">
        <v>3</v>
      </c>
      <c r="J3" s="9" t="s">
        <v>3</v>
      </c>
      <c r="K3" s="9" t="s">
        <v>3</v>
      </c>
      <c r="L3" s="9" t="s">
        <v>3</v>
      </c>
      <c r="M3" s="9" t="s">
        <v>3</v>
      </c>
    </row>
    <row r="4" spans="1:15">
      <c r="A4" s="4" t="s">
        <v>0</v>
      </c>
      <c r="B4" s="5">
        <v>51609747</v>
      </c>
      <c r="C4" s="5">
        <v>57527396.860000014</v>
      </c>
      <c r="D4" s="5">
        <v>55193423.170000002</v>
      </c>
      <c r="E4" s="5">
        <v>57560029.5</v>
      </c>
      <c r="F4" s="5">
        <v>58250737.580000006</v>
      </c>
      <c r="G4" s="5">
        <v>58717136.898300007</v>
      </c>
      <c r="H4" s="5">
        <v>58717136.898300007</v>
      </c>
      <c r="I4" s="5">
        <v>60622863.515424252</v>
      </c>
      <c r="J4" s="5">
        <v>61556318.148564994</v>
      </c>
      <c r="K4" s="5">
        <v>61503743.994693503</v>
      </c>
      <c r="L4" s="5">
        <v>62440026.301625557</v>
      </c>
      <c r="M4" s="5">
        <v>63087542.641489819</v>
      </c>
    </row>
    <row r="5" spans="1:15">
      <c r="A5" s="4" t="s">
        <v>1</v>
      </c>
      <c r="B5" s="6">
        <v>60120052</v>
      </c>
      <c r="C5" s="6">
        <v>52266331.940000005</v>
      </c>
      <c r="D5" s="6">
        <v>53178117.540000007</v>
      </c>
      <c r="E5" s="6">
        <v>53450634</v>
      </c>
      <c r="F5" s="6">
        <v>73436038.200000018</v>
      </c>
      <c r="G5" s="6">
        <v>57519633.309</v>
      </c>
      <c r="H5" s="6">
        <v>57519635.309</v>
      </c>
      <c r="I5" s="6">
        <v>58789111.685180001</v>
      </c>
      <c r="J5" s="6">
        <v>60369688.865483597</v>
      </c>
      <c r="K5" s="6">
        <v>62003142.635671273</v>
      </c>
      <c r="L5" s="6">
        <v>63691806.96278064</v>
      </c>
      <c r="M5" s="6">
        <v>65438145.480116881</v>
      </c>
    </row>
    <row r="7" spans="1:15" s="1" customFormat="1" ht="11.25">
      <c r="A7" s="16" t="s">
        <v>25</v>
      </c>
      <c r="B7" s="17">
        <v>-8510305</v>
      </c>
      <c r="C7" s="17">
        <v>5261064.9200000092</v>
      </c>
      <c r="D7" s="17">
        <v>2015305.6299999952</v>
      </c>
      <c r="E7" s="17">
        <v>4109395.5</v>
      </c>
      <c r="F7" s="17">
        <v>-15185300.620000012</v>
      </c>
      <c r="G7" s="17">
        <v>1197503.5893000066</v>
      </c>
      <c r="H7" s="17">
        <v>1197501.5893000066</v>
      </c>
      <c r="I7" s="17">
        <v>1833751.8302442506</v>
      </c>
      <c r="J7" s="17">
        <v>1186629.2830813974</v>
      </c>
      <c r="K7" s="17">
        <v>-499398.64097777009</v>
      </c>
      <c r="L7" s="17">
        <v>-1251780.6611550823</v>
      </c>
      <c r="M7" s="17">
        <v>-2350602.8386270627</v>
      </c>
    </row>
    <row r="9" spans="1:15">
      <c r="A9" s="13" t="s">
        <v>9</v>
      </c>
      <c r="B9" s="14"/>
      <c r="C9" s="14"/>
      <c r="D9" s="14"/>
      <c r="E9" s="15"/>
      <c r="F9" s="15"/>
      <c r="G9" s="15"/>
      <c r="H9" s="15"/>
      <c r="I9" s="15"/>
      <c r="J9" s="15"/>
      <c r="K9" s="15"/>
      <c r="L9" s="15"/>
      <c r="M9" s="15"/>
    </row>
    <row r="10" spans="1:15">
      <c r="A10" s="1" t="s">
        <v>23</v>
      </c>
      <c r="B10" s="2">
        <v>24147976</v>
      </c>
      <c r="C10" s="2">
        <v>15940698</v>
      </c>
      <c r="D10" s="2">
        <v>21201762.920000009</v>
      </c>
      <c r="E10" s="2">
        <v>23217068.549999997</v>
      </c>
      <c r="F10" s="2">
        <v>27326464.049999997</v>
      </c>
      <c r="G10" s="2">
        <v>12141163.429999977</v>
      </c>
      <c r="H10" s="2">
        <v>12141163.429999977</v>
      </c>
      <c r="I10" s="2">
        <v>13338667.019299984</v>
      </c>
      <c r="J10" s="2">
        <v>15172418.849544235</v>
      </c>
      <c r="K10" s="2">
        <v>16359048.132625625</v>
      </c>
      <c r="L10" s="2">
        <v>15859649.491647854</v>
      </c>
      <c r="M10" s="2">
        <v>14607868.83049278</v>
      </c>
    </row>
    <row r="11" spans="1:15" ht="15">
      <c r="A11" s="1" t="s">
        <v>22</v>
      </c>
      <c r="B11" s="18">
        <v>15637671</v>
      </c>
      <c r="C11" s="18">
        <v>21201762.920000009</v>
      </c>
      <c r="D11" s="18">
        <v>23217068.549999997</v>
      </c>
      <c r="E11" s="18">
        <v>27326464.049999997</v>
      </c>
      <c r="F11" s="18">
        <v>12141163.429999977</v>
      </c>
      <c r="G11" s="18">
        <v>13338667.019299984</v>
      </c>
      <c r="H11" s="18">
        <v>13338665.019299984</v>
      </c>
      <c r="I11" s="18">
        <v>15172418.849544235</v>
      </c>
      <c r="J11" s="18">
        <v>16359048.132625625</v>
      </c>
      <c r="K11" s="18">
        <v>15859649.491647854</v>
      </c>
      <c r="L11" s="18">
        <v>14607868.83049278</v>
      </c>
      <c r="M11" s="18">
        <v>12257265.991865717</v>
      </c>
    </row>
    <row r="12" spans="1:15">
      <c r="A12" s="1" t="s">
        <v>24</v>
      </c>
      <c r="B12" s="2">
        <v>-8510305</v>
      </c>
      <c r="C12" s="2">
        <v>5261064.9200000092</v>
      </c>
      <c r="D12" s="2">
        <v>2015305.6299999878</v>
      </c>
      <c r="E12" s="2">
        <v>4109395.5</v>
      </c>
      <c r="F12" s="2">
        <v>-15185300.62000002</v>
      </c>
      <c r="G12" s="2">
        <v>1197503.5893000066</v>
      </c>
      <c r="H12" s="2">
        <v>1197501.5893000066</v>
      </c>
      <c r="I12" s="2">
        <v>1833751.8302442506</v>
      </c>
      <c r="J12" s="2">
        <v>1186629.28308139</v>
      </c>
      <c r="K12" s="2">
        <v>-499398.64097777009</v>
      </c>
      <c r="L12" s="2">
        <v>-1251780.6611550748</v>
      </c>
      <c r="M12" s="2">
        <v>-2350602.8386270627</v>
      </c>
    </row>
    <row r="13" spans="1:15">
      <c r="A13" s="3" t="s">
        <v>26</v>
      </c>
      <c r="B13" s="20">
        <v>0.2601074097540701</v>
      </c>
      <c r="C13" s="20">
        <v>0.40564857209300476</v>
      </c>
      <c r="D13" s="20">
        <v>0.43659064337011116</v>
      </c>
      <c r="E13" s="20">
        <v>0.51124677117955231</v>
      </c>
      <c r="F13" s="20">
        <v>0.1653297716978416</v>
      </c>
      <c r="G13" s="20">
        <v>0.23189763654513607</v>
      </c>
      <c r="H13" s="20">
        <v>0.23189759371114974</v>
      </c>
      <c r="I13" s="20">
        <v>0.25808212464229174</v>
      </c>
      <c r="J13" s="20">
        <v>0.27098115693584301</v>
      </c>
      <c r="K13" s="20">
        <v>0.25578783296257596</v>
      </c>
      <c r="L13" s="20">
        <v>0.22935240067893078</v>
      </c>
      <c r="M13" s="20">
        <v>0.18731071765458326</v>
      </c>
    </row>
    <row r="14" spans="1:15">
      <c r="A14" s="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5" s="1" customFormat="1" ht="11.25">
      <c r="A15" s="19" t="s">
        <v>57</v>
      </c>
      <c r="B15" s="2">
        <v>15030013</v>
      </c>
      <c r="C15" s="2">
        <v>13066582.985000001</v>
      </c>
      <c r="D15" s="2">
        <v>13294529.385000002</v>
      </c>
      <c r="E15" s="2">
        <v>13362658.5</v>
      </c>
      <c r="F15" s="2">
        <v>18359009.550000004</v>
      </c>
      <c r="G15" s="2">
        <v>14379908.32725</v>
      </c>
      <c r="H15" s="2">
        <v>14379908.82725</v>
      </c>
      <c r="I15" s="2">
        <v>14697277.921295</v>
      </c>
      <c r="J15" s="2">
        <v>15092422.216370899</v>
      </c>
      <c r="K15" s="2">
        <v>15500785.658917818</v>
      </c>
      <c r="L15" s="2">
        <v>15922951.74069516</v>
      </c>
      <c r="M15" s="2">
        <v>16359536.37002922</v>
      </c>
    </row>
    <row r="17" spans="1:13">
      <c r="A17" s="1" t="s">
        <v>28</v>
      </c>
    </row>
    <row r="20" spans="1:1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4" spans="1:13">
      <c r="A24" s="1" t="s">
        <v>29</v>
      </c>
    </row>
    <row r="25" spans="1:13">
      <c r="A25" s="1" t="s">
        <v>30</v>
      </c>
    </row>
    <row r="26" spans="1:13">
      <c r="A26" s="21">
        <v>40847</v>
      </c>
      <c r="H26" s="2">
        <v>12252608</v>
      </c>
    </row>
    <row r="28" spans="1:13" s="23" customFormat="1" ht="11.25">
      <c r="B28" s="23" t="s">
        <v>18</v>
      </c>
      <c r="C28" s="23" t="s">
        <v>19</v>
      </c>
      <c r="D28" s="23" t="s">
        <v>20</v>
      </c>
      <c r="E28" s="23" t="s">
        <v>12</v>
      </c>
      <c r="F28" s="23" t="s">
        <v>11</v>
      </c>
      <c r="G28" s="23" t="s">
        <v>31</v>
      </c>
      <c r="H28" s="23" t="s">
        <v>32</v>
      </c>
      <c r="I28" s="23" t="s">
        <v>13</v>
      </c>
      <c r="J28" s="23" t="s">
        <v>14</v>
      </c>
      <c r="K28" s="23" t="s">
        <v>15</v>
      </c>
      <c r="L28" s="23" t="s">
        <v>16</v>
      </c>
      <c r="M28" s="23" t="s">
        <v>17</v>
      </c>
    </row>
  </sheetData>
  <mergeCells count="1">
    <mergeCell ref="A1:M1"/>
  </mergeCells>
  <conditionalFormatting sqref="B12:M12">
    <cfRule type="cellIs" dxfId="0" priority="1" operator="lessThan">
      <formula>0</formula>
    </cfRule>
  </conditionalFormatting>
  <pageMargins left="0.7" right="0.7" top="0.75" bottom="0.75" header="0.3" footer="0.3"/>
  <pageSetup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6"/>
  <sheetViews>
    <sheetView tabSelected="1" workbookViewId="0">
      <selection activeCell="I30" sqref="I30"/>
    </sheetView>
  </sheetViews>
  <sheetFormatPr defaultRowHeight="12.75"/>
  <cols>
    <col min="1" max="1" width="2.140625" customWidth="1"/>
    <col min="2" max="2" width="17.42578125" customWidth="1"/>
    <col min="3" max="4" width="9.5703125" customWidth="1"/>
    <col min="5" max="5" width="13.140625" customWidth="1"/>
    <col min="6" max="6" width="12.85546875" style="26" customWidth="1"/>
    <col min="7" max="7" width="13.140625" customWidth="1"/>
    <col min="8" max="8" width="14" customWidth="1"/>
    <col min="9" max="9" width="12.85546875" style="26" customWidth="1"/>
    <col min="10" max="10" width="1.7109375" customWidth="1"/>
  </cols>
  <sheetData>
    <row r="1" spans="1:12" ht="15.75">
      <c r="A1" s="73"/>
      <c r="B1" s="67" t="s">
        <v>59</v>
      </c>
      <c r="C1" s="68"/>
      <c r="D1" s="68"/>
      <c r="E1" s="68"/>
      <c r="F1" s="68"/>
      <c r="G1" s="68"/>
      <c r="H1" s="68"/>
      <c r="I1" s="69"/>
      <c r="J1" s="74"/>
      <c r="K1" s="55"/>
      <c r="L1" s="24"/>
    </row>
    <row r="2" spans="1:12" ht="13.5" thickBot="1">
      <c r="A2" s="73"/>
      <c r="B2" s="85" t="s">
        <v>33</v>
      </c>
      <c r="C2" s="86"/>
      <c r="D2" s="86"/>
      <c r="E2" s="86"/>
      <c r="F2" s="86"/>
      <c r="G2" s="86"/>
      <c r="H2" s="86"/>
      <c r="I2" s="87"/>
      <c r="J2" s="75"/>
      <c r="K2" s="24"/>
      <c r="L2" s="24"/>
    </row>
    <row r="3" spans="1:12" ht="13.5" customHeight="1">
      <c r="A3" s="73"/>
      <c r="B3" s="27"/>
      <c r="C3" s="28"/>
      <c r="D3" s="28"/>
      <c r="E3" s="65" t="s">
        <v>34</v>
      </c>
      <c r="F3" s="66"/>
      <c r="G3" s="29"/>
      <c r="H3" s="65" t="s">
        <v>35</v>
      </c>
      <c r="I3" s="66"/>
      <c r="J3" s="73"/>
      <c r="K3" s="24"/>
      <c r="L3" s="24"/>
    </row>
    <row r="4" spans="1:12" ht="12.75" customHeight="1" thickBot="1">
      <c r="A4" s="73"/>
      <c r="B4" s="30" t="s">
        <v>36</v>
      </c>
      <c r="C4" s="31" t="s">
        <v>37</v>
      </c>
      <c r="D4" s="31" t="s">
        <v>38</v>
      </c>
      <c r="E4" s="32" t="s">
        <v>39</v>
      </c>
      <c r="F4" s="33" t="s">
        <v>40</v>
      </c>
      <c r="G4" s="34" t="s">
        <v>41</v>
      </c>
      <c r="H4" s="32" t="s">
        <v>39</v>
      </c>
      <c r="I4" s="35" t="s">
        <v>40</v>
      </c>
      <c r="J4" s="73"/>
      <c r="K4" s="24"/>
      <c r="L4" s="24"/>
    </row>
    <row r="5" spans="1:12" ht="12.75" customHeight="1">
      <c r="A5" s="73"/>
      <c r="B5" s="36" t="s">
        <v>4</v>
      </c>
      <c r="C5" s="37">
        <f>'[1]Sum #1'!B4</f>
        <v>1140233.92</v>
      </c>
      <c r="D5" s="38">
        <f>'[1]Sum #1'!C4</f>
        <v>1046360.88</v>
      </c>
      <c r="E5" s="39">
        <f>C5-D5</f>
        <v>93873.039999999921</v>
      </c>
      <c r="F5" s="88">
        <f>(C5-D5)/D5</f>
        <v>8.9713827986382597E-2</v>
      </c>
      <c r="G5" s="40">
        <f>'[1]Sum #1'!F4</f>
        <v>1030582.7</v>
      </c>
      <c r="H5" s="41">
        <f t="shared" ref="H5:H13" si="0">C5-G5</f>
        <v>109651.21999999997</v>
      </c>
      <c r="I5" s="89">
        <f t="shared" ref="I5:I13" si="1">(C5-G5)/G5</f>
        <v>0.10639730319556109</v>
      </c>
      <c r="J5" s="73"/>
      <c r="K5" s="24"/>
      <c r="L5" s="24"/>
    </row>
    <row r="6" spans="1:12">
      <c r="A6" s="73"/>
      <c r="B6" s="36" t="s">
        <v>6</v>
      </c>
      <c r="C6" s="90">
        <f>'[1]Sum #1'!B6</f>
        <v>7338991.9699999997</v>
      </c>
      <c r="D6" s="91">
        <f>'[1]Sum #1'!C6</f>
        <v>7124593.1200000001</v>
      </c>
      <c r="E6" s="92">
        <f t="shared" ref="E6:E13" si="2">C6-D6</f>
        <v>214398.84999999963</v>
      </c>
      <c r="F6" s="93">
        <f t="shared" ref="F6:F13" si="3">(C6-D6)/D6</f>
        <v>3.009278514419917E-2</v>
      </c>
      <c r="G6" s="94">
        <f>'[1]Sum #1'!F6</f>
        <v>7188798</v>
      </c>
      <c r="H6" s="95">
        <f t="shared" si="0"/>
        <v>150193.96999999974</v>
      </c>
      <c r="I6" s="96">
        <f t="shared" si="1"/>
        <v>2.0892779293561974E-2</v>
      </c>
      <c r="J6" s="73"/>
      <c r="K6" s="24"/>
      <c r="L6" s="24"/>
    </row>
    <row r="7" spans="1:12">
      <c r="A7" s="73"/>
      <c r="B7" s="36" t="s">
        <v>5</v>
      </c>
      <c r="C7" s="37">
        <f>'[1]Sum #1'!B5</f>
        <v>6115648.7000000002</v>
      </c>
      <c r="D7" s="38">
        <f>'[1]Sum #1'!C5</f>
        <v>5785261.6900000004</v>
      </c>
      <c r="E7" s="39">
        <f t="shared" si="2"/>
        <v>330387.00999999978</v>
      </c>
      <c r="F7" s="88">
        <f t="shared" si="3"/>
        <v>5.7108395039602737E-2</v>
      </c>
      <c r="G7" s="40">
        <f>'[1]Sum #1'!F5</f>
        <v>5572638</v>
      </c>
      <c r="H7" s="41">
        <f t="shared" si="0"/>
        <v>543010.70000000019</v>
      </c>
      <c r="I7" s="89">
        <f t="shared" si="1"/>
        <v>9.7442306498286835E-2</v>
      </c>
      <c r="J7" s="73"/>
      <c r="K7" s="24"/>
      <c r="L7" s="24"/>
    </row>
    <row r="8" spans="1:12">
      <c r="A8" s="73"/>
      <c r="B8" s="36" t="s">
        <v>42</v>
      </c>
      <c r="C8" s="90">
        <f>'[1]Sum #1'!B11</f>
        <v>3592093.54</v>
      </c>
      <c r="D8" s="91">
        <f>'[1]Sum #1'!C11</f>
        <v>4139490.1199999996</v>
      </c>
      <c r="E8" s="92">
        <f>C8-D8</f>
        <v>-547396.57999999961</v>
      </c>
      <c r="F8" s="93">
        <f>(C8-D8)/D8</f>
        <v>-0.13223768245157683</v>
      </c>
      <c r="G8" s="94">
        <f>'[1]Sum #1'!F11</f>
        <v>3102611.28</v>
      </c>
      <c r="H8" s="95">
        <f t="shared" si="0"/>
        <v>489482.26000000024</v>
      </c>
      <c r="I8" s="96">
        <f t="shared" si="1"/>
        <v>0.15776461046064408</v>
      </c>
      <c r="J8" s="73"/>
      <c r="K8" s="24"/>
      <c r="L8" s="24"/>
    </row>
    <row r="9" spans="1:12">
      <c r="A9" s="73"/>
      <c r="B9" s="36" t="s">
        <v>43</v>
      </c>
      <c r="C9" s="37">
        <f>'[1]Sum #1'!B7</f>
        <v>1370847.73</v>
      </c>
      <c r="D9" s="38">
        <f>'[1]Sum #1'!C7</f>
        <v>1403056.64</v>
      </c>
      <c r="E9" s="39">
        <f t="shared" si="2"/>
        <v>-32208.909999999916</v>
      </c>
      <c r="F9" s="88">
        <f t="shared" si="3"/>
        <v>-2.2956243591135364E-2</v>
      </c>
      <c r="G9" s="40">
        <f>'[1]Sum #1'!F7</f>
        <v>1406082.72</v>
      </c>
      <c r="H9" s="41">
        <f t="shared" si="0"/>
        <v>-35234.989999999991</v>
      </c>
      <c r="I9" s="89">
        <f t="shared" si="1"/>
        <v>-2.5058973770760794E-2</v>
      </c>
      <c r="J9" s="73"/>
      <c r="K9" s="24"/>
      <c r="L9" s="24"/>
    </row>
    <row r="10" spans="1:12">
      <c r="A10" s="73"/>
      <c r="B10" s="36" t="s">
        <v>44</v>
      </c>
      <c r="C10" s="90">
        <f>'[1]Sum #1'!B10</f>
        <v>673498.98</v>
      </c>
      <c r="D10" s="91">
        <f>'[1]Sum #1'!C10</f>
        <v>684645.14</v>
      </c>
      <c r="E10" s="92">
        <f>C10-D10</f>
        <v>-11146.160000000033</v>
      </c>
      <c r="F10" s="93">
        <f>(C10-D10)/D10</f>
        <v>-1.6280200280104278E-2</v>
      </c>
      <c r="G10" s="94">
        <f>'[1]Sum #1'!F10</f>
        <v>685171.15</v>
      </c>
      <c r="H10" s="95">
        <f t="shared" si="0"/>
        <v>-11672.170000000042</v>
      </c>
      <c r="I10" s="96">
        <f t="shared" si="1"/>
        <v>-1.7035407868530427E-2</v>
      </c>
      <c r="J10" s="73"/>
      <c r="K10" s="24"/>
      <c r="L10" s="24"/>
    </row>
    <row r="11" spans="1:12">
      <c r="A11" s="73"/>
      <c r="B11" s="36" t="s">
        <v>45</v>
      </c>
      <c r="C11" s="37">
        <f>'[1]Sum #1'!B8</f>
        <v>377928.3</v>
      </c>
      <c r="D11" s="38">
        <f>'[1]Sum #1'!C8</f>
        <v>420955.6</v>
      </c>
      <c r="E11" s="39">
        <f t="shared" si="2"/>
        <v>-43027.299999999988</v>
      </c>
      <c r="F11" s="88">
        <f t="shared" si="3"/>
        <v>-0.10221339257631919</v>
      </c>
      <c r="G11" s="40">
        <f>'[1]Sum #1'!F8</f>
        <v>443567.45</v>
      </c>
      <c r="H11" s="41">
        <f t="shared" si="0"/>
        <v>-65639.150000000023</v>
      </c>
      <c r="I11" s="89">
        <f t="shared" si="1"/>
        <v>-0.14798008735762738</v>
      </c>
      <c r="J11" s="73"/>
      <c r="K11" s="24"/>
      <c r="L11" s="24"/>
    </row>
    <row r="12" spans="1:12">
      <c r="A12" s="73"/>
      <c r="B12" s="42" t="s">
        <v>46</v>
      </c>
      <c r="C12" s="90">
        <f>'[1]Sum #1'!B9</f>
        <v>348776.95</v>
      </c>
      <c r="D12" s="91">
        <f>'[1]Sum #1'!C9</f>
        <v>563176.71</v>
      </c>
      <c r="E12" s="92">
        <f t="shared" si="2"/>
        <v>-214399.75999999995</v>
      </c>
      <c r="F12" s="93">
        <f t="shared" si="3"/>
        <v>-0.38069713500758928</v>
      </c>
      <c r="G12" s="94">
        <f>'[1]Sum #1'!F9</f>
        <v>615420.80000000005</v>
      </c>
      <c r="H12" s="95">
        <f t="shared" si="0"/>
        <v>-266643.85000000003</v>
      </c>
      <c r="I12" s="96">
        <f t="shared" si="1"/>
        <v>-0.43327077992814023</v>
      </c>
      <c r="J12" s="73"/>
      <c r="K12" s="24"/>
      <c r="L12" s="24"/>
    </row>
    <row r="13" spans="1:12" ht="13.5" thickBot="1">
      <c r="A13" s="73"/>
      <c r="B13" s="43" t="s">
        <v>7</v>
      </c>
      <c r="C13" s="44">
        <f>SUM(C5:C12)</f>
        <v>20958020.09</v>
      </c>
      <c r="D13" s="45">
        <f>SUM(D5:D12)</f>
        <v>21167539.900000006</v>
      </c>
      <c r="E13" s="46">
        <f t="shared" si="2"/>
        <v>-209519.81000000611</v>
      </c>
      <c r="F13" s="97">
        <f t="shared" si="3"/>
        <v>-9.8981653508070644E-3</v>
      </c>
      <c r="G13" s="47">
        <f>SUM(G5:G12)</f>
        <v>20044872.099999998</v>
      </c>
      <c r="H13" s="48">
        <f t="shared" si="0"/>
        <v>913147.99000000209</v>
      </c>
      <c r="I13" s="98">
        <f t="shared" si="1"/>
        <v>4.5555191644251113E-2</v>
      </c>
      <c r="J13" s="73"/>
      <c r="K13" s="24"/>
      <c r="L13" s="24"/>
    </row>
    <row r="14" spans="1:12">
      <c r="A14" s="73"/>
      <c r="B14" s="76"/>
      <c r="C14" s="51"/>
      <c r="D14" s="51"/>
      <c r="E14" s="77"/>
      <c r="F14" s="56"/>
      <c r="G14" s="78"/>
      <c r="H14" s="54"/>
      <c r="I14" s="56"/>
      <c r="J14" s="73"/>
      <c r="K14" s="24"/>
      <c r="L14" s="24"/>
    </row>
    <row r="15" spans="1:12">
      <c r="A15" s="73"/>
      <c r="B15" s="79"/>
      <c r="C15" s="80"/>
      <c r="D15" s="80"/>
      <c r="E15" s="81"/>
      <c r="F15" s="82"/>
      <c r="G15" s="83"/>
      <c r="H15" s="84"/>
      <c r="I15" s="82"/>
      <c r="J15" s="73"/>
      <c r="K15" s="24"/>
      <c r="L15" s="24"/>
    </row>
    <row r="16" spans="1:12" ht="13.5" thickBot="1">
      <c r="A16" s="24"/>
      <c r="B16" s="57"/>
      <c r="C16" s="58"/>
      <c r="D16" s="58"/>
      <c r="E16" s="58"/>
      <c r="F16" s="59"/>
      <c r="G16" s="60"/>
      <c r="H16" s="60"/>
      <c r="I16" s="61"/>
      <c r="J16" s="24"/>
      <c r="K16" s="24"/>
      <c r="L16" s="24"/>
    </row>
    <row r="17" spans="1:12" ht="13.5" thickBot="1">
      <c r="A17" s="24"/>
      <c r="B17" s="70" t="s">
        <v>47</v>
      </c>
      <c r="C17" s="71"/>
      <c r="D17" s="71"/>
      <c r="E17" s="71"/>
      <c r="F17" s="71"/>
      <c r="G17" s="71"/>
      <c r="H17" s="71"/>
      <c r="I17" s="72"/>
      <c r="J17" s="24"/>
      <c r="K17" s="24"/>
      <c r="L17" s="24"/>
    </row>
    <row r="18" spans="1:12" ht="12.75" customHeight="1">
      <c r="A18" s="24"/>
      <c r="B18" s="27"/>
      <c r="C18" s="28"/>
      <c r="D18" s="28"/>
      <c r="E18" s="65" t="s">
        <v>34</v>
      </c>
      <c r="F18" s="66"/>
      <c r="G18" s="29"/>
      <c r="H18" s="65" t="s">
        <v>35</v>
      </c>
      <c r="I18" s="66"/>
      <c r="J18" s="24"/>
      <c r="K18" s="24"/>
      <c r="L18" s="24"/>
    </row>
    <row r="19" spans="1:12" ht="13.5" thickBot="1">
      <c r="A19" s="24"/>
      <c r="B19" s="30" t="s">
        <v>48</v>
      </c>
      <c r="C19" s="31" t="s">
        <v>49</v>
      </c>
      <c r="D19" s="31" t="s">
        <v>38</v>
      </c>
      <c r="E19" s="32" t="s">
        <v>39</v>
      </c>
      <c r="F19" s="33" t="s">
        <v>40</v>
      </c>
      <c r="G19" s="34" t="s">
        <v>41</v>
      </c>
      <c r="H19" s="32" t="s">
        <v>39</v>
      </c>
      <c r="I19" s="35" t="s">
        <v>40</v>
      </c>
      <c r="J19" s="24"/>
      <c r="K19" s="24"/>
      <c r="L19" s="24"/>
    </row>
    <row r="20" spans="1:12">
      <c r="A20" s="24"/>
      <c r="B20" s="99" t="s">
        <v>50</v>
      </c>
      <c r="C20" s="37">
        <f>'[1]Sum #1'!B18</f>
        <v>3222026.72</v>
      </c>
      <c r="D20" s="38">
        <f>'[1]Sum #1'!C18</f>
        <v>3891539.85</v>
      </c>
      <c r="E20" s="39">
        <f t="shared" ref="E20:E27" si="4">C20-D20</f>
        <v>-669513.12999999989</v>
      </c>
      <c r="F20" s="88">
        <f t="shared" ref="F20:F27" si="5">(C20-D20)/D20</f>
        <v>-0.17204324144335817</v>
      </c>
      <c r="G20" s="49">
        <f>'[1]Sum #1'!F18</f>
        <v>3273393.63</v>
      </c>
      <c r="H20" s="41">
        <f t="shared" ref="H20:H27" si="6">C20-G20</f>
        <v>-51366.909999999683</v>
      </c>
      <c r="I20" s="89">
        <f t="shared" ref="I20:I27" si="7">(C20-G20)/G20</f>
        <v>-1.5692249636350544E-2</v>
      </c>
      <c r="J20" s="24"/>
      <c r="K20" s="24"/>
      <c r="L20" s="24"/>
    </row>
    <row r="21" spans="1:12">
      <c r="A21" s="24"/>
      <c r="B21" s="36" t="s">
        <v>51</v>
      </c>
      <c r="C21" s="90">
        <f>'[1]Sum #1'!B20</f>
        <v>1043670.8800000001</v>
      </c>
      <c r="D21" s="91">
        <f>'[1]Sum #1'!C20</f>
        <v>1221112.8999999999</v>
      </c>
      <c r="E21" s="92">
        <f t="shared" si="4"/>
        <v>-177442.01999999979</v>
      </c>
      <c r="F21" s="93">
        <f t="shared" si="5"/>
        <v>-0.14531172342868526</v>
      </c>
      <c r="G21" s="94">
        <f>'[1]Sum #1'!F20</f>
        <v>980446.27</v>
      </c>
      <c r="H21" s="95">
        <f t="shared" si="6"/>
        <v>63224.610000000102</v>
      </c>
      <c r="I21" s="96">
        <f t="shared" si="7"/>
        <v>6.448554289466582E-2</v>
      </c>
      <c r="J21" s="24"/>
      <c r="K21" s="24"/>
      <c r="L21" s="24"/>
    </row>
    <row r="22" spans="1:12">
      <c r="A22" s="24"/>
      <c r="B22" s="36" t="s">
        <v>52</v>
      </c>
      <c r="C22" s="37">
        <f>'[1]Sum #1'!B21</f>
        <v>22807.42</v>
      </c>
      <c r="D22" s="38">
        <f>'[1]Sum #1'!C21</f>
        <v>10500</v>
      </c>
      <c r="E22" s="39">
        <f t="shared" si="4"/>
        <v>12307.419999999998</v>
      </c>
      <c r="F22" s="88">
        <f t="shared" si="5"/>
        <v>1.1721352380952379</v>
      </c>
      <c r="G22" s="40">
        <f>'[1]Sum #1'!F21</f>
        <v>11473.1</v>
      </c>
      <c r="H22" s="41">
        <f t="shared" si="6"/>
        <v>11334.319999999998</v>
      </c>
      <c r="I22" s="89">
        <f t="shared" si="7"/>
        <v>0.98790387950946101</v>
      </c>
      <c r="J22" s="24"/>
      <c r="K22" s="24"/>
      <c r="L22" s="24"/>
    </row>
    <row r="23" spans="1:12">
      <c r="A23" s="24"/>
      <c r="B23" s="36" t="s">
        <v>53</v>
      </c>
      <c r="C23" s="90">
        <f>'[1]Sum #1'!B22:B22</f>
        <v>759402</v>
      </c>
      <c r="D23" s="91">
        <f>'[1]Sum #1'!C22:C22</f>
        <v>759402</v>
      </c>
      <c r="E23" s="92">
        <f t="shared" si="4"/>
        <v>0</v>
      </c>
      <c r="F23" s="93">
        <f t="shared" si="5"/>
        <v>0</v>
      </c>
      <c r="G23" s="94">
        <f>'[1]Sum #1'!F22:F22</f>
        <v>232305.5</v>
      </c>
      <c r="H23" s="95">
        <f t="shared" si="6"/>
        <v>527096.5</v>
      </c>
      <c r="I23" s="96">
        <f t="shared" si="7"/>
        <v>2.2689798562668555</v>
      </c>
      <c r="J23" s="24"/>
      <c r="K23" s="24"/>
      <c r="L23" s="24"/>
    </row>
    <row r="24" spans="1:12">
      <c r="B24" s="36" t="s">
        <v>54</v>
      </c>
      <c r="C24" s="37">
        <f>'[1]Sum #1'!B19</f>
        <v>2155454.0099999998</v>
      </c>
      <c r="D24" s="38">
        <f>'[1]Sum #1'!C19</f>
        <v>2217803.02</v>
      </c>
      <c r="E24" s="39">
        <f t="shared" si="4"/>
        <v>-62349.010000000242</v>
      </c>
      <c r="F24" s="88">
        <f t="shared" si="5"/>
        <v>-2.8112961087049221E-2</v>
      </c>
      <c r="G24" s="40">
        <f>'[1]Sum #1'!F19</f>
        <v>1355156.18</v>
      </c>
      <c r="H24" s="41">
        <f t="shared" si="6"/>
        <v>800297.82999999984</v>
      </c>
      <c r="I24" s="89">
        <f t="shared" si="7"/>
        <v>0.5905576359471717</v>
      </c>
      <c r="J24" s="24"/>
      <c r="K24" s="24"/>
      <c r="L24" s="24"/>
    </row>
    <row r="25" spans="1:12">
      <c r="A25" s="24"/>
      <c r="B25" s="36" t="s">
        <v>55</v>
      </c>
      <c r="C25" s="90">
        <v>759402</v>
      </c>
      <c r="D25" s="91">
        <v>759402</v>
      </c>
      <c r="E25" s="92">
        <v>0</v>
      </c>
      <c r="F25" s="93">
        <v>0</v>
      </c>
      <c r="G25" s="94">
        <v>232305.5</v>
      </c>
      <c r="H25" s="95">
        <v>527096.5</v>
      </c>
      <c r="I25" s="96">
        <v>2.2689798562668555</v>
      </c>
      <c r="J25" s="24"/>
      <c r="K25" s="24"/>
      <c r="L25" s="24"/>
    </row>
    <row r="26" spans="1:12">
      <c r="A26" s="24"/>
      <c r="B26" s="42" t="s">
        <v>56</v>
      </c>
      <c r="C26" s="50">
        <f>'[1]Sum #1'!B23</f>
        <v>27706198.209999997</v>
      </c>
      <c r="D26" s="51">
        <f>'[1]Sum #1'!C23</f>
        <v>29334026.449999999</v>
      </c>
      <c r="E26" s="52">
        <f t="shared" si="4"/>
        <v>-1627828.2400000021</v>
      </c>
      <c r="F26" s="100">
        <f t="shared" si="5"/>
        <v>-5.5492833306557618E-2</v>
      </c>
      <c r="G26" s="53">
        <f>'[1]Sum #1'!F23</f>
        <v>26159033.57</v>
      </c>
      <c r="H26" s="54">
        <f t="shared" si="6"/>
        <v>1547164.6399999969</v>
      </c>
      <c r="I26" s="101">
        <v>0</v>
      </c>
      <c r="J26" s="24"/>
      <c r="K26" s="24"/>
      <c r="L26" s="24"/>
    </row>
    <row r="27" spans="1:12" ht="13.5" thickBot="1">
      <c r="A27" s="24"/>
      <c r="B27" s="43" t="s">
        <v>7</v>
      </c>
      <c r="C27" s="102">
        <f>SUM(C20:C26)</f>
        <v>35668961.239999995</v>
      </c>
      <c r="D27" s="103">
        <f>SUM(D20:D26)</f>
        <v>38193786.219999999</v>
      </c>
      <c r="E27" s="104">
        <f t="shared" si="4"/>
        <v>-2524824.9800000042</v>
      </c>
      <c r="F27" s="105">
        <f t="shared" si="5"/>
        <v>-6.6105647799795539E-2</v>
      </c>
      <c r="G27" s="106">
        <f>SUM(G20:G26)</f>
        <v>32244113.75</v>
      </c>
      <c r="H27" s="107">
        <f t="shared" si="6"/>
        <v>3424847.4899999946</v>
      </c>
      <c r="I27" s="108">
        <f t="shared" si="7"/>
        <v>0.1062162079117462</v>
      </c>
      <c r="J27" s="24"/>
      <c r="K27" s="24"/>
      <c r="L27" s="24"/>
    </row>
    <row r="28" spans="1:12">
      <c r="A28" s="24"/>
      <c r="B28" s="62" t="s">
        <v>58</v>
      </c>
      <c r="C28" s="24"/>
      <c r="D28" s="24"/>
      <c r="E28" s="24"/>
      <c r="F28" s="25"/>
      <c r="G28" s="24"/>
      <c r="H28" s="24"/>
      <c r="I28" s="25"/>
      <c r="J28" s="24"/>
      <c r="K28" s="24"/>
      <c r="L28" s="24"/>
    </row>
    <row r="29" spans="1:12">
      <c r="A29" s="24"/>
      <c r="B29" s="24"/>
      <c r="C29" s="24"/>
      <c r="D29" s="24"/>
      <c r="E29" s="24"/>
      <c r="F29" s="25"/>
      <c r="G29" s="24"/>
      <c r="H29" s="24"/>
      <c r="I29" s="25"/>
      <c r="J29" s="24"/>
      <c r="K29" s="24"/>
      <c r="L29" s="24"/>
    </row>
    <row r="30" spans="1:12" ht="12.75" customHeight="1">
      <c r="A30" s="24"/>
      <c r="B30" s="24"/>
      <c r="C30" s="24"/>
      <c r="D30" s="24"/>
      <c r="E30" s="24"/>
      <c r="F30" s="25"/>
      <c r="G30" s="24"/>
      <c r="H30" s="24"/>
      <c r="I30" s="25"/>
      <c r="J30" s="24"/>
      <c r="K30" s="24"/>
      <c r="L30" s="24"/>
    </row>
    <row r="31" spans="1:12">
      <c r="A31" s="24"/>
      <c r="B31" s="24"/>
      <c r="C31" s="24"/>
      <c r="D31" s="24"/>
      <c r="E31" s="24"/>
      <c r="F31" s="25"/>
      <c r="G31" s="24"/>
      <c r="H31" s="24"/>
      <c r="I31" s="25"/>
      <c r="J31" s="24"/>
      <c r="K31" s="24"/>
      <c r="L31" s="24"/>
    </row>
    <row r="32" spans="1:12">
      <c r="A32" s="24"/>
      <c r="B32" s="24"/>
      <c r="C32" s="24"/>
      <c r="D32" s="24"/>
      <c r="E32" s="24"/>
      <c r="F32" s="25"/>
      <c r="G32" s="24"/>
      <c r="H32" s="24"/>
      <c r="I32" s="25"/>
      <c r="J32" s="24"/>
      <c r="K32" s="24"/>
      <c r="L32" s="24"/>
    </row>
    <row r="33" spans="1:12">
      <c r="A33" s="24"/>
      <c r="B33" s="24"/>
      <c r="C33" s="24"/>
      <c r="D33" s="24"/>
      <c r="E33" s="24"/>
      <c r="F33" s="25"/>
      <c r="G33" s="24"/>
      <c r="H33" s="24"/>
      <c r="I33" s="25"/>
      <c r="J33" s="24"/>
      <c r="K33" s="24"/>
      <c r="L33" s="24"/>
    </row>
    <row r="34" spans="1:12">
      <c r="A34" s="24"/>
      <c r="B34" s="24"/>
      <c r="C34" s="24"/>
      <c r="D34" s="24"/>
      <c r="E34" s="24"/>
      <c r="F34" s="25"/>
      <c r="G34" s="24"/>
      <c r="H34" s="24"/>
      <c r="I34" s="25"/>
      <c r="J34" s="24"/>
      <c r="K34" s="24"/>
      <c r="L34" s="24"/>
    </row>
    <row r="35" spans="1:12">
      <c r="A35" s="24"/>
      <c r="B35" s="24"/>
      <c r="C35" s="24"/>
      <c r="D35" s="24"/>
      <c r="E35" s="24"/>
      <c r="F35" s="25"/>
      <c r="G35" s="24"/>
      <c r="H35" s="24"/>
      <c r="I35" s="25"/>
      <c r="J35" s="24"/>
      <c r="K35" s="24"/>
      <c r="L35" s="24"/>
    </row>
    <row r="36" spans="1:12">
      <c r="A36" s="24"/>
      <c r="B36" s="24"/>
      <c r="C36" s="24"/>
      <c r="D36" s="24"/>
      <c r="E36" s="24"/>
      <c r="F36" s="25"/>
      <c r="G36" s="24"/>
      <c r="H36" s="24"/>
      <c r="I36" s="25"/>
      <c r="J36" s="24"/>
      <c r="K36" s="24"/>
      <c r="L36" s="24"/>
    </row>
    <row r="37" spans="1:12">
      <c r="A37" s="24"/>
      <c r="B37" s="24"/>
      <c r="C37" s="24"/>
      <c r="D37" s="24"/>
      <c r="E37" s="24"/>
      <c r="F37" s="25"/>
      <c r="G37" s="24"/>
      <c r="H37" s="24"/>
      <c r="I37" s="25"/>
      <c r="J37" s="24"/>
      <c r="K37" s="24"/>
      <c r="L37" s="24"/>
    </row>
    <row r="38" spans="1:12">
      <c r="A38" s="24"/>
      <c r="B38" s="24"/>
      <c r="C38" s="24"/>
      <c r="D38" s="24"/>
      <c r="E38" s="24"/>
      <c r="F38" s="25"/>
      <c r="G38" s="24"/>
      <c r="H38" s="24"/>
      <c r="I38" s="25"/>
      <c r="J38" s="24"/>
      <c r="K38" s="24"/>
      <c r="L38" s="24"/>
    </row>
    <row r="39" spans="1:12">
      <c r="A39" s="24"/>
      <c r="B39" s="24"/>
      <c r="C39" s="24"/>
      <c r="D39" s="24"/>
      <c r="E39" s="24"/>
      <c r="F39" s="25"/>
      <c r="G39" s="24"/>
      <c r="H39" s="24"/>
      <c r="I39" s="25"/>
      <c r="J39" s="24"/>
      <c r="K39" s="24"/>
      <c r="L39" s="24"/>
    </row>
    <row r="40" spans="1:12">
      <c r="A40" s="24"/>
      <c r="B40" s="24"/>
      <c r="C40" s="24"/>
      <c r="D40" s="24"/>
      <c r="E40" s="24"/>
      <c r="F40" s="25"/>
      <c r="G40" s="24"/>
      <c r="H40" s="24"/>
      <c r="I40" s="25"/>
      <c r="J40" s="24"/>
      <c r="K40" s="24"/>
      <c r="L40" s="24"/>
    </row>
    <row r="41" spans="1:12">
      <c r="A41" s="24"/>
      <c r="B41" s="24"/>
      <c r="C41" s="24"/>
      <c r="D41" s="24"/>
      <c r="E41" s="24"/>
      <c r="F41" s="25"/>
      <c r="G41" s="24"/>
      <c r="H41" s="24"/>
      <c r="I41" s="25"/>
      <c r="J41" s="24"/>
      <c r="K41" s="24"/>
      <c r="L41" s="24"/>
    </row>
    <row r="42" spans="1:12">
      <c r="A42" s="24"/>
      <c r="B42" s="24"/>
      <c r="C42" s="24"/>
      <c r="D42" s="24"/>
      <c r="E42" s="24"/>
      <c r="F42" s="25"/>
      <c r="G42" s="24"/>
      <c r="H42" s="24"/>
      <c r="I42" s="25"/>
      <c r="J42" s="24"/>
      <c r="K42" s="24"/>
      <c r="L42" s="24"/>
    </row>
    <row r="43" spans="1:12">
      <c r="A43" s="24"/>
      <c r="B43" s="24"/>
      <c r="C43" s="24"/>
      <c r="D43" s="24"/>
      <c r="E43" s="24"/>
      <c r="F43" s="25"/>
      <c r="G43" s="24"/>
      <c r="H43" s="24"/>
      <c r="I43" s="25"/>
      <c r="J43" s="24"/>
      <c r="K43" s="24"/>
      <c r="L43" s="24"/>
    </row>
    <row r="44" spans="1:12">
      <c r="A44" s="24"/>
      <c r="B44" s="24"/>
      <c r="C44" s="24"/>
      <c r="D44" s="24"/>
      <c r="E44" s="24"/>
      <c r="F44" s="25"/>
      <c r="G44" s="24"/>
      <c r="H44" s="24"/>
      <c r="I44" s="25"/>
      <c r="J44" s="24"/>
      <c r="K44" s="24"/>
      <c r="L44" s="24"/>
    </row>
    <row r="45" spans="1:12">
      <c r="A45" s="24"/>
      <c r="B45" s="24"/>
      <c r="C45" s="24"/>
      <c r="D45" s="24"/>
      <c r="E45" s="24"/>
      <c r="F45" s="25"/>
      <c r="G45" s="24"/>
      <c r="H45" s="24"/>
      <c r="I45" s="25"/>
      <c r="J45" s="24"/>
      <c r="K45" s="24"/>
      <c r="L45" s="24"/>
    </row>
    <row r="46" spans="1:12">
      <c r="A46" s="24"/>
      <c r="B46" s="24"/>
      <c r="C46" s="24"/>
      <c r="D46" s="24"/>
      <c r="E46" s="24"/>
      <c r="F46" s="25"/>
      <c r="G46" s="24"/>
      <c r="H46" s="24"/>
      <c r="I46" s="25"/>
      <c r="J46" s="24"/>
      <c r="K46" s="24"/>
      <c r="L46" s="24"/>
    </row>
    <row r="47" spans="1:12">
      <c r="A47" s="24"/>
      <c r="B47" s="24"/>
      <c r="C47" s="24"/>
      <c r="D47" s="24"/>
      <c r="E47" s="24"/>
      <c r="F47" s="25"/>
      <c r="G47" s="24"/>
      <c r="H47" s="24"/>
      <c r="I47" s="25"/>
      <c r="J47" s="24"/>
      <c r="K47" s="24"/>
      <c r="L47" s="24"/>
    </row>
    <row r="48" spans="1:12">
      <c r="A48" s="24"/>
      <c r="B48" s="24"/>
      <c r="C48" s="24"/>
      <c r="D48" s="24"/>
      <c r="E48" s="24"/>
      <c r="F48" s="25"/>
      <c r="G48" s="24"/>
      <c r="H48" s="24"/>
      <c r="I48" s="25"/>
      <c r="J48" s="24"/>
      <c r="K48" s="24"/>
      <c r="L48" s="24"/>
    </row>
    <row r="49" spans="1:12">
      <c r="A49" s="24"/>
      <c r="B49" s="24"/>
      <c r="C49" s="24"/>
      <c r="D49" s="24"/>
      <c r="E49" s="24"/>
      <c r="F49" s="25"/>
      <c r="G49" s="24"/>
      <c r="H49" s="24"/>
      <c r="I49" s="25"/>
      <c r="J49" s="24"/>
      <c r="K49" s="24"/>
      <c r="L49" s="24"/>
    </row>
    <row r="50" spans="1:12">
      <c r="A50" s="24"/>
      <c r="B50" s="24"/>
      <c r="C50" s="24"/>
      <c r="D50" s="24"/>
      <c r="E50" s="24"/>
      <c r="F50" s="25"/>
      <c r="G50" s="24"/>
      <c r="H50" s="24"/>
      <c r="I50" s="25"/>
      <c r="J50" s="24"/>
      <c r="K50" s="24"/>
      <c r="L50" s="24"/>
    </row>
    <row r="51" spans="1:12">
      <c r="A51" s="24"/>
      <c r="B51" s="24"/>
      <c r="C51" s="24"/>
      <c r="D51" s="24"/>
      <c r="E51" s="24"/>
      <c r="F51" s="25"/>
      <c r="G51" s="24"/>
      <c r="H51" s="24"/>
      <c r="I51" s="25"/>
      <c r="J51" s="24"/>
      <c r="K51" s="24"/>
      <c r="L51" s="24"/>
    </row>
    <row r="52" spans="1:12">
      <c r="A52" s="24"/>
      <c r="B52" s="24"/>
      <c r="C52" s="24"/>
      <c r="D52" s="24"/>
      <c r="E52" s="24"/>
      <c r="F52" s="25"/>
      <c r="G52" s="24"/>
      <c r="H52" s="24"/>
      <c r="I52" s="25"/>
      <c r="J52" s="24"/>
      <c r="K52" s="24"/>
      <c r="L52" s="24"/>
    </row>
    <row r="53" spans="1:12">
      <c r="A53" s="24"/>
      <c r="B53" s="24"/>
      <c r="C53" s="24"/>
      <c r="D53" s="24"/>
      <c r="E53" s="24"/>
      <c r="F53" s="25"/>
      <c r="G53" s="24"/>
      <c r="H53" s="24"/>
      <c r="I53" s="25"/>
      <c r="J53" s="24"/>
      <c r="K53" s="24"/>
      <c r="L53" s="24"/>
    </row>
    <row r="54" spans="1:12">
      <c r="A54" s="24"/>
      <c r="B54" s="24"/>
      <c r="C54" s="24"/>
      <c r="D54" s="24"/>
      <c r="E54" s="24"/>
      <c r="F54" s="25"/>
      <c r="G54" s="24"/>
      <c r="H54" s="24"/>
      <c r="I54" s="25"/>
      <c r="J54" s="24"/>
      <c r="K54" s="24"/>
      <c r="L54" s="24"/>
    </row>
    <row r="55" spans="1:12">
      <c r="A55" s="24"/>
      <c r="B55" s="24"/>
      <c r="C55" s="24"/>
      <c r="D55" s="24"/>
      <c r="E55" s="24"/>
      <c r="F55" s="25"/>
      <c r="G55" s="24"/>
      <c r="H55" s="24"/>
      <c r="I55" s="25"/>
      <c r="J55" s="24"/>
      <c r="K55" s="24"/>
      <c r="L55" s="24"/>
    </row>
    <row r="56" spans="1:12">
      <c r="A56" s="24"/>
      <c r="B56" s="24"/>
      <c r="C56" s="24"/>
      <c r="D56" s="24"/>
      <c r="E56" s="24"/>
      <c r="F56" s="25"/>
      <c r="G56" s="24"/>
      <c r="H56" s="24"/>
      <c r="I56" s="25"/>
      <c r="J56" s="24"/>
      <c r="K56" s="24"/>
      <c r="L56" s="24"/>
    </row>
    <row r="57" spans="1:12">
      <c r="A57" s="24"/>
      <c r="B57" s="24"/>
      <c r="C57" s="24"/>
      <c r="D57" s="24"/>
      <c r="E57" s="24"/>
      <c r="F57" s="25"/>
      <c r="G57" s="24"/>
      <c r="H57" s="24"/>
      <c r="I57" s="25"/>
      <c r="J57" s="24"/>
      <c r="K57" s="24"/>
      <c r="L57" s="24"/>
    </row>
    <row r="58" spans="1:12">
      <c r="A58" s="24"/>
      <c r="B58" s="24"/>
      <c r="C58" s="24"/>
      <c r="D58" s="24"/>
      <c r="E58" s="24"/>
      <c r="F58" s="25"/>
      <c r="G58" s="24"/>
      <c r="H58" s="24"/>
      <c r="I58" s="25"/>
      <c r="J58" s="24"/>
      <c r="K58" s="24"/>
      <c r="L58" s="24"/>
    </row>
    <row r="59" spans="1:12">
      <c r="A59" s="24"/>
      <c r="B59" s="24"/>
      <c r="C59" s="24"/>
      <c r="D59" s="24"/>
      <c r="E59" s="24"/>
      <c r="F59" s="25"/>
      <c r="G59" s="24"/>
      <c r="H59" s="24"/>
      <c r="I59" s="25"/>
      <c r="J59" s="24"/>
      <c r="K59" s="24"/>
      <c r="L59" s="24"/>
    </row>
    <row r="60" spans="1:12">
      <c r="A60" s="24"/>
      <c r="B60" s="24"/>
      <c r="C60" s="24"/>
      <c r="D60" s="24"/>
      <c r="E60" s="24"/>
      <c r="F60" s="25"/>
      <c r="G60" s="24"/>
      <c r="H60" s="24"/>
      <c r="I60" s="25"/>
      <c r="J60" s="24"/>
      <c r="K60" s="24"/>
      <c r="L60" s="24"/>
    </row>
    <row r="61" spans="1:12">
      <c r="A61" s="24"/>
      <c r="B61" s="24"/>
      <c r="C61" s="24"/>
      <c r="D61" s="24"/>
      <c r="E61" s="24"/>
      <c r="F61" s="25"/>
      <c r="G61" s="24"/>
      <c r="H61" s="24"/>
      <c r="I61" s="25"/>
      <c r="J61" s="24"/>
      <c r="K61" s="24"/>
      <c r="L61" s="24"/>
    </row>
    <row r="62" spans="1:12">
      <c r="A62" s="24"/>
      <c r="B62" s="24"/>
      <c r="C62" s="24"/>
      <c r="D62" s="24"/>
      <c r="E62" s="24"/>
      <c r="F62" s="25"/>
      <c r="G62" s="24"/>
      <c r="H62" s="24"/>
      <c r="I62" s="25"/>
      <c r="J62" s="24"/>
      <c r="K62" s="24"/>
      <c r="L62" s="24"/>
    </row>
    <row r="63" spans="1:12">
      <c r="A63" s="24"/>
      <c r="B63" s="24"/>
      <c r="C63" s="24"/>
      <c r="D63" s="24"/>
      <c r="E63" s="24"/>
      <c r="F63" s="25"/>
      <c r="G63" s="24"/>
      <c r="H63" s="24"/>
      <c r="I63" s="25"/>
      <c r="J63" s="24"/>
      <c r="K63" s="24"/>
      <c r="L63" s="24"/>
    </row>
    <row r="64" spans="1:12">
      <c r="A64" s="24"/>
      <c r="B64" s="24"/>
      <c r="C64" s="24"/>
      <c r="D64" s="24"/>
      <c r="E64" s="24"/>
      <c r="F64" s="25"/>
      <c r="G64" s="24"/>
      <c r="H64" s="24"/>
      <c r="I64" s="25"/>
      <c r="J64" s="24"/>
      <c r="K64" s="24"/>
      <c r="L64" s="24"/>
    </row>
    <row r="65" spans="1:12">
      <c r="A65" s="24"/>
      <c r="B65" s="24"/>
      <c r="C65" s="24"/>
      <c r="D65" s="24"/>
      <c r="E65" s="24"/>
      <c r="F65" s="25"/>
      <c r="G65" s="24"/>
      <c r="H65" s="24"/>
      <c r="I65" s="25"/>
      <c r="J65" s="24"/>
      <c r="K65" s="24"/>
      <c r="L65" s="24"/>
    </row>
    <row r="66" spans="1:12">
      <c r="A66" s="24"/>
      <c r="B66" s="24"/>
      <c r="C66" s="24"/>
      <c r="D66" s="24"/>
      <c r="E66" s="24"/>
      <c r="F66" s="25"/>
      <c r="G66" s="24"/>
      <c r="H66" s="24"/>
      <c r="I66" s="25"/>
      <c r="J66" s="24"/>
      <c r="K66" s="24"/>
      <c r="L66" s="24"/>
    </row>
    <row r="67" spans="1:12">
      <c r="A67" s="24"/>
      <c r="B67" s="24"/>
      <c r="C67" s="24"/>
      <c r="D67" s="24"/>
      <c r="E67" s="24"/>
      <c r="F67" s="25"/>
      <c r="G67" s="24"/>
      <c r="H67" s="24"/>
      <c r="I67" s="25"/>
      <c r="J67" s="24"/>
      <c r="K67" s="24"/>
    </row>
    <row r="68" spans="1:12">
      <c r="A68" s="24"/>
      <c r="B68" s="24"/>
      <c r="C68" s="24"/>
      <c r="D68" s="24"/>
      <c r="E68" s="24"/>
      <c r="F68" s="25"/>
      <c r="G68" s="24"/>
      <c r="H68" s="24"/>
      <c r="I68" s="25"/>
      <c r="J68" s="24"/>
      <c r="K68" s="24"/>
    </row>
    <row r="69" spans="1:12">
      <c r="A69" s="24"/>
      <c r="B69" s="24"/>
      <c r="C69" s="24"/>
      <c r="D69" s="24"/>
      <c r="E69" s="24"/>
      <c r="F69" s="25"/>
      <c r="G69" s="24"/>
      <c r="H69" s="24"/>
      <c r="I69" s="25"/>
      <c r="J69" s="24"/>
      <c r="K69" s="24"/>
    </row>
    <row r="70" spans="1:12">
      <c r="A70" s="24"/>
      <c r="B70" s="24"/>
      <c r="C70" s="24"/>
      <c r="D70" s="24"/>
      <c r="E70" s="24"/>
      <c r="F70" s="25"/>
      <c r="G70" s="24"/>
      <c r="H70" s="24"/>
      <c r="I70" s="25"/>
      <c r="J70" s="24"/>
      <c r="K70" s="24"/>
    </row>
    <row r="71" spans="1:12">
      <c r="A71" s="24"/>
      <c r="B71" s="24"/>
      <c r="C71" s="24"/>
      <c r="D71" s="24"/>
      <c r="E71" s="24"/>
      <c r="F71" s="25"/>
      <c r="G71" s="24"/>
      <c r="H71" s="24"/>
      <c r="I71" s="25"/>
      <c r="J71" s="24"/>
      <c r="K71" s="24"/>
    </row>
    <row r="72" spans="1:12">
      <c r="A72" s="24"/>
      <c r="B72" s="24"/>
      <c r="C72" s="24"/>
      <c r="D72" s="24"/>
      <c r="E72" s="24"/>
      <c r="F72" s="25"/>
      <c r="G72" s="24"/>
      <c r="H72" s="24"/>
      <c r="I72" s="25"/>
      <c r="J72" s="24"/>
      <c r="K72" s="24"/>
    </row>
    <row r="73" spans="1:12">
      <c r="A73" s="24"/>
      <c r="B73" s="24"/>
      <c r="C73" s="24"/>
      <c r="D73" s="24"/>
      <c r="E73" s="24"/>
      <c r="F73" s="25"/>
      <c r="G73" s="24"/>
      <c r="H73" s="24"/>
      <c r="I73" s="25"/>
      <c r="J73" s="24"/>
      <c r="K73" s="24"/>
    </row>
    <row r="74" spans="1:12">
      <c r="A74" s="24"/>
      <c r="B74" s="24"/>
      <c r="C74" s="24"/>
      <c r="D74" s="24"/>
      <c r="E74" s="24"/>
      <c r="F74" s="25"/>
      <c r="G74" s="24"/>
      <c r="H74" s="24"/>
      <c r="I74" s="25"/>
      <c r="J74" s="24"/>
      <c r="K74" s="24"/>
    </row>
    <row r="75" spans="1:12">
      <c r="A75" s="24"/>
      <c r="B75" s="24"/>
      <c r="C75" s="24"/>
      <c r="D75" s="24"/>
      <c r="E75" s="24"/>
      <c r="F75" s="25"/>
      <c r="G75" s="24"/>
      <c r="H75" s="24"/>
      <c r="I75" s="25"/>
      <c r="J75" s="24"/>
      <c r="K75" s="24"/>
    </row>
    <row r="76" spans="1:12">
      <c r="A76" s="24"/>
      <c r="B76" s="24"/>
      <c r="C76" s="24"/>
      <c r="D76" s="24"/>
      <c r="E76" s="24"/>
      <c r="F76" s="25"/>
      <c r="G76" s="24"/>
      <c r="H76" s="24"/>
      <c r="I76" s="25"/>
      <c r="J76" s="24"/>
      <c r="K76" s="24"/>
    </row>
  </sheetData>
  <mergeCells count="7">
    <mergeCell ref="B1:I1"/>
    <mergeCell ref="B2:I2"/>
    <mergeCell ref="E18:F18"/>
    <mergeCell ref="H18:I18"/>
    <mergeCell ref="B17:I17"/>
    <mergeCell ref="E3:F3"/>
    <mergeCell ref="H3:I3"/>
  </mergeCells>
  <printOptions horizontalCentered="1"/>
  <pageMargins left="0.25" right="0.25" top="0.56000000000000005" bottom="0.48" header="0.3" footer="0.3"/>
  <pageSetup orientation="portrait" r:id="rId1"/>
  <drawing r:id="rId2"/>
  <webPublishItems count="1">
    <webPublishItem id="1660" divId="5 Year Rvsd 11-18-11_1660" sourceType="sheet" destinationFile="C:\Documents and Settings\squigley\Desktop\5 Year Rvsd 11-18-11.mht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Fund Balance</vt:lpstr>
      <vt:lpstr>FB Graphs</vt:lpstr>
      <vt:lpstr>'FB Graphs'!Print_Area</vt:lpstr>
      <vt:lpstr>'Fund Balance'!Print_Area</vt:lpstr>
    </vt:vector>
  </TitlesOfParts>
  <Company>City of Lees Summit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City of Lee's Summit</dc:creator>
  <cp:lastModifiedBy>user</cp:lastModifiedBy>
  <cp:lastPrinted>2011-12-14T00:20:37Z</cp:lastPrinted>
  <dcterms:created xsi:type="dcterms:W3CDTF">2007-02-22T18:39:19Z</dcterms:created>
  <dcterms:modified xsi:type="dcterms:W3CDTF">2012-02-06T20:33:43Z</dcterms:modified>
</cp:coreProperties>
</file>