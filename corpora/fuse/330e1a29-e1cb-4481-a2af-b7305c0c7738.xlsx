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5" yWindow="5445" windowWidth="15480" windowHeight="5490" activeTab="1"/>
  </bookViews>
  <sheets>
    <sheet name="Instructions" sheetId="9" r:id="rId1"/>
    <sheet name="Report" sheetId="7" r:id="rId2"/>
    <sheet name="Funds" sheetId="14" r:id="rId3"/>
    <sheet name="Accounts" sheetId="10" r:id="rId4"/>
    <sheet name="Entries" sheetId="13" r:id="rId5"/>
    <sheet name="Aid Adjust" sheetId="5" r:id="rId6"/>
    <sheet name="Shift11" sheetId="2" r:id="rId7"/>
    <sheet name="Data" sheetId="1" r:id="rId8"/>
    <sheet name="Shift10" sheetId="4" r:id="rId9"/>
    <sheet name="Levy" sheetId="11" r:id="rId10"/>
    <sheet name="Receipts" sheetId="12" r:id="rId11"/>
    <sheet name="Ideas" sheetId="8" r:id="rId12"/>
    <sheet name="Query1" sheetId="15" r:id="rId13"/>
    <sheet name="Query4" sheetId="16" r:id="rId14"/>
  </sheets>
  <externalReferences>
    <externalReference r:id="rId15"/>
    <externalReference r:id="rId16"/>
  </externalReferences>
  <definedNames>
    <definedName name="Aid">'Aid Adjust'!$A$8:$H$344</definedName>
    <definedName name="Ideas" localSheetId="9">Levy!$A$8:$C$344</definedName>
    <definedName name="Ideas">Ideas!$A$8:$H$344</definedName>
    <definedName name="_xlnm.Print_Area" localSheetId="0">Instructions!$A$1:$M$77</definedName>
    <definedName name="_xlnm.Print_Area" localSheetId="9">Levy!$A$1:$V$344</definedName>
    <definedName name="_xlnm.Print_Titles" localSheetId="3">Accounts!$1:$9</definedName>
    <definedName name="_xlnm.Print_Titles" localSheetId="5">'Aid Adjust'!$1:$7</definedName>
    <definedName name="_xlnm.Print_Titles" localSheetId="7">Data!$A:$C,Data!$1:$7</definedName>
    <definedName name="_xlnm.Print_Titles" localSheetId="4">Entries!$1:$3</definedName>
    <definedName name="_xlnm.Print_Titles" localSheetId="11">Ideas!$1:$7</definedName>
    <definedName name="_xlnm.Print_Titles" localSheetId="9">Levy!$1:$7</definedName>
    <definedName name="_xlnm.Print_Titles" localSheetId="10">Receipts!$1:$7</definedName>
    <definedName name="_xlnm.Print_Titles" localSheetId="8">Shift10!$1:$7</definedName>
    <definedName name="_xlnm.Print_Titles" localSheetId="6">Shift11!$1:$6</definedName>
    <definedName name="Query_from_Databridge" localSheetId="12">Query1!$A$3:$F$14</definedName>
    <definedName name="Query_from_Databridge" localSheetId="13">Query4!$A$3:$F$5</definedName>
    <definedName name="Shift05" localSheetId="10">Receipts!$A$8:$K$344</definedName>
    <definedName name="ShiftCY">Shift11!$A$8:$O$344</definedName>
    <definedName name="ShiftPY">Shift10!$A$8:$O$344</definedName>
  </definedNames>
  <calcPr calcId="145621"/>
</workbook>
</file>

<file path=xl/calcChain.xml><?xml version="1.0" encoding="utf-8"?>
<calcChain xmlns="http://schemas.openxmlformats.org/spreadsheetml/2006/main">
  <c r="Z60" i="11" l="1"/>
  <c r="T9" i="11"/>
  <c r="T10" i="11"/>
  <c r="T11" i="11"/>
  <c r="T12" i="11"/>
  <c r="T13" i="11"/>
  <c r="T14" i="11"/>
  <c r="T15" i="11"/>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41" i="11"/>
  <c r="T42" i="11"/>
  <c r="T43" i="11"/>
  <c r="T44" i="11"/>
  <c r="T45" i="11"/>
  <c r="T46" i="11"/>
  <c r="T47" i="11"/>
  <c r="T48" i="11"/>
  <c r="T49" i="11"/>
  <c r="T50" i="11"/>
  <c r="T51" i="11"/>
  <c r="T52"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T87" i="11"/>
  <c r="T88" i="11"/>
  <c r="T89" i="11"/>
  <c r="T90" i="11"/>
  <c r="T91" i="11"/>
  <c r="T92" i="11"/>
  <c r="T93" i="11"/>
  <c r="T94" i="11"/>
  <c r="T95" i="11"/>
  <c r="T96" i="11"/>
  <c r="T97" i="11"/>
  <c r="T98" i="11"/>
  <c r="T99" i="11"/>
  <c r="T100" i="11"/>
  <c r="T101" i="11"/>
  <c r="T102" i="11"/>
  <c r="T103" i="11"/>
  <c r="T104" i="11"/>
  <c r="T105" i="11"/>
  <c r="T106" i="11"/>
  <c r="T107" i="11"/>
  <c r="T108" i="11"/>
  <c r="T109" i="11"/>
  <c r="T110" i="11"/>
  <c r="T111" i="11"/>
  <c r="T112" i="11"/>
  <c r="T113" i="11"/>
  <c r="T114" i="11"/>
  <c r="T115" i="11"/>
  <c r="T116" i="11"/>
  <c r="T117" i="11"/>
  <c r="T118" i="11"/>
  <c r="T119" i="11"/>
  <c r="T120" i="11"/>
  <c r="T121" i="11"/>
  <c r="T122" i="11"/>
  <c r="T123" i="11"/>
  <c r="T124" i="11"/>
  <c r="T125" i="11"/>
  <c r="T126" i="11"/>
  <c r="T127" i="11"/>
  <c r="T128" i="11"/>
  <c r="T129" i="11"/>
  <c r="T130" i="11"/>
  <c r="T131" i="11"/>
  <c r="T132" i="11"/>
  <c r="T133" i="11"/>
  <c r="T134" i="11"/>
  <c r="T135" i="11"/>
  <c r="T136" i="11"/>
  <c r="T137" i="11"/>
  <c r="T138" i="11"/>
  <c r="T139" i="11"/>
  <c r="T140" i="11"/>
  <c r="T141" i="11"/>
  <c r="T142" i="11"/>
  <c r="T143" i="11"/>
  <c r="T144" i="11"/>
  <c r="T145" i="11"/>
  <c r="T146" i="11"/>
  <c r="T147" i="11"/>
  <c r="T148" i="11"/>
  <c r="T149" i="11"/>
  <c r="T150" i="11"/>
  <c r="T151" i="11"/>
  <c r="T152" i="11"/>
  <c r="T153" i="11"/>
  <c r="T154" i="11"/>
  <c r="T155" i="11"/>
  <c r="T156" i="11"/>
  <c r="T157" i="11"/>
  <c r="T158" i="11"/>
  <c r="T159" i="11"/>
  <c r="T160" i="11"/>
  <c r="T161" i="11"/>
  <c r="T162" i="11"/>
  <c r="T163" i="11"/>
  <c r="T164" i="11"/>
  <c r="T165" i="11"/>
  <c r="T166" i="11"/>
  <c r="T167" i="11"/>
  <c r="T168" i="11"/>
  <c r="T169" i="11"/>
  <c r="T170" i="11"/>
  <c r="T171" i="11"/>
  <c r="T172" i="11"/>
  <c r="T173" i="11"/>
  <c r="T174" i="11"/>
  <c r="T175" i="11"/>
  <c r="T176" i="11"/>
  <c r="T177" i="11"/>
  <c r="T178" i="11"/>
  <c r="T179" i="11"/>
  <c r="T180" i="11"/>
  <c r="T181" i="11"/>
  <c r="T182" i="11"/>
  <c r="T183" i="11"/>
  <c r="T184" i="11"/>
  <c r="T185" i="11"/>
  <c r="T186" i="11"/>
  <c r="T187" i="11"/>
  <c r="T188" i="11"/>
  <c r="T189" i="11"/>
  <c r="T190" i="11"/>
  <c r="T191" i="11"/>
  <c r="T192" i="11"/>
  <c r="T193" i="11"/>
  <c r="T194" i="11"/>
  <c r="T195" i="11"/>
  <c r="T196" i="11"/>
  <c r="T197" i="11"/>
  <c r="T198" i="11"/>
  <c r="T199" i="11"/>
  <c r="T200" i="11"/>
  <c r="T201" i="11"/>
  <c r="T202" i="11"/>
  <c r="T203" i="11"/>
  <c r="T204" i="11"/>
  <c r="T205" i="11"/>
  <c r="T206" i="11"/>
  <c r="T207" i="11"/>
  <c r="T208" i="11"/>
  <c r="T209" i="11"/>
  <c r="T210" i="11"/>
  <c r="T211" i="11"/>
  <c r="T212" i="11"/>
  <c r="T213" i="11"/>
  <c r="T214" i="11"/>
  <c r="T215" i="11"/>
  <c r="T216" i="11"/>
  <c r="T217" i="11"/>
  <c r="T218" i="11"/>
  <c r="T219" i="11"/>
  <c r="T220" i="11"/>
  <c r="T221" i="11"/>
  <c r="T222" i="11"/>
  <c r="T223" i="11"/>
  <c r="T224" i="11"/>
  <c r="T225" i="11"/>
  <c r="T226" i="11"/>
  <c r="T227" i="11"/>
  <c r="T228" i="11"/>
  <c r="T229" i="11"/>
  <c r="T230" i="11"/>
  <c r="T231" i="11"/>
  <c r="T232" i="11"/>
  <c r="T233" i="11"/>
  <c r="T234" i="11"/>
  <c r="T235" i="11"/>
  <c r="T236" i="11"/>
  <c r="T237" i="11"/>
  <c r="T238" i="11"/>
  <c r="T239" i="11"/>
  <c r="T240" i="11"/>
  <c r="T241" i="11"/>
  <c r="T242" i="11"/>
  <c r="T243" i="11"/>
  <c r="T244" i="11"/>
  <c r="T245" i="11"/>
  <c r="T246" i="11"/>
  <c r="T247" i="11"/>
  <c r="T248" i="11"/>
  <c r="T249" i="11"/>
  <c r="T250" i="11"/>
  <c r="T251" i="11"/>
  <c r="T252" i="11"/>
  <c r="T253" i="11"/>
  <c r="T254" i="11"/>
  <c r="T255" i="11"/>
  <c r="T256" i="11"/>
  <c r="T257" i="11"/>
  <c r="T258" i="11"/>
  <c r="T259" i="11"/>
  <c r="T260" i="11"/>
  <c r="T261" i="11"/>
  <c r="T262" i="11"/>
  <c r="T263" i="11"/>
  <c r="T264" i="11"/>
  <c r="T265" i="11"/>
  <c r="T266" i="11"/>
  <c r="T267" i="11"/>
  <c r="T268" i="11"/>
  <c r="T269" i="11"/>
  <c r="T270" i="11"/>
  <c r="T271" i="11"/>
  <c r="T272" i="11"/>
  <c r="T273" i="11"/>
  <c r="T274" i="11"/>
  <c r="T275" i="11"/>
  <c r="T276" i="11"/>
  <c r="T277" i="11"/>
  <c r="T278" i="11"/>
  <c r="T279" i="11"/>
  <c r="T280" i="11"/>
  <c r="T281" i="11"/>
  <c r="T282" i="11"/>
  <c r="T283" i="11"/>
  <c r="T284" i="11"/>
  <c r="T285" i="11"/>
  <c r="T286" i="11"/>
  <c r="T287" i="11"/>
  <c r="T288" i="11"/>
  <c r="T289" i="11"/>
  <c r="T290" i="11"/>
  <c r="T291" i="11"/>
  <c r="T292" i="11"/>
  <c r="T293" i="11"/>
  <c r="T294" i="11"/>
  <c r="T295" i="11"/>
  <c r="T296" i="11"/>
  <c r="T297" i="11"/>
  <c r="T298" i="11"/>
  <c r="T299" i="11"/>
  <c r="T300" i="11"/>
  <c r="T301" i="11"/>
  <c r="T302" i="11"/>
  <c r="T303" i="11"/>
  <c r="T304" i="11"/>
  <c r="T305" i="11"/>
  <c r="T306" i="11"/>
  <c r="T307" i="11"/>
  <c r="T308" i="11"/>
  <c r="T309" i="11"/>
  <c r="T310" i="11"/>
  <c r="T311" i="11"/>
  <c r="T312" i="11"/>
  <c r="T313" i="11"/>
  <c r="T314" i="11"/>
  <c r="T315" i="11"/>
  <c r="T316" i="11"/>
  <c r="T317" i="11"/>
  <c r="T318" i="11"/>
  <c r="T319" i="11"/>
  <c r="T320" i="11"/>
  <c r="T321" i="11"/>
  <c r="T322" i="11"/>
  <c r="T323" i="11"/>
  <c r="T324" i="11"/>
  <c r="T325" i="11"/>
  <c r="T326" i="11"/>
  <c r="T327" i="11"/>
  <c r="T328" i="11"/>
  <c r="T329" i="11"/>
  <c r="T330" i="11"/>
  <c r="T331" i="11"/>
  <c r="T332" i="11"/>
  <c r="T333" i="11"/>
  <c r="T334" i="11"/>
  <c r="T335" i="11"/>
  <c r="T336" i="11"/>
  <c r="T337" i="11"/>
  <c r="T338" i="11"/>
  <c r="T339" i="11"/>
  <c r="T340" i="11"/>
  <c r="T341" i="11"/>
  <c r="T342" i="11"/>
  <c r="T343" i="11"/>
  <c r="T344"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S45" i="11"/>
  <c r="S46" i="11"/>
  <c r="S47" i="11"/>
  <c r="S48" i="11"/>
  <c r="S49" i="11"/>
  <c r="S50" i="11"/>
  <c r="S51" i="11"/>
  <c r="S52" i="11"/>
  <c r="S53" i="11"/>
  <c r="S54" i="11"/>
  <c r="S55" i="11"/>
  <c r="S56" i="11"/>
  <c r="S57" i="11"/>
  <c r="S58" i="11"/>
  <c r="S59" i="11"/>
  <c r="S60" i="11"/>
  <c r="S61" i="11"/>
  <c r="S62" i="11"/>
  <c r="S63" i="11"/>
  <c r="S64" i="11"/>
  <c r="S65" i="11"/>
  <c r="S66" i="11"/>
  <c r="S67" i="11"/>
  <c r="S68" i="11"/>
  <c r="S69" i="11"/>
  <c r="S70" i="11"/>
  <c r="S71" i="11"/>
  <c r="S72" i="11"/>
  <c r="S73" i="11"/>
  <c r="S74" i="11"/>
  <c r="S75" i="11"/>
  <c r="S76" i="11"/>
  <c r="S77" i="11"/>
  <c r="S78" i="11"/>
  <c r="S79" i="11"/>
  <c r="S80" i="11"/>
  <c r="S81" i="11"/>
  <c r="S82" i="11"/>
  <c r="S83" i="11"/>
  <c r="S84" i="11"/>
  <c r="S85" i="11"/>
  <c r="S86" i="11"/>
  <c r="S87" i="11"/>
  <c r="S88" i="11"/>
  <c r="S89" i="11"/>
  <c r="S90" i="11"/>
  <c r="S91" i="11"/>
  <c r="S92" i="11"/>
  <c r="S93" i="11"/>
  <c r="S94" i="11"/>
  <c r="S95" i="11"/>
  <c r="S96" i="11"/>
  <c r="S97" i="11"/>
  <c r="S98" i="11"/>
  <c r="S99" i="11"/>
  <c r="S100" i="11"/>
  <c r="S101" i="11"/>
  <c r="S102" i="11"/>
  <c r="S103" i="11"/>
  <c r="S104" i="11"/>
  <c r="S105" i="11"/>
  <c r="S106" i="11"/>
  <c r="S107" i="11"/>
  <c r="S108" i="11"/>
  <c r="S109" i="11"/>
  <c r="S110" i="11"/>
  <c r="S111" i="11"/>
  <c r="S112" i="11"/>
  <c r="S113" i="11"/>
  <c r="S114" i="11"/>
  <c r="S115" i="11"/>
  <c r="S116" i="11"/>
  <c r="S117" i="11"/>
  <c r="S118" i="11"/>
  <c r="S119" i="11"/>
  <c r="S120" i="11"/>
  <c r="S121" i="11"/>
  <c r="S122" i="11"/>
  <c r="S123" i="11"/>
  <c r="S124" i="11"/>
  <c r="S125" i="11"/>
  <c r="S126" i="11"/>
  <c r="S127" i="11"/>
  <c r="S128" i="11"/>
  <c r="S129" i="11"/>
  <c r="S130" i="11"/>
  <c r="S131" i="11"/>
  <c r="S132" i="11"/>
  <c r="S133" i="11"/>
  <c r="S134" i="11"/>
  <c r="S135" i="11"/>
  <c r="S136" i="11"/>
  <c r="S137" i="11"/>
  <c r="S138" i="11"/>
  <c r="S139" i="11"/>
  <c r="S140" i="11"/>
  <c r="S141" i="11"/>
  <c r="S142" i="11"/>
  <c r="S143" i="11"/>
  <c r="S144" i="11"/>
  <c r="S145" i="11"/>
  <c r="S146" i="11"/>
  <c r="S147" i="11"/>
  <c r="S148" i="11"/>
  <c r="S149" i="11"/>
  <c r="S150" i="11"/>
  <c r="S151" i="11"/>
  <c r="S152" i="11"/>
  <c r="S153" i="11"/>
  <c r="S154" i="11"/>
  <c r="S155" i="11"/>
  <c r="S156" i="11"/>
  <c r="S157" i="11"/>
  <c r="S158" i="11"/>
  <c r="S159" i="11"/>
  <c r="S160" i="11"/>
  <c r="S161" i="11"/>
  <c r="S162" i="11"/>
  <c r="S163" i="11"/>
  <c r="S164" i="11"/>
  <c r="S165" i="11"/>
  <c r="S166" i="11"/>
  <c r="S167" i="11"/>
  <c r="S168" i="11"/>
  <c r="S169" i="11"/>
  <c r="S170" i="11"/>
  <c r="S171" i="11"/>
  <c r="S172" i="11"/>
  <c r="S173" i="11"/>
  <c r="S174" i="11"/>
  <c r="S175" i="11"/>
  <c r="S176" i="11"/>
  <c r="S177" i="11"/>
  <c r="S178" i="11"/>
  <c r="S179" i="11"/>
  <c r="S180" i="11"/>
  <c r="S181" i="11"/>
  <c r="S182" i="11"/>
  <c r="S183" i="11"/>
  <c r="S184" i="11"/>
  <c r="S185" i="11"/>
  <c r="S186" i="11"/>
  <c r="S187" i="11"/>
  <c r="S188" i="11"/>
  <c r="S189" i="11"/>
  <c r="S190" i="11"/>
  <c r="S191" i="11"/>
  <c r="S192" i="11"/>
  <c r="S193" i="11"/>
  <c r="S194" i="11"/>
  <c r="S195" i="11"/>
  <c r="S196" i="11"/>
  <c r="S197" i="11"/>
  <c r="S198" i="11"/>
  <c r="S199" i="11"/>
  <c r="S200" i="11"/>
  <c r="S201" i="11"/>
  <c r="S202" i="11"/>
  <c r="S203" i="11"/>
  <c r="S204" i="11"/>
  <c r="S205" i="11"/>
  <c r="S206" i="11"/>
  <c r="S207" i="11"/>
  <c r="S208" i="11"/>
  <c r="S209" i="11"/>
  <c r="S210" i="11"/>
  <c r="S211" i="11"/>
  <c r="S212" i="11"/>
  <c r="S213" i="11"/>
  <c r="S214" i="11"/>
  <c r="S215" i="11"/>
  <c r="S216" i="11"/>
  <c r="S217" i="11"/>
  <c r="S218" i="11"/>
  <c r="S219" i="11"/>
  <c r="S220" i="11"/>
  <c r="S221" i="11"/>
  <c r="S222" i="11"/>
  <c r="S223" i="11"/>
  <c r="S224" i="11"/>
  <c r="S225" i="11"/>
  <c r="S226" i="11"/>
  <c r="S227" i="11"/>
  <c r="S228" i="11"/>
  <c r="S229" i="11"/>
  <c r="S230" i="11"/>
  <c r="S231" i="11"/>
  <c r="S232" i="11"/>
  <c r="S233" i="11"/>
  <c r="S234" i="11"/>
  <c r="S235" i="11"/>
  <c r="S236" i="11"/>
  <c r="S237" i="11"/>
  <c r="S238" i="11"/>
  <c r="S239" i="11"/>
  <c r="S240" i="11"/>
  <c r="S241" i="11"/>
  <c r="S242" i="11"/>
  <c r="S243" i="11"/>
  <c r="S244" i="11"/>
  <c r="S245" i="11"/>
  <c r="S246" i="11"/>
  <c r="S247" i="11"/>
  <c r="S248" i="11"/>
  <c r="S249" i="11"/>
  <c r="S250" i="11"/>
  <c r="S251" i="11"/>
  <c r="S252" i="11"/>
  <c r="S253" i="11"/>
  <c r="S254" i="11"/>
  <c r="S255" i="11"/>
  <c r="S256" i="11"/>
  <c r="S257" i="11"/>
  <c r="S258" i="11"/>
  <c r="S259" i="11"/>
  <c r="S260" i="11"/>
  <c r="S261" i="11"/>
  <c r="S262" i="11"/>
  <c r="S263" i="11"/>
  <c r="S264" i="11"/>
  <c r="S265" i="11"/>
  <c r="S266" i="11"/>
  <c r="S267" i="11"/>
  <c r="S268" i="11"/>
  <c r="S269" i="11"/>
  <c r="S270" i="11"/>
  <c r="S271" i="11"/>
  <c r="S272" i="11"/>
  <c r="S273" i="11"/>
  <c r="S274" i="11"/>
  <c r="S275" i="11"/>
  <c r="S276" i="11"/>
  <c r="S277" i="11"/>
  <c r="S278" i="11"/>
  <c r="S279" i="11"/>
  <c r="S280" i="11"/>
  <c r="S281" i="11"/>
  <c r="S282" i="11"/>
  <c r="S283" i="11"/>
  <c r="S284" i="11"/>
  <c r="S285" i="11"/>
  <c r="S286" i="11"/>
  <c r="S287" i="11"/>
  <c r="S288" i="11"/>
  <c r="S289" i="11"/>
  <c r="S290" i="11"/>
  <c r="S291" i="11"/>
  <c r="S292" i="11"/>
  <c r="S293" i="11"/>
  <c r="S294" i="11"/>
  <c r="S295" i="11"/>
  <c r="S296" i="11"/>
  <c r="S297" i="11"/>
  <c r="S298" i="11"/>
  <c r="S299" i="11"/>
  <c r="S300" i="11"/>
  <c r="S301" i="11"/>
  <c r="S302" i="11"/>
  <c r="S303" i="11"/>
  <c r="S304" i="11"/>
  <c r="S305" i="11"/>
  <c r="S306" i="11"/>
  <c r="S307" i="11"/>
  <c r="S308" i="11"/>
  <c r="S309" i="11"/>
  <c r="S310" i="11"/>
  <c r="S311" i="11"/>
  <c r="S312" i="11"/>
  <c r="S313" i="11"/>
  <c r="S314" i="11"/>
  <c r="S315" i="11"/>
  <c r="S316" i="11"/>
  <c r="S317" i="11"/>
  <c r="S318" i="11"/>
  <c r="S319" i="11"/>
  <c r="S320" i="11"/>
  <c r="S321" i="11"/>
  <c r="S6" i="11" s="1"/>
  <c r="S322" i="11"/>
  <c r="S323" i="11"/>
  <c r="S324" i="11"/>
  <c r="S325" i="11"/>
  <c r="S326" i="11"/>
  <c r="S327" i="11"/>
  <c r="S328" i="11"/>
  <c r="S329" i="11"/>
  <c r="S330" i="11"/>
  <c r="S331" i="11"/>
  <c r="S332" i="11"/>
  <c r="S333" i="11"/>
  <c r="S334" i="11"/>
  <c r="S335" i="11"/>
  <c r="S336" i="11"/>
  <c r="S337" i="11"/>
  <c r="S338" i="11"/>
  <c r="S339" i="11"/>
  <c r="S340" i="11"/>
  <c r="S341" i="11"/>
  <c r="S342" i="11"/>
  <c r="S343" i="11"/>
  <c r="S344" i="11"/>
  <c r="T8" i="11"/>
  <c r="T6" i="11" s="1"/>
  <c r="S8" i="11"/>
  <c r="AA9" i="11"/>
  <c r="AA60" i="11"/>
  <c r="AA61" i="11"/>
  <c r="AA208" i="11"/>
  <c r="AA209" i="11"/>
  <c r="Z9" i="11"/>
  <c r="Z56" i="11"/>
  <c r="Z110" i="11"/>
  <c r="Z111" i="11"/>
  <c r="Z112" i="11"/>
  <c r="Z113" i="11"/>
  <c r="Z125" i="11"/>
  <c r="Z138" i="11"/>
  <c r="Z139" i="11"/>
  <c r="Z140" i="11"/>
  <c r="Z141" i="11"/>
  <c r="Z142" i="11"/>
  <c r="Z143" i="11"/>
  <c r="Z144" i="11"/>
  <c r="Z145" i="11"/>
  <c r="Z146" i="11"/>
  <c r="Z147" i="11"/>
  <c r="Z148" i="11"/>
  <c r="Z149" i="11"/>
  <c r="Z150" i="11"/>
  <c r="Z151" i="11"/>
  <c r="Z152" i="11"/>
  <c r="Z153" i="11"/>
  <c r="Z154" i="11"/>
  <c r="Z155" i="11"/>
  <c r="Z156" i="11"/>
  <c r="Z157" i="11"/>
  <c r="Z158" i="11"/>
  <c r="Z159" i="11"/>
  <c r="Z160" i="11"/>
  <c r="Z161" i="11"/>
  <c r="Z162" i="11"/>
  <c r="Z163" i="11"/>
  <c r="Z164" i="11"/>
  <c r="Z165" i="11"/>
  <c r="Z166" i="11"/>
  <c r="Z167" i="11"/>
  <c r="Z168" i="11"/>
  <c r="Z169" i="11"/>
  <c r="Z170" i="11"/>
  <c r="Z171" i="11"/>
  <c r="Z172" i="11"/>
  <c r="Z173" i="11"/>
  <c r="Z174" i="11"/>
  <c r="Z175" i="11"/>
  <c r="Z176" i="11"/>
  <c r="Z177" i="11"/>
  <c r="Z178" i="11"/>
  <c r="Z179" i="11"/>
  <c r="Z180" i="11"/>
  <c r="Z181" i="11"/>
  <c r="Z182" i="11"/>
  <c r="Z183" i="11"/>
  <c r="Z184" i="11"/>
  <c r="Z185" i="11"/>
  <c r="Z186" i="11"/>
  <c r="Z187" i="11"/>
  <c r="Z188" i="11"/>
  <c r="Z189" i="11"/>
  <c r="Z190" i="11"/>
  <c r="Z191" i="11"/>
  <c r="Z192" i="11"/>
  <c r="Z193" i="11"/>
  <c r="Z194" i="11"/>
  <c r="Z195" i="11"/>
  <c r="Z196" i="11"/>
  <c r="Z197" i="11"/>
  <c r="Z198" i="11"/>
  <c r="Z199" i="11"/>
  <c r="Z200" i="11"/>
  <c r="Z201" i="11"/>
  <c r="Z207" i="11"/>
  <c r="Z208" i="11"/>
  <c r="Z209" i="11"/>
  <c r="Z211" i="11"/>
  <c r="Z213" i="11"/>
  <c r="Z216" i="11"/>
  <c r="Z282" i="11"/>
  <c r="Z286" i="11"/>
  <c r="Z321" i="11"/>
  <c r="Z330" i="11"/>
  <c r="Z331" i="11"/>
  <c r="Z332" i="11"/>
  <c r="Z333" i="11"/>
  <c r="Z334" i="11"/>
  <c r="Z335" i="11"/>
  <c r="Z336" i="11"/>
  <c r="Z337" i="11"/>
  <c r="Z338" i="11"/>
  <c r="Z339" i="11"/>
  <c r="Z340" i="11"/>
  <c r="Z341" i="11"/>
  <c r="Z342" i="11"/>
  <c r="Z343" i="11"/>
  <c r="Z344" i="11"/>
  <c r="AA8" i="11"/>
  <c r="Z8" i="11"/>
  <c r="AA210" i="11"/>
  <c r="AA344" i="11"/>
  <c r="AA343" i="11"/>
  <c r="AA342" i="11"/>
  <c r="AA341" i="11"/>
  <c r="AA340" i="11"/>
  <c r="AA339" i="11"/>
  <c r="AA338" i="11"/>
  <c r="AA337" i="11"/>
  <c r="AA336" i="11"/>
  <c r="AA335" i="11"/>
  <c r="AA334" i="11"/>
  <c r="AA333" i="11"/>
  <c r="AA332" i="11"/>
  <c r="AA331" i="11"/>
  <c r="AA330" i="11"/>
  <c r="AA329" i="11"/>
  <c r="Z329" i="11"/>
  <c r="AA328" i="11"/>
  <c r="Z328" i="11"/>
  <c r="AA327" i="11"/>
  <c r="Z327" i="11"/>
  <c r="AA326" i="11"/>
  <c r="Z326" i="11"/>
  <c r="AA325" i="11"/>
  <c r="Z325" i="11"/>
  <c r="AA324" i="11"/>
  <c r="Z324" i="11"/>
  <c r="AA323" i="11"/>
  <c r="Z323" i="11"/>
  <c r="AA322" i="11"/>
  <c r="Z322" i="11"/>
  <c r="AA321" i="11"/>
  <c r="AA320" i="11"/>
  <c r="Z320" i="11"/>
  <c r="AA319" i="11"/>
  <c r="Z319" i="11"/>
  <c r="AA318" i="11"/>
  <c r="Z318" i="11"/>
  <c r="AA317" i="11"/>
  <c r="Z317" i="11"/>
  <c r="AA316" i="11"/>
  <c r="Z316" i="11"/>
  <c r="AA315" i="11"/>
  <c r="Z315" i="11"/>
  <c r="AA314" i="11"/>
  <c r="Z314" i="11"/>
  <c r="AA313" i="11"/>
  <c r="Z313" i="11"/>
  <c r="AA312" i="11"/>
  <c r="Z312" i="11"/>
  <c r="AA311" i="11"/>
  <c r="Z311" i="11"/>
  <c r="AA310" i="11"/>
  <c r="Z310" i="11"/>
  <c r="AA309" i="11"/>
  <c r="Z309" i="11"/>
  <c r="AA308" i="11"/>
  <c r="Z308" i="11"/>
  <c r="AA307" i="11"/>
  <c r="Z307" i="11"/>
  <c r="AA306" i="11"/>
  <c r="Z306" i="11"/>
  <c r="AA305" i="11"/>
  <c r="Z305" i="11"/>
  <c r="AA304" i="11"/>
  <c r="Z304" i="11"/>
  <c r="AA303" i="11"/>
  <c r="Z303" i="11"/>
  <c r="AA302" i="11"/>
  <c r="Z302" i="11"/>
  <c r="AA301" i="11"/>
  <c r="Z301" i="11"/>
  <c r="AA300" i="11"/>
  <c r="Z300" i="11"/>
  <c r="AA299" i="11"/>
  <c r="Z299" i="11"/>
  <c r="AA298" i="11"/>
  <c r="Z298" i="11"/>
  <c r="AA297" i="11"/>
  <c r="Z297" i="11"/>
  <c r="AA296" i="11"/>
  <c r="Z296" i="11"/>
  <c r="AA295" i="11"/>
  <c r="Z295" i="11"/>
  <c r="AA294" i="11"/>
  <c r="Z294" i="11"/>
  <c r="AA293" i="11"/>
  <c r="Z293" i="11"/>
  <c r="AA292" i="11"/>
  <c r="Z292" i="11"/>
  <c r="AA291" i="11"/>
  <c r="Z291" i="11"/>
  <c r="AA290" i="11"/>
  <c r="Z290" i="11"/>
  <c r="AA289" i="11"/>
  <c r="Z289" i="11"/>
  <c r="AA288" i="11"/>
  <c r="Z288" i="11"/>
  <c r="AA287" i="11"/>
  <c r="Z287" i="11"/>
  <c r="AA286" i="11"/>
  <c r="AA285" i="11"/>
  <c r="Z285" i="11"/>
  <c r="AA284" i="11"/>
  <c r="Z284" i="11"/>
  <c r="AA283" i="11"/>
  <c r="Z283" i="11"/>
  <c r="AA282" i="11"/>
  <c r="AA281" i="11"/>
  <c r="Z281" i="11"/>
  <c r="AA280" i="11"/>
  <c r="Z280" i="11"/>
  <c r="AA279" i="11"/>
  <c r="Z279" i="11"/>
  <c r="AA278" i="11"/>
  <c r="Z278" i="11"/>
  <c r="AA277" i="11"/>
  <c r="Z277" i="11"/>
  <c r="AA276" i="11"/>
  <c r="Z276" i="11"/>
  <c r="AA275" i="11"/>
  <c r="Z275" i="11"/>
  <c r="AA274" i="11"/>
  <c r="Z274" i="11"/>
  <c r="AA273" i="11"/>
  <c r="Z273" i="11"/>
  <c r="AA272" i="11"/>
  <c r="Z272" i="11"/>
  <c r="AA271" i="11"/>
  <c r="Z271" i="11"/>
  <c r="AA270" i="11"/>
  <c r="Z270" i="11"/>
  <c r="AA269" i="11"/>
  <c r="Z269" i="11"/>
  <c r="AA268" i="11"/>
  <c r="Z268" i="11"/>
  <c r="AA267" i="11"/>
  <c r="Z267" i="11"/>
  <c r="AA266" i="11"/>
  <c r="Z266" i="11"/>
  <c r="AA265" i="11"/>
  <c r="Z265" i="11"/>
  <c r="AA264" i="11"/>
  <c r="Z264" i="11"/>
  <c r="AA263" i="11"/>
  <c r="Z263" i="11"/>
  <c r="AA262" i="11"/>
  <c r="Z262" i="11"/>
  <c r="AA261" i="11"/>
  <c r="Z261" i="11"/>
  <c r="AA260" i="11"/>
  <c r="Z260" i="11"/>
  <c r="AA259" i="11"/>
  <c r="Z259" i="11"/>
  <c r="AA258" i="11"/>
  <c r="Z258" i="11"/>
  <c r="AA257" i="11"/>
  <c r="Z257" i="11"/>
  <c r="AA256" i="11"/>
  <c r="Z256" i="11"/>
  <c r="AA255" i="11"/>
  <c r="Z255" i="11"/>
  <c r="AA254" i="11"/>
  <c r="Z254" i="11"/>
  <c r="AA253" i="11"/>
  <c r="Z253" i="11"/>
  <c r="AA252" i="11"/>
  <c r="Z252" i="11"/>
  <c r="AA251" i="11"/>
  <c r="Z251" i="11"/>
  <c r="AA250" i="11"/>
  <c r="Z250" i="11"/>
  <c r="AA249" i="11"/>
  <c r="Z249" i="11"/>
  <c r="AA248" i="11"/>
  <c r="Z248" i="11"/>
  <c r="AA247" i="11"/>
  <c r="Z247" i="11"/>
  <c r="AA246" i="11"/>
  <c r="Z246" i="11"/>
  <c r="AA245" i="11"/>
  <c r="Z245" i="11"/>
  <c r="AA244" i="11"/>
  <c r="Z244" i="11"/>
  <c r="AA243" i="11"/>
  <c r="Z243" i="11"/>
  <c r="AA242" i="11"/>
  <c r="Z242" i="11"/>
  <c r="AA241" i="11"/>
  <c r="Z241" i="11"/>
  <c r="AA240" i="11"/>
  <c r="Z240" i="11"/>
  <c r="AA239" i="11"/>
  <c r="Z239" i="11"/>
  <c r="AA238" i="11"/>
  <c r="Z238" i="11"/>
  <c r="AA237" i="11"/>
  <c r="Z237" i="11"/>
  <c r="AA236" i="11"/>
  <c r="Z236" i="11"/>
  <c r="AA235" i="11"/>
  <c r="Z235" i="11"/>
  <c r="AA234" i="11"/>
  <c r="Z234" i="11"/>
  <c r="AA233" i="11"/>
  <c r="Z233" i="11"/>
  <c r="AA232" i="11"/>
  <c r="Z232" i="11"/>
  <c r="AA231" i="11"/>
  <c r="Z231" i="11"/>
  <c r="AA230" i="11"/>
  <c r="Z230" i="11"/>
  <c r="AA229" i="11"/>
  <c r="Z229" i="11"/>
  <c r="AA228" i="11"/>
  <c r="Z228" i="11"/>
  <c r="AA227" i="11"/>
  <c r="Z227" i="11"/>
  <c r="AA226" i="11"/>
  <c r="Z226" i="11"/>
  <c r="AA225" i="11"/>
  <c r="Z225" i="11"/>
  <c r="AA224" i="11"/>
  <c r="Z224" i="11"/>
  <c r="AA223" i="11"/>
  <c r="Z223" i="11"/>
  <c r="AA222" i="11"/>
  <c r="Z222" i="11"/>
  <c r="AA221" i="11"/>
  <c r="Z221" i="11"/>
  <c r="AA220" i="11"/>
  <c r="Z220" i="11"/>
  <c r="AA219" i="11"/>
  <c r="Z219" i="11"/>
  <c r="AA218" i="11"/>
  <c r="Z218" i="11"/>
  <c r="AA217" i="11"/>
  <c r="Z217" i="11"/>
  <c r="AA216" i="11"/>
  <c r="AA215" i="11"/>
  <c r="Z215" i="11"/>
  <c r="AA214" i="11"/>
  <c r="Z214" i="11"/>
  <c r="AA213" i="11"/>
  <c r="AA212" i="11"/>
  <c r="Z212" i="11"/>
  <c r="AA211" i="11"/>
  <c r="Z210" i="11"/>
  <c r="AA207" i="11"/>
  <c r="AA206" i="11"/>
  <c r="Z206" i="11"/>
  <c r="AA205" i="11"/>
  <c r="Z205" i="11"/>
  <c r="AA204" i="11"/>
  <c r="Z204" i="11"/>
  <c r="AA203" i="11"/>
  <c r="Z203" i="11"/>
  <c r="AA202" i="11"/>
  <c r="Z202" i="11"/>
  <c r="AA201" i="11"/>
  <c r="AA200" i="11"/>
  <c r="AA199" i="11"/>
  <c r="AA198" i="11"/>
  <c r="AA197" i="11"/>
  <c r="AA196" i="11"/>
  <c r="AA195" i="11"/>
  <c r="AA194" i="11"/>
  <c r="AA193" i="11"/>
  <c r="AA192" i="11"/>
  <c r="AA191" i="11"/>
  <c r="AA190" i="11"/>
  <c r="AA189" i="11"/>
  <c r="AA188" i="11"/>
  <c r="AA187" i="11"/>
  <c r="AA186" i="11"/>
  <c r="AA185" i="11"/>
  <c r="AA184" i="11"/>
  <c r="AA183" i="11"/>
  <c r="AA182" i="11"/>
  <c r="AA181" i="11"/>
  <c r="AA180" i="11"/>
  <c r="AA179" i="11"/>
  <c r="AA178" i="11"/>
  <c r="AA177" i="11"/>
  <c r="AA176" i="11"/>
  <c r="AA175" i="11"/>
  <c r="AA174" i="11"/>
  <c r="AA173" i="11"/>
  <c r="AA172" i="11"/>
  <c r="AA171" i="11"/>
  <c r="AA170" i="11"/>
  <c r="AA169" i="11"/>
  <c r="AA168" i="11"/>
  <c r="AA167" i="11"/>
  <c r="AA166" i="11"/>
  <c r="AA165" i="11"/>
  <c r="AA164" i="11"/>
  <c r="AA163" i="11"/>
  <c r="AA162" i="11"/>
  <c r="AA161" i="11"/>
  <c r="AA160" i="11"/>
  <c r="AA159" i="11"/>
  <c r="AA158" i="11"/>
  <c r="AA157" i="11"/>
  <c r="AA156" i="11"/>
  <c r="AA155" i="11"/>
  <c r="AA154" i="11"/>
  <c r="AA153" i="11"/>
  <c r="AA152" i="11"/>
  <c r="AA151" i="11"/>
  <c r="AA150" i="11"/>
  <c r="AA149" i="11"/>
  <c r="AA148" i="11"/>
  <c r="AA147" i="11"/>
  <c r="AA146" i="11"/>
  <c r="AA145" i="11"/>
  <c r="AA144" i="11"/>
  <c r="AA143" i="11"/>
  <c r="AA142" i="11"/>
  <c r="AA141" i="11"/>
  <c r="AA140" i="11"/>
  <c r="AA139" i="11"/>
  <c r="AA138" i="11"/>
  <c r="AA137" i="11"/>
  <c r="Z137" i="11"/>
  <c r="AA136" i="11"/>
  <c r="Z136" i="11"/>
  <c r="AA135" i="11"/>
  <c r="Z135" i="11"/>
  <c r="AA134" i="11"/>
  <c r="Z134" i="11"/>
  <c r="AA133" i="11"/>
  <c r="Z133" i="11"/>
  <c r="AA132" i="11"/>
  <c r="Z132" i="11"/>
  <c r="AA131" i="11"/>
  <c r="Z131" i="11"/>
  <c r="AA130" i="11"/>
  <c r="Z130" i="11"/>
  <c r="AA129" i="11"/>
  <c r="Z129" i="11"/>
  <c r="AA128" i="11"/>
  <c r="Z128" i="11"/>
  <c r="AA127" i="11"/>
  <c r="Z127" i="11"/>
  <c r="AA126" i="11"/>
  <c r="Z126" i="11"/>
  <c r="AA125" i="11"/>
  <c r="AA124" i="11"/>
  <c r="Z124" i="11"/>
  <c r="AA123" i="11"/>
  <c r="Z123" i="11"/>
  <c r="AA122" i="11"/>
  <c r="Z122" i="11"/>
  <c r="AA121" i="11"/>
  <c r="Z121" i="11"/>
  <c r="AA120" i="11"/>
  <c r="Z120" i="11"/>
  <c r="AA119" i="11"/>
  <c r="Z119" i="11"/>
  <c r="AA118" i="11"/>
  <c r="Z118" i="11"/>
  <c r="AA117" i="11"/>
  <c r="Z117" i="11"/>
  <c r="AA116" i="11"/>
  <c r="Z116" i="11"/>
  <c r="AA115" i="11"/>
  <c r="Z115" i="11"/>
  <c r="AA114" i="11"/>
  <c r="Z114" i="11"/>
  <c r="AA113" i="11"/>
  <c r="AA112" i="11"/>
  <c r="AA111" i="11"/>
  <c r="AA110" i="11"/>
  <c r="AA109" i="11"/>
  <c r="Z109" i="11"/>
  <c r="AA108" i="11"/>
  <c r="Z108" i="11"/>
  <c r="AA107" i="11"/>
  <c r="Z107" i="11"/>
  <c r="AA106" i="11"/>
  <c r="Z106" i="11"/>
  <c r="AA105" i="11"/>
  <c r="Z105" i="11"/>
  <c r="AA104" i="11"/>
  <c r="Z104" i="11"/>
  <c r="AA103" i="11"/>
  <c r="Z103" i="11"/>
  <c r="AA102" i="11"/>
  <c r="Z102" i="11"/>
  <c r="AA101" i="11"/>
  <c r="Z101" i="11"/>
  <c r="AA100" i="11"/>
  <c r="Z100" i="11"/>
  <c r="AA99" i="11"/>
  <c r="Z99" i="11"/>
  <c r="AA98" i="11"/>
  <c r="Z98" i="11"/>
  <c r="AA97" i="11"/>
  <c r="Z97" i="11"/>
  <c r="AA96" i="11"/>
  <c r="Z96" i="11"/>
  <c r="AA95" i="11"/>
  <c r="Z95" i="11"/>
  <c r="AA94" i="11"/>
  <c r="Z94" i="11"/>
  <c r="AA93" i="11"/>
  <c r="Z93" i="11"/>
  <c r="AA92" i="11"/>
  <c r="Z92" i="11"/>
  <c r="AA91" i="11"/>
  <c r="Z91" i="11"/>
  <c r="AA90" i="11"/>
  <c r="Z90" i="11"/>
  <c r="AA89" i="11"/>
  <c r="Z89" i="11"/>
  <c r="AA88" i="11"/>
  <c r="Z88" i="11"/>
  <c r="AA87" i="11"/>
  <c r="Z87" i="11"/>
  <c r="AA86" i="11"/>
  <c r="Z86" i="11"/>
  <c r="AA85" i="11"/>
  <c r="Z85" i="11"/>
  <c r="AA84" i="11"/>
  <c r="Z84" i="11"/>
  <c r="AA83" i="11"/>
  <c r="Z83" i="11"/>
  <c r="AA82" i="11"/>
  <c r="Z82" i="11"/>
  <c r="AA81" i="11"/>
  <c r="Z81" i="11"/>
  <c r="AA80" i="11"/>
  <c r="Z80" i="11"/>
  <c r="AA79" i="11"/>
  <c r="Z79" i="11"/>
  <c r="AA78" i="11"/>
  <c r="Z78" i="11"/>
  <c r="AA77" i="11"/>
  <c r="Z77" i="11"/>
  <c r="AA76" i="11"/>
  <c r="Z76" i="11"/>
  <c r="AA75" i="11"/>
  <c r="Z75" i="11"/>
  <c r="AA74" i="11"/>
  <c r="Z74" i="11"/>
  <c r="AA73" i="11"/>
  <c r="Z73" i="11"/>
  <c r="AA72" i="11"/>
  <c r="Z72" i="11"/>
  <c r="AA71" i="11"/>
  <c r="Z71" i="11"/>
  <c r="AA70" i="11"/>
  <c r="Z70" i="11"/>
  <c r="AA69" i="11"/>
  <c r="Z69" i="11"/>
  <c r="AA68" i="11"/>
  <c r="Z68" i="11"/>
  <c r="AA67" i="11"/>
  <c r="Z67" i="11"/>
  <c r="AA66" i="11"/>
  <c r="Z66" i="11"/>
  <c r="AA65" i="11"/>
  <c r="Z65" i="11"/>
  <c r="AA64" i="11"/>
  <c r="Z64" i="11"/>
  <c r="AA63" i="11"/>
  <c r="Z63" i="11"/>
  <c r="AA62" i="11"/>
  <c r="Z62" i="11"/>
  <c r="Z61" i="11"/>
  <c r="AA59" i="11"/>
  <c r="Z59" i="11"/>
  <c r="AA58" i="11"/>
  <c r="Z58" i="11"/>
  <c r="AA57" i="11"/>
  <c r="Z57" i="11"/>
  <c r="AA56" i="11"/>
  <c r="AA55" i="11"/>
  <c r="Z55" i="11"/>
  <c r="AA54" i="11"/>
  <c r="Z54" i="11"/>
  <c r="AA53" i="11"/>
  <c r="Z53" i="11"/>
  <c r="AA52" i="11"/>
  <c r="Z52" i="11"/>
  <c r="AA51" i="11"/>
  <c r="Z51" i="11"/>
  <c r="AA50" i="11"/>
  <c r="Z50" i="11"/>
  <c r="AA49" i="11"/>
  <c r="Z49" i="11"/>
  <c r="AA48" i="11"/>
  <c r="Z48" i="11"/>
  <c r="AA47" i="11"/>
  <c r="Z47" i="11"/>
  <c r="AA46" i="11"/>
  <c r="Z46" i="11"/>
  <c r="AA45" i="11"/>
  <c r="Z45" i="11"/>
  <c r="AA44" i="11"/>
  <c r="Z44" i="11"/>
  <c r="AA43" i="11"/>
  <c r="Z43" i="11"/>
  <c r="AA42" i="11"/>
  <c r="Z42" i="11"/>
  <c r="AA41" i="11"/>
  <c r="Z41" i="11"/>
  <c r="AA40" i="11"/>
  <c r="Z40" i="11"/>
  <c r="AA39" i="11"/>
  <c r="Z39" i="11"/>
  <c r="AA38" i="11"/>
  <c r="Z38" i="11"/>
  <c r="AA37" i="11"/>
  <c r="Z37" i="11"/>
  <c r="AA36" i="11"/>
  <c r="Z36" i="11"/>
  <c r="AA35" i="11"/>
  <c r="Z35" i="11"/>
  <c r="AA34" i="11"/>
  <c r="Z34" i="11"/>
  <c r="AA33" i="11"/>
  <c r="Z33" i="11"/>
  <c r="AA32" i="11"/>
  <c r="Z32" i="11"/>
  <c r="AA31" i="11"/>
  <c r="Z31" i="11"/>
  <c r="AA30" i="11"/>
  <c r="Z30" i="11"/>
  <c r="AA29" i="11"/>
  <c r="Z29" i="11"/>
  <c r="AA28" i="11"/>
  <c r="Z28" i="11"/>
  <c r="AA27" i="11"/>
  <c r="Z27" i="11"/>
  <c r="AA26" i="11"/>
  <c r="Z26" i="11"/>
  <c r="AA25" i="11"/>
  <c r="Z25" i="11"/>
  <c r="AA24" i="11"/>
  <c r="Z24" i="11"/>
  <c r="AA23" i="11"/>
  <c r="Z23" i="11"/>
  <c r="AA22" i="11"/>
  <c r="Z22" i="11"/>
  <c r="AA21" i="11"/>
  <c r="Z21" i="11"/>
  <c r="AA20" i="11"/>
  <c r="Z20" i="11"/>
  <c r="AA19" i="11"/>
  <c r="Z19" i="11"/>
  <c r="AA18" i="11"/>
  <c r="Z18" i="11"/>
  <c r="AA17" i="11"/>
  <c r="Z17" i="11"/>
  <c r="AA16" i="11"/>
  <c r="Z16" i="11"/>
  <c r="AA15" i="11"/>
  <c r="Z15" i="11"/>
  <c r="AA14" i="11"/>
  <c r="Z14" i="11"/>
  <c r="AA12" i="11"/>
  <c r="Z12" i="11"/>
  <c r="AA11" i="11"/>
  <c r="Z11" i="11"/>
  <c r="AA10" i="11"/>
  <c r="Z10" i="11"/>
  <c r="H23" i="7"/>
  <c r="H18" i="7"/>
  <c r="J4" i="12"/>
  <c r="E4" i="12"/>
  <c r="A10" i="9"/>
  <c r="B59" i="7"/>
  <c r="C33" i="7"/>
  <c r="C36" i="7"/>
  <c r="C35" i="7"/>
  <c r="C34" i="7"/>
  <c r="C48" i="7"/>
  <c r="A2" i="11"/>
  <c r="A3" i="11"/>
  <c r="A1" i="1" s="1"/>
  <c r="B49" i="9"/>
  <c r="B60" i="9"/>
  <c r="B53" i="9"/>
  <c r="C39" i="9"/>
  <c r="C38" i="9"/>
  <c r="A15" i="9"/>
  <c r="A13" i="9"/>
  <c r="A5" i="9"/>
  <c r="B57" i="9"/>
  <c r="D9" i="1"/>
  <c r="AE9" i="1"/>
  <c r="AF9" i="1"/>
  <c r="E9" i="2"/>
  <c r="E9" i="5"/>
  <c r="E9" i="1"/>
  <c r="F9" i="1"/>
  <c r="G9" i="1"/>
  <c r="H9" i="1"/>
  <c r="D10" i="1"/>
  <c r="E10" i="1"/>
  <c r="F10" i="1"/>
  <c r="G10" i="1"/>
  <c r="H10" i="1"/>
  <c r="D11" i="1"/>
  <c r="AE11" i="1"/>
  <c r="E11" i="1"/>
  <c r="F11" i="1"/>
  <c r="G11" i="1"/>
  <c r="H11" i="1"/>
  <c r="D12" i="1"/>
  <c r="E12" i="1"/>
  <c r="F12" i="1"/>
  <c r="G12" i="1"/>
  <c r="H12" i="1"/>
  <c r="D13" i="1"/>
  <c r="AE13" i="1"/>
  <c r="AF13" i="1"/>
  <c r="E13" i="2"/>
  <c r="E13" i="1"/>
  <c r="F13" i="1"/>
  <c r="G13" i="1"/>
  <c r="H13" i="1"/>
  <c r="D14" i="1"/>
  <c r="E14" i="1"/>
  <c r="F14" i="1"/>
  <c r="G14" i="1"/>
  <c r="H14" i="1"/>
  <c r="D15" i="1"/>
  <c r="AE15" i="1"/>
  <c r="AF15" i="1" s="1"/>
  <c r="E15" i="2" s="1"/>
  <c r="E15" i="5" s="1"/>
  <c r="E15" i="1"/>
  <c r="F15" i="1"/>
  <c r="G15" i="1"/>
  <c r="H15" i="1"/>
  <c r="D16" i="1"/>
  <c r="E16" i="1"/>
  <c r="F16" i="1"/>
  <c r="G16" i="1"/>
  <c r="H16" i="1"/>
  <c r="D17" i="1"/>
  <c r="AE17" i="1" s="1"/>
  <c r="AF17" i="1" s="1"/>
  <c r="E17" i="2" s="1"/>
  <c r="E17" i="5" s="1"/>
  <c r="E17" i="1"/>
  <c r="F17" i="1"/>
  <c r="G17" i="1"/>
  <c r="H17" i="1"/>
  <c r="D18" i="1"/>
  <c r="E18" i="1"/>
  <c r="F18" i="1"/>
  <c r="G18" i="1"/>
  <c r="H18" i="1"/>
  <c r="D19" i="1"/>
  <c r="AE19" i="1"/>
  <c r="AF19" i="1" s="1"/>
  <c r="E19" i="2" s="1"/>
  <c r="E19" i="5" s="1"/>
  <c r="E19" i="1"/>
  <c r="F19" i="1"/>
  <c r="G19" i="1"/>
  <c r="H19" i="1"/>
  <c r="D20" i="1"/>
  <c r="E20" i="1"/>
  <c r="F20" i="1"/>
  <c r="G20" i="1"/>
  <c r="H20" i="1"/>
  <c r="D21" i="1"/>
  <c r="AE21" i="1"/>
  <c r="AF21" i="1"/>
  <c r="E21" i="2"/>
  <c r="E21" i="1"/>
  <c r="F21" i="1"/>
  <c r="G21" i="1"/>
  <c r="H21" i="1"/>
  <c r="D22" i="1"/>
  <c r="E22" i="1"/>
  <c r="F22" i="1"/>
  <c r="G22" i="1"/>
  <c r="H22" i="1"/>
  <c r="D23" i="1"/>
  <c r="AE23" i="1" s="1"/>
  <c r="AF23" i="1" s="1"/>
  <c r="E23" i="2" s="1"/>
  <c r="E23" i="1"/>
  <c r="F23" i="1"/>
  <c r="G23" i="1"/>
  <c r="H23" i="1"/>
  <c r="D24" i="1"/>
  <c r="E24" i="1"/>
  <c r="F24" i="1"/>
  <c r="G24" i="1"/>
  <c r="H24" i="1"/>
  <c r="D25" i="1"/>
  <c r="AE25" i="1"/>
  <c r="AF25" i="1" s="1"/>
  <c r="E25" i="2" s="1"/>
  <c r="E25" i="1"/>
  <c r="F25" i="1"/>
  <c r="G25" i="1"/>
  <c r="H25" i="1"/>
  <c r="D26" i="1"/>
  <c r="E26" i="1"/>
  <c r="F26" i="1"/>
  <c r="G26" i="1"/>
  <c r="H26" i="1"/>
  <c r="D27" i="1"/>
  <c r="AE27" i="1" s="1"/>
  <c r="AF27" i="1" s="1"/>
  <c r="E27" i="2" s="1"/>
  <c r="E27" i="5"/>
  <c r="E27" i="1"/>
  <c r="F27" i="1"/>
  <c r="G27" i="1"/>
  <c r="H27" i="1"/>
  <c r="D28" i="1"/>
  <c r="E28" i="1"/>
  <c r="F28" i="1"/>
  <c r="G28" i="1"/>
  <c r="H28" i="1"/>
  <c r="D29" i="1"/>
  <c r="E29" i="1"/>
  <c r="F29" i="1"/>
  <c r="G29" i="1"/>
  <c r="H29" i="1"/>
  <c r="D30" i="1"/>
  <c r="E30" i="1"/>
  <c r="F30" i="1"/>
  <c r="G30" i="1"/>
  <c r="H30" i="1"/>
  <c r="D31" i="1"/>
  <c r="E31" i="1"/>
  <c r="F31" i="1"/>
  <c r="G31" i="1"/>
  <c r="H31" i="1"/>
  <c r="D32" i="1"/>
  <c r="AE32" i="1" s="1"/>
  <c r="E32" i="1"/>
  <c r="F32" i="1"/>
  <c r="G32" i="1"/>
  <c r="H32" i="1"/>
  <c r="D33" i="1"/>
  <c r="E33" i="1"/>
  <c r="F33" i="1"/>
  <c r="G33" i="1"/>
  <c r="H33" i="1"/>
  <c r="D34" i="1"/>
  <c r="E34" i="1"/>
  <c r="F34" i="1"/>
  <c r="G34" i="1"/>
  <c r="H34" i="1"/>
  <c r="D35" i="1"/>
  <c r="E35" i="1"/>
  <c r="F35" i="1"/>
  <c r="G35" i="1"/>
  <c r="H35" i="1"/>
  <c r="D36" i="1"/>
  <c r="E36" i="1"/>
  <c r="F36" i="1"/>
  <c r="G36" i="1"/>
  <c r="H36" i="1"/>
  <c r="D37" i="1"/>
  <c r="E37" i="1"/>
  <c r="F37" i="1"/>
  <c r="G37" i="1"/>
  <c r="H37" i="1"/>
  <c r="D38" i="1"/>
  <c r="E38" i="1"/>
  <c r="F38" i="1"/>
  <c r="G38" i="1"/>
  <c r="H38" i="1"/>
  <c r="D39" i="1"/>
  <c r="E39" i="1"/>
  <c r="F39" i="1"/>
  <c r="G39" i="1"/>
  <c r="H39" i="1"/>
  <c r="D40" i="1"/>
  <c r="AE40" i="1" s="1"/>
  <c r="AF40" i="1" s="1"/>
  <c r="E40" i="1"/>
  <c r="F40" i="1"/>
  <c r="G40" i="1"/>
  <c r="H40" i="1"/>
  <c r="D41" i="1"/>
  <c r="E41" i="1"/>
  <c r="F41" i="1"/>
  <c r="G41" i="1"/>
  <c r="H41" i="1"/>
  <c r="D42" i="1"/>
  <c r="E42" i="1"/>
  <c r="F42" i="1"/>
  <c r="G42" i="1"/>
  <c r="H42" i="1"/>
  <c r="D43" i="1"/>
  <c r="AE43" i="1" s="1"/>
  <c r="E43" i="1"/>
  <c r="F43" i="1"/>
  <c r="G43" i="1"/>
  <c r="H43" i="1"/>
  <c r="D44" i="1"/>
  <c r="E44" i="1"/>
  <c r="F44" i="1"/>
  <c r="G44" i="1"/>
  <c r="H44" i="1"/>
  <c r="D45" i="1"/>
  <c r="E45" i="1"/>
  <c r="F45" i="1"/>
  <c r="G45" i="1"/>
  <c r="H45" i="1"/>
  <c r="D46" i="1"/>
  <c r="E46" i="1"/>
  <c r="F46" i="1"/>
  <c r="G46" i="1"/>
  <c r="H46" i="1"/>
  <c r="D47" i="1"/>
  <c r="E47" i="1"/>
  <c r="F47" i="1"/>
  <c r="G47" i="1"/>
  <c r="H47" i="1"/>
  <c r="D48" i="1"/>
  <c r="E48" i="1"/>
  <c r="F48" i="1"/>
  <c r="G48" i="1"/>
  <c r="H48" i="1"/>
  <c r="D49" i="1"/>
  <c r="E49" i="1"/>
  <c r="F49" i="1"/>
  <c r="G49" i="1"/>
  <c r="H49" i="1"/>
  <c r="D50" i="1"/>
  <c r="E50" i="1"/>
  <c r="F50" i="1"/>
  <c r="G50" i="1"/>
  <c r="H50" i="1"/>
  <c r="D51" i="1"/>
  <c r="E51" i="1"/>
  <c r="F51" i="1"/>
  <c r="G51" i="1"/>
  <c r="H51" i="1"/>
  <c r="D52" i="1"/>
  <c r="E52" i="1"/>
  <c r="F52" i="1"/>
  <c r="G52" i="1"/>
  <c r="H52" i="1"/>
  <c r="D53" i="1"/>
  <c r="E53" i="1"/>
  <c r="F53" i="1"/>
  <c r="G53" i="1"/>
  <c r="H53" i="1"/>
  <c r="D54" i="1"/>
  <c r="E54" i="1"/>
  <c r="F54" i="1"/>
  <c r="G54" i="1"/>
  <c r="H54" i="1"/>
  <c r="D55" i="1"/>
  <c r="E55" i="1"/>
  <c r="F55" i="1"/>
  <c r="G55" i="1"/>
  <c r="H55" i="1"/>
  <c r="D56" i="1"/>
  <c r="E56" i="1"/>
  <c r="F56" i="1"/>
  <c r="G56" i="1"/>
  <c r="H56" i="1"/>
  <c r="D57" i="1"/>
  <c r="E57" i="1"/>
  <c r="F57" i="1"/>
  <c r="G57" i="1"/>
  <c r="H57" i="1"/>
  <c r="D58" i="1"/>
  <c r="E58" i="1"/>
  <c r="F58" i="1"/>
  <c r="G58" i="1"/>
  <c r="H58" i="1"/>
  <c r="D59" i="1"/>
  <c r="E59" i="1"/>
  <c r="F59" i="1"/>
  <c r="G59" i="1"/>
  <c r="H59" i="1"/>
  <c r="D60" i="1"/>
  <c r="E60" i="1"/>
  <c r="F60" i="1"/>
  <c r="G60" i="1"/>
  <c r="H60" i="1"/>
  <c r="D61" i="1"/>
  <c r="E61" i="1"/>
  <c r="F61" i="1"/>
  <c r="G61" i="1"/>
  <c r="H61" i="1"/>
  <c r="D62" i="1"/>
  <c r="E62" i="1"/>
  <c r="F62" i="1"/>
  <c r="G62" i="1"/>
  <c r="H62" i="1"/>
  <c r="D63" i="1"/>
  <c r="E63" i="1"/>
  <c r="F63" i="1"/>
  <c r="G63" i="1"/>
  <c r="H63" i="1"/>
  <c r="D64" i="1"/>
  <c r="E64" i="1"/>
  <c r="F64" i="1"/>
  <c r="G64" i="1"/>
  <c r="H64" i="1"/>
  <c r="D65" i="1"/>
  <c r="E65" i="1"/>
  <c r="F65" i="1"/>
  <c r="G65" i="1"/>
  <c r="H65" i="1"/>
  <c r="D66" i="1"/>
  <c r="E66" i="1"/>
  <c r="F66" i="1"/>
  <c r="G66" i="1"/>
  <c r="H66" i="1"/>
  <c r="D67" i="1"/>
  <c r="E67" i="1"/>
  <c r="F67" i="1"/>
  <c r="G67" i="1"/>
  <c r="H67" i="1"/>
  <c r="D68" i="1"/>
  <c r="E68" i="1"/>
  <c r="F68" i="1"/>
  <c r="G68" i="1"/>
  <c r="H68" i="1"/>
  <c r="D69" i="1"/>
  <c r="E69" i="1"/>
  <c r="F69" i="1"/>
  <c r="G69" i="1"/>
  <c r="H69" i="1"/>
  <c r="D70" i="1"/>
  <c r="E70" i="1"/>
  <c r="F70" i="1"/>
  <c r="G70" i="1"/>
  <c r="H70" i="1"/>
  <c r="D71" i="1"/>
  <c r="E71" i="1"/>
  <c r="F71" i="1"/>
  <c r="G71" i="1"/>
  <c r="H71" i="1"/>
  <c r="D72" i="1"/>
  <c r="E72" i="1"/>
  <c r="F72" i="1"/>
  <c r="G72" i="1"/>
  <c r="H72" i="1"/>
  <c r="D73" i="1"/>
  <c r="E73" i="1"/>
  <c r="F73" i="1"/>
  <c r="G73" i="1"/>
  <c r="H73" i="1"/>
  <c r="D74" i="1"/>
  <c r="E74" i="1"/>
  <c r="F74" i="1"/>
  <c r="G74" i="1"/>
  <c r="H74" i="1"/>
  <c r="D75" i="1"/>
  <c r="E75" i="1"/>
  <c r="F75" i="1"/>
  <c r="G75" i="1"/>
  <c r="H75" i="1"/>
  <c r="D76" i="1"/>
  <c r="E76" i="1"/>
  <c r="F76" i="1"/>
  <c r="G76" i="1"/>
  <c r="H76" i="1"/>
  <c r="D77" i="1"/>
  <c r="E77" i="1"/>
  <c r="F77" i="1"/>
  <c r="G77" i="1"/>
  <c r="H77" i="1"/>
  <c r="D78" i="1"/>
  <c r="E78" i="1"/>
  <c r="F78" i="1"/>
  <c r="G78" i="1"/>
  <c r="H78" i="1"/>
  <c r="D79" i="1"/>
  <c r="E79" i="1"/>
  <c r="F79" i="1"/>
  <c r="G79" i="1"/>
  <c r="H79" i="1"/>
  <c r="D80" i="1"/>
  <c r="E80" i="1"/>
  <c r="F80" i="1"/>
  <c r="G80" i="1"/>
  <c r="H80" i="1"/>
  <c r="D81" i="1"/>
  <c r="E81" i="1"/>
  <c r="F81" i="1"/>
  <c r="G81" i="1"/>
  <c r="H81" i="1"/>
  <c r="D82" i="1"/>
  <c r="E82" i="1"/>
  <c r="F82" i="1"/>
  <c r="G82" i="1"/>
  <c r="H82" i="1"/>
  <c r="D83" i="1"/>
  <c r="E83" i="1"/>
  <c r="F83" i="1"/>
  <c r="G83" i="1"/>
  <c r="H83" i="1"/>
  <c r="D84" i="1"/>
  <c r="E84" i="1"/>
  <c r="F84" i="1"/>
  <c r="G84" i="1"/>
  <c r="H84" i="1"/>
  <c r="D85" i="1"/>
  <c r="E85" i="1"/>
  <c r="F85" i="1"/>
  <c r="G85" i="1"/>
  <c r="H85" i="1"/>
  <c r="D86" i="1"/>
  <c r="E86" i="1"/>
  <c r="F86" i="1"/>
  <c r="G86" i="1"/>
  <c r="H86" i="1"/>
  <c r="D87" i="1"/>
  <c r="E87" i="1"/>
  <c r="F87" i="1"/>
  <c r="G87" i="1"/>
  <c r="H87" i="1"/>
  <c r="D88" i="1"/>
  <c r="E88" i="1"/>
  <c r="F88" i="1"/>
  <c r="G88" i="1"/>
  <c r="H88" i="1"/>
  <c r="D89" i="1"/>
  <c r="E89" i="1"/>
  <c r="F89" i="1"/>
  <c r="G89" i="1"/>
  <c r="H89" i="1"/>
  <c r="D90" i="1"/>
  <c r="E90" i="1"/>
  <c r="F90" i="1"/>
  <c r="G90" i="1"/>
  <c r="H90" i="1"/>
  <c r="D91" i="1"/>
  <c r="E91" i="1"/>
  <c r="F91" i="1"/>
  <c r="G91" i="1"/>
  <c r="H91" i="1"/>
  <c r="D92" i="1"/>
  <c r="E92" i="1"/>
  <c r="F92" i="1"/>
  <c r="G92" i="1"/>
  <c r="H92" i="1"/>
  <c r="D93" i="1"/>
  <c r="E93" i="1"/>
  <c r="F93" i="1"/>
  <c r="G93" i="1"/>
  <c r="H93" i="1"/>
  <c r="D94" i="1"/>
  <c r="E94" i="1"/>
  <c r="F94" i="1"/>
  <c r="G94" i="1"/>
  <c r="H94" i="1"/>
  <c r="D95" i="1"/>
  <c r="E95" i="1"/>
  <c r="F95" i="1"/>
  <c r="G95" i="1"/>
  <c r="H95" i="1"/>
  <c r="D96" i="1"/>
  <c r="E96" i="1"/>
  <c r="F96" i="1"/>
  <c r="G96" i="1"/>
  <c r="H96" i="1"/>
  <c r="D97" i="1"/>
  <c r="E97" i="1"/>
  <c r="F97" i="1"/>
  <c r="G97" i="1"/>
  <c r="H97" i="1"/>
  <c r="D98" i="1"/>
  <c r="E98" i="1"/>
  <c r="F98" i="1"/>
  <c r="G98" i="1"/>
  <c r="H98" i="1"/>
  <c r="D99" i="1"/>
  <c r="E99" i="1"/>
  <c r="F99" i="1"/>
  <c r="G99" i="1"/>
  <c r="H99" i="1"/>
  <c r="D100" i="1"/>
  <c r="E100" i="1"/>
  <c r="F100" i="1"/>
  <c r="G100" i="1"/>
  <c r="H100" i="1"/>
  <c r="D101" i="1"/>
  <c r="E101" i="1"/>
  <c r="F101" i="1"/>
  <c r="G101" i="1"/>
  <c r="H101" i="1"/>
  <c r="D102" i="1"/>
  <c r="E102" i="1"/>
  <c r="F102" i="1"/>
  <c r="G102" i="1"/>
  <c r="H102" i="1"/>
  <c r="D103" i="1"/>
  <c r="E103" i="1"/>
  <c r="F103" i="1"/>
  <c r="G103" i="1"/>
  <c r="H103" i="1"/>
  <c r="D104" i="1"/>
  <c r="AE104" i="1" s="1"/>
  <c r="E104" i="1"/>
  <c r="F104" i="1"/>
  <c r="G104" i="1"/>
  <c r="H104" i="1"/>
  <c r="D105" i="1"/>
  <c r="E105" i="1"/>
  <c r="F105" i="1"/>
  <c r="G105" i="1"/>
  <c r="H105" i="1"/>
  <c r="D106" i="1"/>
  <c r="E106" i="1"/>
  <c r="F106" i="1"/>
  <c r="G106" i="1"/>
  <c r="H106" i="1"/>
  <c r="D107" i="1"/>
  <c r="E107" i="1"/>
  <c r="F107" i="1"/>
  <c r="G107" i="1"/>
  <c r="H107" i="1"/>
  <c r="D108" i="1"/>
  <c r="E108" i="1"/>
  <c r="F108" i="1"/>
  <c r="G108" i="1"/>
  <c r="H108" i="1"/>
  <c r="D109" i="1"/>
  <c r="E109" i="1"/>
  <c r="F109" i="1"/>
  <c r="G109" i="1"/>
  <c r="H109" i="1"/>
  <c r="D110" i="1"/>
  <c r="E110" i="1"/>
  <c r="F110" i="1"/>
  <c r="G110" i="1"/>
  <c r="H110" i="1"/>
  <c r="D111" i="1"/>
  <c r="E111" i="1"/>
  <c r="F111" i="1"/>
  <c r="G111" i="1"/>
  <c r="H111" i="1"/>
  <c r="D112" i="1"/>
  <c r="E112" i="1"/>
  <c r="F112" i="1"/>
  <c r="G112" i="1"/>
  <c r="H112" i="1"/>
  <c r="D113" i="1"/>
  <c r="E113" i="1"/>
  <c r="F113" i="1"/>
  <c r="G113" i="1"/>
  <c r="H113" i="1"/>
  <c r="D114" i="1"/>
  <c r="E114" i="1"/>
  <c r="F114" i="1"/>
  <c r="G114" i="1"/>
  <c r="H114" i="1"/>
  <c r="D115" i="1"/>
  <c r="E115" i="1"/>
  <c r="F115" i="1"/>
  <c r="G115" i="1"/>
  <c r="H115" i="1"/>
  <c r="D116" i="1"/>
  <c r="E116" i="1"/>
  <c r="F116" i="1"/>
  <c r="G116" i="1"/>
  <c r="H116" i="1"/>
  <c r="D117" i="1"/>
  <c r="E117" i="1"/>
  <c r="F117" i="1"/>
  <c r="G117" i="1"/>
  <c r="H117" i="1"/>
  <c r="D118" i="1"/>
  <c r="E118" i="1"/>
  <c r="F118" i="1"/>
  <c r="G118" i="1"/>
  <c r="H118" i="1"/>
  <c r="D119" i="1"/>
  <c r="E119" i="1"/>
  <c r="F119" i="1"/>
  <c r="G119" i="1"/>
  <c r="H119" i="1"/>
  <c r="D120" i="1"/>
  <c r="E120" i="1"/>
  <c r="F120" i="1"/>
  <c r="G120" i="1"/>
  <c r="H120" i="1"/>
  <c r="D121" i="1"/>
  <c r="E121" i="1"/>
  <c r="F121" i="1"/>
  <c r="G121" i="1"/>
  <c r="H121" i="1"/>
  <c r="D122" i="1"/>
  <c r="E122" i="1"/>
  <c r="F122" i="1"/>
  <c r="G122" i="1"/>
  <c r="H122" i="1"/>
  <c r="D123" i="1"/>
  <c r="E123" i="1"/>
  <c r="F123" i="1"/>
  <c r="G123" i="1"/>
  <c r="H123" i="1"/>
  <c r="D124" i="1"/>
  <c r="E124" i="1"/>
  <c r="F124" i="1"/>
  <c r="G124" i="1"/>
  <c r="H124" i="1"/>
  <c r="D125" i="1"/>
  <c r="E125" i="1"/>
  <c r="F125" i="1"/>
  <c r="G125" i="1"/>
  <c r="H125" i="1"/>
  <c r="D126" i="1"/>
  <c r="E126" i="1"/>
  <c r="F126" i="1"/>
  <c r="G126" i="1"/>
  <c r="H126" i="1"/>
  <c r="D127" i="1"/>
  <c r="E127" i="1"/>
  <c r="F127" i="1"/>
  <c r="G127" i="1"/>
  <c r="H127" i="1"/>
  <c r="D128" i="1"/>
  <c r="E128" i="1"/>
  <c r="F128" i="1"/>
  <c r="G128" i="1"/>
  <c r="H128" i="1"/>
  <c r="D129" i="1"/>
  <c r="E129" i="1"/>
  <c r="F129" i="1"/>
  <c r="G129" i="1"/>
  <c r="H129" i="1"/>
  <c r="D130" i="1"/>
  <c r="E130" i="1"/>
  <c r="F130" i="1"/>
  <c r="G130" i="1"/>
  <c r="H130" i="1"/>
  <c r="D131" i="1"/>
  <c r="E131" i="1"/>
  <c r="F131" i="1"/>
  <c r="G131" i="1"/>
  <c r="H131" i="1"/>
  <c r="D132" i="1"/>
  <c r="E132" i="1"/>
  <c r="F132" i="1"/>
  <c r="G132" i="1"/>
  <c r="H132" i="1"/>
  <c r="D133" i="1"/>
  <c r="E133" i="1"/>
  <c r="F133" i="1"/>
  <c r="G133" i="1"/>
  <c r="H133" i="1"/>
  <c r="D134" i="1"/>
  <c r="E134" i="1"/>
  <c r="F134" i="1"/>
  <c r="G134" i="1"/>
  <c r="H134" i="1"/>
  <c r="D135" i="1"/>
  <c r="E135" i="1"/>
  <c r="F135" i="1"/>
  <c r="G135" i="1"/>
  <c r="H135" i="1"/>
  <c r="D136" i="1"/>
  <c r="E136" i="1"/>
  <c r="F136" i="1"/>
  <c r="G136" i="1"/>
  <c r="H136" i="1"/>
  <c r="D137" i="1"/>
  <c r="E137" i="1"/>
  <c r="F137" i="1"/>
  <c r="G137" i="1"/>
  <c r="H137" i="1"/>
  <c r="D138" i="1"/>
  <c r="E138" i="1"/>
  <c r="F138" i="1"/>
  <c r="G138" i="1"/>
  <c r="H138" i="1"/>
  <c r="D139" i="1"/>
  <c r="E139" i="1"/>
  <c r="F139" i="1"/>
  <c r="G139" i="1"/>
  <c r="H139" i="1"/>
  <c r="D140" i="1"/>
  <c r="E140" i="1"/>
  <c r="F140" i="1"/>
  <c r="G140" i="1"/>
  <c r="H140" i="1"/>
  <c r="D141" i="1"/>
  <c r="E141" i="1"/>
  <c r="F141" i="1"/>
  <c r="G141" i="1"/>
  <c r="H141" i="1"/>
  <c r="D142" i="1"/>
  <c r="E142" i="1"/>
  <c r="F142" i="1"/>
  <c r="G142" i="1"/>
  <c r="H142" i="1"/>
  <c r="D143" i="1"/>
  <c r="E143" i="1"/>
  <c r="F143" i="1"/>
  <c r="G143" i="1"/>
  <c r="H143" i="1"/>
  <c r="D144" i="1"/>
  <c r="E144" i="1"/>
  <c r="F144" i="1"/>
  <c r="G144" i="1"/>
  <c r="H144" i="1"/>
  <c r="D145" i="1"/>
  <c r="E145" i="1"/>
  <c r="F145" i="1"/>
  <c r="G145" i="1"/>
  <c r="H145" i="1"/>
  <c r="D146" i="1"/>
  <c r="E146" i="1"/>
  <c r="F146" i="1"/>
  <c r="G146" i="1"/>
  <c r="H146" i="1"/>
  <c r="D147" i="1"/>
  <c r="E147" i="1"/>
  <c r="F147" i="1"/>
  <c r="G147" i="1"/>
  <c r="H147" i="1"/>
  <c r="D148" i="1"/>
  <c r="E148" i="1"/>
  <c r="F148" i="1"/>
  <c r="G148" i="1"/>
  <c r="H148" i="1"/>
  <c r="D149" i="1"/>
  <c r="E149" i="1"/>
  <c r="F149" i="1"/>
  <c r="G149" i="1"/>
  <c r="H149" i="1"/>
  <c r="D150" i="1"/>
  <c r="E150" i="1"/>
  <c r="F150" i="1"/>
  <c r="G150" i="1"/>
  <c r="H150" i="1"/>
  <c r="D151" i="1"/>
  <c r="E151" i="1"/>
  <c r="F151" i="1"/>
  <c r="G151" i="1"/>
  <c r="H151" i="1"/>
  <c r="D152" i="1"/>
  <c r="E152" i="1"/>
  <c r="F152" i="1"/>
  <c r="G152" i="1"/>
  <c r="H152" i="1"/>
  <c r="D153" i="1"/>
  <c r="E153" i="1"/>
  <c r="F153" i="1"/>
  <c r="G153" i="1"/>
  <c r="H153" i="1"/>
  <c r="D154" i="1"/>
  <c r="E154" i="1"/>
  <c r="F154" i="1"/>
  <c r="G154" i="1"/>
  <c r="H154" i="1"/>
  <c r="D155" i="1"/>
  <c r="E155" i="1"/>
  <c r="F155" i="1"/>
  <c r="G155" i="1"/>
  <c r="H155" i="1"/>
  <c r="D156" i="1"/>
  <c r="E156" i="1"/>
  <c r="F156" i="1"/>
  <c r="G156" i="1"/>
  <c r="H156" i="1"/>
  <c r="D157" i="1"/>
  <c r="E157" i="1"/>
  <c r="F157" i="1"/>
  <c r="G157" i="1"/>
  <c r="H157" i="1"/>
  <c r="D158" i="1"/>
  <c r="E158" i="1"/>
  <c r="F158" i="1"/>
  <c r="G158" i="1"/>
  <c r="H158" i="1"/>
  <c r="D159" i="1"/>
  <c r="E159" i="1"/>
  <c r="F159" i="1"/>
  <c r="G159" i="1"/>
  <c r="H159" i="1"/>
  <c r="D160" i="1"/>
  <c r="E160" i="1"/>
  <c r="F160" i="1"/>
  <c r="G160" i="1"/>
  <c r="H160" i="1"/>
  <c r="D161" i="1"/>
  <c r="E161" i="1"/>
  <c r="F161" i="1"/>
  <c r="G161" i="1"/>
  <c r="H161" i="1"/>
  <c r="D162" i="1"/>
  <c r="E162" i="1"/>
  <c r="F162" i="1"/>
  <c r="G162" i="1"/>
  <c r="H162" i="1"/>
  <c r="D163" i="1"/>
  <c r="E163" i="1"/>
  <c r="F163" i="1"/>
  <c r="G163" i="1"/>
  <c r="H163" i="1"/>
  <c r="D164" i="1"/>
  <c r="E164" i="1"/>
  <c r="F164" i="1"/>
  <c r="G164" i="1"/>
  <c r="H164" i="1"/>
  <c r="D165" i="1"/>
  <c r="E165" i="1"/>
  <c r="F165" i="1"/>
  <c r="G165" i="1"/>
  <c r="H165" i="1"/>
  <c r="D166" i="1"/>
  <c r="E166" i="1"/>
  <c r="F166" i="1"/>
  <c r="G166" i="1"/>
  <c r="H166" i="1"/>
  <c r="D167" i="1"/>
  <c r="E167" i="1"/>
  <c r="F167" i="1"/>
  <c r="G167" i="1"/>
  <c r="H167" i="1"/>
  <c r="D168" i="1"/>
  <c r="E168" i="1"/>
  <c r="F168" i="1"/>
  <c r="G168" i="1"/>
  <c r="H168" i="1"/>
  <c r="D169" i="1"/>
  <c r="E169" i="1"/>
  <c r="F169" i="1"/>
  <c r="G169" i="1"/>
  <c r="H169" i="1"/>
  <c r="D170" i="1"/>
  <c r="E170" i="1"/>
  <c r="F170" i="1"/>
  <c r="G170" i="1"/>
  <c r="H170" i="1"/>
  <c r="D171" i="1"/>
  <c r="E171" i="1"/>
  <c r="F171" i="1"/>
  <c r="G171" i="1"/>
  <c r="H171" i="1"/>
  <c r="D172" i="1"/>
  <c r="E172" i="1"/>
  <c r="F172" i="1"/>
  <c r="G172" i="1"/>
  <c r="H172" i="1"/>
  <c r="D173" i="1"/>
  <c r="E173" i="1"/>
  <c r="F173" i="1"/>
  <c r="G173" i="1"/>
  <c r="H173" i="1"/>
  <c r="D174" i="1"/>
  <c r="E174" i="1"/>
  <c r="F174" i="1"/>
  <c r="G174" i="1"/>
  <c r="H174" i="1"/>
  <c r="D175" i="1"/>
  <c r="E175" i="1"/>
  <c r="F175" i="1"/>
  <c r="G175" i="1"/>
  <c r="H175" i="1"/>
  <c r="D176" i="1"/>
  <c r="E176" i="1"/>
  <c r="F176" i="1"/>
  <c r="G176" i="1"/>
  <c r="H176" i="1"/>
  <c r="D177" i="1"/>
  <c r="E177" i="1"/>
  <c r="F177" i="1"/>
  <c r="G177" i="1"/>
  <c r="H177" i="1"/>
  <c r="D178" i="1"/>
  <c r="E178" i="1"/>
  <c r="F178" i="1"/>
  <c r="G178" i="1"/>
  <c r="H178" i="1"/>
  <c r="D179" i="1"/>
  <c r="E179" i="1"/>
  <c r="F179" i="1"/>
  <c r="G179" i="1"/>
  <c r="H179" i="1"/>
  <c r="D180" i="1"/>
  <c r="E180" i="1"/>
  <c r="F180" i="1"/>
  <c r="G180" i="1"/>
  <c r="H180" i="1"/>
  <c r="D181" i="1"/>
  <c r="E181" i="1"/>
  <c r="F181" i="1"/>
  <c r="G181" i="1"/>
  <c r="H181" i="1"/>
  <c r="D182" i="1"/>
  <c r="E182" i="1"/>
  <c r="F182" i="1"/>
  <c r="G182" i="1"/>
  <c r="H182" i="1"/>
  <c r="D183" i="1"/>
  <c r="E183" i="1"/>
  <c r="F183" i="1"/>
  <c r="G183" i="1"/>
  <c r="H183" i="1"/>
  <c r="D184" i="1"/>
  <c r="E184" i="1"/>
  <c r="F184" i="1"/>
  <c r="G184" i="1"/>
  <c r="H184" i="1"/>
  <c r="D185" i="1"/>
  <c r="E185" i="1"/>
  <c r="F185" i="1"/>
  <c r="G185" i="1"/>
  <c r="H185" i="1"/>
  <c r="D186" i="1"/>
  <c r="E186" i="1"/>
  <c r="F186" i="1"/>
  <c r="G186" i="1"/>
  <c r="H186" i="1"/>
  <c r="D187" i="1"/>
  <c r="E187" i="1"/>
  <c r="F187" i="1"/>
  <c r="G187" i="1"/>
  <c r="H187" i="1"/>
  <c r="D188" i="1"/>
  <c r="E188" i="1"/>
  <c r="F188" i="1"/>
  <c r="G188" i="1"/>
  <c r="H188" i="1"/>
  <c r="D189" i="1"/>
  <c r="E189" i="1"/>
  <c r="F189" i="1"/>
  <c r="G189" i="1"/>
  <c r="H189" i="1"/>
  <c r="D190" i="1"/>
  <c r="E190" i="1"/>
  <c r="F190" i="1"/>
  <c r="G190" i="1"/>
  <c r="H190" i="1"/>
  <c r="D191" i="1"/>
  <c r="E191" i="1"/>
  <c r="F191" i="1"/>
  <c r="G191" i="1"/>
  <c r="H191" i="1"/>
  <c r="D192" i="1"/>
  <c r="E192" i="1"/>
  <c r="F192" i="1"/>
  <c r="G192" i="1"/>
  <c r="H192" i="1"/>
  <c r="D193" i="1"/>
  <c r="E193" i="1"/>
  <c r="F193" i="1"/>
  <c r="G193" i="1"/>
  <c r="H193" i="1"/>
  <c r="D194" i="1"/>
  <c r="E194" i="1"/>
  <c r="F194" i="1"/>
  <c r="G194" i="1"/>
  <c r="H194" i="1"/>
  <c r="D195" i="1"/>
  <c r="E195" i="1"/>
  <c r="F195" i="1"/>
  <c r="G195" i="1"/>
  <c r="H195" i="1"/>
  <c r="D196" i="1"/>
  <c r="E196" i="1"/>
  <c r="F196" i="1"/>
  <c r="G196" i="1"/>
  <c r="H196" i="1"/>
  <c r="D197" i="1"/>
  <c r="E197" i="1"/>
  <c r="F197" i="1"/>
  <c r="G197" i="1"/>
  <c r="H197" i="1"/>
  <c r="D198" i="1"/>
  <c r="E198" i="1"/>
  <c r="F198" i="1"/>
  <c r="G198" i="1"/>
  <c r="H198" i="1"/>
  <c r="D199" i="1"/>
  <c r="E199" i="1"/>
  <c r="F199" i="1"/>
  <c r="G199" i="1"/>
  <c r="H199" i="1"/>
  <c r="D200" i="1"/>
  <c r="E200" i="1"/>
  <c r="F200" i="1"/>
  <c r="G200" i="1"/>
  <c r="H200" i="1"/>
  <c r="D201" i="1"/>
  <c r="E201" i="1"/>
  <c r="F201" i="1"/>
  <c r="G201" i="1"/>
  <c r="H201" i="1"/>
  <c r="D202" i="1"/>
  <c r="E202" i="1"/>
  <c r="F202" i="1"/>
  <c r="G202" i="1"/>
  <c r="H202" i="1"/>
  <c r="D203" i="1"/>
  <c r="E203" i="1"/>
  <c r="F203" i="1"/>
  <c r="G203" i="1"/>
  <c r="H203" i="1"/>
  <c r="D204" i="1"/>
  <c r="E204" i="1"/>
  <c r="F204" i="1"/>
  <c r="G204" i="1"/>
  <c r="H204" i="1"/>
  <c r="D205" i="1"/>
  <c r="E205" i="1"/>
  <c r="F205" i="1"/>
  <c r="G205" i="1"/>
  <c r="H205" i="1"/>
  <c r="D206" i="1"/>
  <c r="E206" i="1"/>
  <c r="F206" i="1"/>
  <c r="G206" i="1"/>
  <c r="H206" i="1"/>
  <c r="D207" i="1"/>
  <c r="E207" i="1"/>
  <c r="F207" i="1"/>
  <c r="G207" i="1"/>
  <c r="H207" i="1"/>
  <c r="D208" i="1"/>
  <c r="E208" i="1"/>
  <c r="F208" i="1"/>
  <c r="G208" i="1"/>
  <c r="H208" i="1"/>
  <c r="D209" i="1"/>
  <c r="E209" i="1"/>
  <c r="F209" i="1"/>
  <c r="G209" i="1"/>
  <c r="H209" i="1"/>
  <c r="D210" i="1"/>
  <c r="E210" i="1"/>
  <c r="F210" i="1"/>
  <c r="G210" i="1"/>
  <c r="H210" i="1"/>
  <c r="D211" i="1"/>
  <c r="E211" i="1"/>
  <c r="F211" i="1"/>
  <c r="G211" i="1"/>
  <c r="H211" i="1"/>
  <c r="D212" i="1"/>
  <c r="E212" i="1"/>
  <c r="F212" i="1"/>
  <c r="G212" i="1"/>
  <c r="H212" i="1"/>
  <c r="D213" i="1"/>
  <c r="E213" i="1"/>
  <c r="F213" i="1"/>
  <c r="G213" i="1"/>
  <c r="H213" i="1"/>
  <c r="D214" i="1"/>
  <c r="E214" i="1"/>
  <c r="F214" i="1"/>
  <c r="G214" i="1"/>
  <c r="H214" i="1"/>
  <c r="D215" i="1"/>
  <c r="E215" i="1"/>
  <c r="F215" i="1"/>
  <c r="G215" i="1"/>
  <c r="H215" i="1"/>
  <c r="D216" i="1"/>
  <c r="E216" i="1"/>
  <c r="F216" i="1"/>
  <c r="G216" i="1"/>
  <c r="H216" i="1"/>
  <c r="D217" i="1"/>
  <c r="E217" i="1"/>
  <c r="F217" i="1"/>
  <c r="G217" i="1"/>
  <c r="H217" i="1"/>
  <c r="D218" i="1"/>
  <c r="E218" i="1"/>
  <c r="F218" i="1"/>
  <c r="G218" i="1"/>
  <c r="H218" i="1"/>
  <c r="D219" i="1"/>
  <c r="E219" i="1"/>
  <c r="F219" i="1"/>
  <c r="G219" i="1"/>
  <c r="H219" i="1"/>
  <c r="D220" i="1"/>
  <c r="E220" i="1"/>
  <c r="F220" i="1"/>
  <c r="G220" i="1"/>
  <c r="H220" i="1"/>
  <c r="D221" i="1"/>
  <c r="E221" i="1"/>
  <c r="F221" i="1"/>
  <c r="G221" i="1"/>
  <c r="H221" i="1"/>
  <c r="D222" i="1"/>
  <c r="E222" i="1"/>
  <c r="F222" i="1"/>
  <c r="G222" i="1"/>
  <c r="H222" i="1"/>
  <c r="D223" i="1"/>
  <c r="E223" i="1"/>
  <c r="F223" i="1"/>
  <c r="G223" i="1"/>
  <c r="H223" i="1"/>
  <c r="D224" i="1"/>
  <c r="E224" i="1"/>
  <c r="F224" i="1"/>
  <c r="G224" i="1"/>
  <c r="H224" i="1"/>
  <c r="D225" i="1"/>
  <c r="E225" i="1"/>
  <c r="F225" i="1"/>
  <c r="G225" i="1"/>
  <c r="H225" i="1"/>
  <c r="D226" i="1"/>
  <c r="E226" i="1"/>
  <c r="F226" i="1"/>
  <c r="G226" i="1"/>
  <c r="H226" i="1"/>
  <c r="D227" i="1"/>
  <c r="E227" i="1"/>
  <c r="F227" i="1"/>
  <c r="G227" i="1"/>
  <c r="H227" i="1"/>
  <c r="D228" i="1"/>
  <c r="E228" i="1"/>
  <c r="F228" i="1"/>
  <c r="G228" i="1"/>
  <c r="H228" i="1"/>
  <c r="D229" i="1"/>
  <c r="E229" i="1"/>
  <c r="F229" i="1"/>
  <c r="G229" i="1"/>
  <c r="H229" i="1"/>
  <c r="D230" i="1"/>
  <c r="E230" i="1"/>
  <c r="F230" i="1"/>
  <c r="G230" i="1"/>
  <c r="H230" i="1"/>
  <c r="D231" i="1"/>
  <c r="E231" i="1"/>
  <c r="F231" i="1"/>
  <c r="G231" i="1"/>
  <c r="H231" i="1"/>
  <c r="D232" i="1"/>
  <c r="E232" i="1"/>
  <c r="F232" i="1"/>
  <c r="G232" i="1"/>
  <c r="H232" i="1"/>
  <c r="D233" i="1"/>
  <c r="E233" i="1"/>
  <c r="F233" i="1"/>
  <c r="G233" i="1"/>
  <c r="H233" i="1"/>
  <c r="D234" i="1"/>
  <c r="E234" i="1"/>
  <c r="F234" i="1"/>
  <c r="G234" i="1"/>
  <c r="H234" i="1"/>
  <c r="D235" i="1"/>
  <c r="E235" i="1"/>
  <c r="F235" i="1"/>
  <c r="G235" i="1"/>
  <c r="H235" i="1"/>
  <c r="D236" i="1"/>
  <c r="E236" i="1"/>
  <c r="F236" i="1"/>
  <c r="G236" i="1"/>
  <c r="H236" i="1"/>
  <c r="D237" i="1"/>
  <c r="E237" i="1"/>
  <c r="F237" i="1"/>
  <c r="G237" i="1"/>
  <c r="H237" i="1"/>
  <c r="D238" i="1"/>
  <c r="E238" i="1"/>
  <c r="F238" i="1"/>
  <c r="G238" i="1"/>
  <c r="H238" i="1"/>
  <c r="D239" i="1"/>
  <c r="E239" i="1"/>
  <c r="F239" i="1"/>
  <c r="G239" i="1"/>
  <c r="H239" i="1"/>
  <c r="D240" i="1"/>
  <c r="E240" i="1"/>
  <c r="F240" i="1"/>
  <c r="G240" i="1"/>
  <c r="H240" i="1"/>
  <c r="D241" i="1"/>
  <c r="E241" i="1"/>
  <c r="F241" i="1"/>
  <c r="G241" i="1"/>
  <c r="H241" i="1"/>
  <c r="D242" i="1"/>
  <c r="E242" i="1"/>
  <c r="F242" i="1"/>
  <c r="G242" i="1"/>
  <c r="H242" i="1"/>
  <c r="D243" i="1"/>
  <c r="E243" i="1"/>
  <c r="F243" i="1"/>
  <c r="G243" i="1"/>
  <c r="H243" i="1"/>
  <c r="D244" i="1"/>
  <c r="E244" i="1"/>
  <c r="F244" i="1"/>
  <c r="G244" i="1"/>
  <c r="H244" i="1"/>
  <c r="D245" i="1"/>
  <c r="E245" i="1"/>
  <c r="F245" i="1"/>
  <c r="G245" i="1"/>
  <c r="H245" i="1"/>
  <c r="D246" i="1"/>
  <c r="E246" i="1"/>
  <c r="F246" i="1"/>
  <c r="G246" i="1"/>
  <c r="H246" i="1"/>
  <c r="D247" i="1"/>
  <c r="E247" i="1"/>
  <c r="F247" i="1"/>
  <c r="G247" i="1"/>
  <c r="H247" i="1"/>
  <c r="D248" i="1"/>
  <c r="E248" i="1"/>
  <c r="F248" i="1"/>
  <c r="G248" i="1"/>
  <c r="H248" i="1"/>
  <c r="D249" i="1"/>
  <c r="E249" i="1"/>
  <c r="F249" i="1"/>
  <c r="G249" i="1"/>
  <c r="H249" i="1"/>
  <c r="D250" i="1"/>
  <c r="E250" i="1"/>
  <c r="F250" i="1"/>
  <c r="G250" i="1"/>
  <c r="H250" i="1"/>
  <c r="D251" i="1"/>
  <c r="E251" i="1"/>
  <c r="F251" i="1"/>
  <c r="G251" i="1"/>
  <c r="H251" i="1"/>
  <c r="D252" i="1"/>
  <c r="E252" i="1"/>
  <c r="F252" i="1"/>
  <c r="G252" i="1"/>
  <c r="H252" i="1"/>
  <c r="D253" i="1"/>
  <c r="E253" i="1"/>
  <c r="F253" i="1"/>
  <c r="G253" i="1"/>
  <c r="H253" i="1"/>
  <c r="D254" i="1"/>
  <c r="E254" i="1"/>
  <c r="F254" i="1"/>
  <c r="G254" i="1"/>
  <c r="H254" i="1"/>
  <c r="D255" i="1"/>
  <c r="E255" i="1"/>
  <c r="F255" i="1"/>
  <c r="G255" i="1"/>
  <c r="H255" i="1"/>
  <c r="D256" i="1"/>
  <c r="E256" i="1"/>
  <c r="F256" i="1"/>
  <c r="G256" i="1"/>
  <c r="H256" i="1"/>
  <c r="D257" i="1"/>
  <c r="E257" i="1"/>
  <c r="F257" i="1"/>
  <c r="G257" i="1"/>
  <c r="H257" i="1"/>
  <c r="D258" i="1"/>
  <c r="E258" i="1"/>
  <c r="F258" i="1"/>
  <c r="G258" i="1"/>
  <c r="H258" i="1"/>
  <c r="D259" i="1"/>
  <c r="E259" i="1"/>
  <c r="F259" i="1"/>
  <c r="G259" i="1"/>
  <c r="H259" i="1"/>
  <c r="D260" i="1"/>
  <c r="E260" i="1"/>
  <c r="F260" i="1"/>
  <c r="G260" i="1"/>
  <c r="H260" i="1"/>
  <c r="D261" i="1"/>
  <c r="E261" i="1"/>
  <c r="F261" i="1"/>
  <c r="G261" i="1"/>
  <c r="H261" i="1"/>
  <c r="D262" i="1"/>
  <c r="E262" i="1"/>
  <c r="F262" i="1"/>
  <c r="G262" i="1"/>
  <c r="H262" i="1"/>
  <c r="D263" i="1"/>
  <c r="E263" i="1"/>
  <c r="F263" i="1"/>
  <c r="G263" i="1"/>
  <c r="H263" i="1"/>
  <c r="D264" i="1"/>
  <c r="E264" i="1"/>
  <c r="F264" i="1"/>
  <c r="G264" i="1"/>
  <c r="H264" i="1"/>
  <c r="D265" i="1"/>
  <c r="E265" i="1"/>
  <c r="F265" i="1"/>
  <c r="G265" i="1"/>
  <c r="H265" i="1"/>
  <c r="D266" i="1"/>
  <c r="E266" i="1"/>
  <c r="F266" i="1"/>
  <c r="G266" i="1"/>
  <c r="H266" i="1"/>
  <c r="D267" i="1"/>
  <c r="E267" i="1"/>
  <c r="F267" i="1"/>
  <c r="G267" i="1"/>
  <c r="H267" i="1"/>
  <c r="D268" i="1"/>
  <c r="E268" i="1"/>
  <c r="F268" i="1"/>
  <c r="G268" i="1"/>
  <c r="H268" i="1"/>
  <c r="D269" i="1"/>
  <c r="E269" i="1"/>
  <c r="F269" i="1"/>
  <c r="G269" i="1"/>
  <c r="H269" i="1"/>
  <c r="D270" i="1"/>
  <c r="E270" i="1"/>
  <c r="F270" i="1"/>
  <c r="G270" i="1"/>
  <c r="H270" i="1"/>
  <c r="D271" i="1"/>
  <c r="E271" i="1"/>
  <c r="F271" i="1"/>
  <c r="G271" i="1"/>
  <c r="H271" i="1"/>
  <c r="D272" i="1"/>
  <c r="E272" i="1"/>
  <c r="F272" i="1"/>
  <c r="G272" i="1"/>
  <c r="H272" i="1"/>
  <c r="D273" i="1"/>
  <c r="E273" i="1"/>
  <c r="F273" i="1"/>
  <c r="G273" i="1"/>
  <c r="H273" i="1"/>
  <c r="D274" i="1"/>
  <c r="E274" i="1"/>
  <c r="F274" i="1"/>
  <c r="G274" i="1"/>
  <c r="H274" i="1"/>
  <c r="D275" i="1"/>
  <c r="E275" i="1"/>
  <c r="F275" i="1"/>
  <c r="G275" i="1"/>
  <c r="H275" i="1"/>
  <c r="D276" i="1"/>
  <c r="E276" i="1"/>
  <c r="F276" i="1"/>
  <c r="G276" i="1"/>
  <c r="H276" i="1"/>
  <c r="D277" i="1"/>
  <c r="E277" i="1"/>
  <c r="F277" i="1"/>
  <c r="G277" i="1"/>
  <c r="H277" i="1"/>
  <c r="D278" i="1"/>
  <c r="E278" i="1"/>
  <c r="F278" i="1"/>
  <c r="G278" i="1"/>
  <c r="H278" i="1"/>
  <c r="D279" i="1"/>
  <c r="E279" i="1"/>
  <c r="F279" i="1"/>
  <c r="G279" i="1"/>
  <c r="H279" i="1"/>
  <c r="D280" i="1"/>
  <c r="E280" i="1"/>
  <c r="F280" i="1"/>
  <c r="G280" i="1"/>
  <c r="H280" i="1"/>
  <c r="D281" i="1"/>
  <c r="E281" i="1"/>
  <c r="F281" i="1"/>
  <c r="G281" i="1"/>
  <c r="H281" i="1"/>
  <c r="D282" i="1"/>
  <c r="E282" i="1"/>
  <c r="F282" i="1"/>
  <c r="G282" i="1"/>
  <c r="H282" i="1"/>
  <c r="D283" i="1"/>
  <c r="E283" i="1"/>
  <c r="F283" i="1"/>
  <c r="G283" i="1"/>
  <c r="H283" i="1"/>
  <c r="D284" i="1"/>
  <c r="E284" i="1"/>
  <c r="F284" i="1"/>
  <c r="G284" i="1"/>
  <c r="H284" i="1"/>
  <c r="D285" i="1"/>
  <c r="E285" i="1"/>
  <c r="F285" i="1"/>
  <c r="G285" i="1"/>
  <c r="H285" i="1"/>
  <c r="D286" i="1"/>
  <c r="E286" i="1"/>
  <c r="F286" i="1"/>
  <c r="G286" i="1"/>
  <c r="H286" i="1"/>
  <c r="D287" i="1"/>
  <c r="E287" i="1"/>
  <c r="F287" i="1"/>
  <c r="G287" i="1"/>
  <c r="H287" i="1"/>
  <c r="D288" i="1"/>
  <c r="E288" i="1"/>
  <c r="F288" i="1"/>
  <c r="G288" i="1"/>
  <c r="H288" i="1"/>
  <c r="D289" i="1"/>
  <c r="E289" i="1"/>
  <c r="F289" i="1"/>
  <c r="G289" i="1"/>
  <c r="H289" i="1"/>
  <c r="D290" i="1"/>
  <c r="E290" i="1"/>
  <c r="F290" i="1"/>
  <c r="G290" i="1"/>
  <c r="H290" i="1"/>
  <c r="D291" i="1"/>
  <c r="E291" i="1"/>
  <c r="F291" i="1"/>
  <c r="G291" i="1"/>
  <c r="H291" i="1"/>
  <c r="D292" i="1"/>
  <c r="E292" i="1"/>
  <c r="F292" i="1"/>
  <c r="G292" i="1"/>
  <c r="H292" i="1"/>
  <c r="D293" i="1"/>
  <c r="E293" i="1"/>
  <c r="F293" i="1"/>
  <c r="G293" i="1"/>
  <c r="H293" i="1"/>
  <c r="D294" i="1"/>
  <c r="E294" i="1"/>
  <c r="F294" i="1"/>
  <c r="G294" i="1"/>
  <c r="H294" i="1"/>
  <c r="D295" i="1"/>
  <c r="E295" i="1"/>
  <c r="F295" i="1"/>
  <c r="G295" i="1"/>
  <c r="H295" i="1"/>
  <c r="D296" i="1"/>
  <c r="E296" i="1"/>
  <c r="F296" i="1"/>
  <c r="G296" i="1"/>
  <c r="H296" i="1"/>
  <c r="D297" i="1"/>
  <c r="E297" i="1"/>
  <c r="F297" i="1"/>
  <c r="G297" i="1"/>
  <c r="H297" i="1"/>
  <c r="D298" i="1"/>
  <c r="E298" i="1"/>
  <c r="F298" i="1"/>
  <c r="G298" i="1"/>
  <c r="H298" i="1"/>
  <c r="D299" i="1"/>
  <c r="E299" i="1"/>
  <c r="F299" i="1"/>
  <c r="G299" i="1"/>
  <c r="H299" i="1"/>
  <c r="D300" i="1"/>
  <c r="E300" i="1"/>
  <c r="F300" i="1"/>
  <c r="G300" i="1"/>
  <c r="H300" i="1"/>
  <c r="D301" i="1"/>
  <c r="E301" i="1"/>
  <c r="F301" i="1"/>
  <c r="G301" i="1"/>
  <c r="H301" i="1"/>
  <c r="D302" i="1"/>
  <c r="E302" i="1"/>
  <c r="F302" i="1"/>
  <c r="G302" i="1"/>
  <c r="H302" i="1"/>
  <c r="D303" i="1"/>
  <c r="E303" i="1"/>
  <c r="F303" i="1"/>
  <c r="G303" i="1"/>
  <c r="H303" i="1"/>
  <c r="D304" i="1"/>
  <c r="E304" i="1"/>
  <c r="F304" i="1"/>
  <c r="G304" i="1"/>
  <c r="H304" i="1"/>
  <c r="D305" i="1"/>
  <c r="E305" i="1"/>
  <c r="F305" i="1"/>
  <c r="G305" i="1"/>
  <c r="H305" i="1"/>
  <c r="D306" i="1"/>
  <c r="E306" i="1"/>
  <c r="F306" i="1"/>
  <c r="G306" i="1"/>
  <c r="H306" i="1"/>
  <c r="D307" i="1"/>
  <c r="E307" i="1"/>
  <c r="F307" i="1"/>
  <c r="G307" i="1"/>
  <c r="H307" i="1"/>
  <c r="D308" i="1"/>
  <c r="E308" i="1"/>
  <c r="F308" i="1"/>
  <c r="G308" i="1"/>
  <c r="H308" i="1"/>
  <c r="D309" i="1"/>
  <c r="E309" i="1"/>
  <c r="F309" i="1"/>
  <c r="G309" i="1"/>
  <c r="H309" i="1"/>
  <c r="D310" i="1"/>
  <c r="E310" i="1"/>
  <c r="F310" i="1"/>
  <c r="G310" i="1"/>
  <c r="H310" i="1"/>
  <c r="D311" i="1"/>
  <c r="E311" i="1"/>
  <c r="F311" i="1"/>
  <c r="G311" i="1"/>
  <c r="H311" i="1"/>
  <c r="D312" i="1"/>
  <c r="E312" i="1"/>
  <c r="F312" i="1"/>
  <c r="G312" i="1"/>
  <c r="H312" i="1"/>
  <c r="D313" i="1"/>
  <c r="E313" i="1"/>
  <c r="F313" i="1"/>
  <c r="G313" i="1"/>
  <c r="H313" i="1"/>
  <c r="D314" i="1"/>
  <c r="E314" i="1"/>
  <c r="F314" i="1"/>
  <c r="G314" i="1"/>
  <c r="H314" i="1"/>
  <c r="D315" i="1"/>
  <c r="E315" i="1"/>
  <c r="F315" i="1"/>
  <c r="G315" i="1"/>
  <c r="H315" i="1"/>
  <c r="D316" i="1"/>
  <c r="E316" i="1"/>
  <c r="F316" i="1"/>
  <c r="G316" i="1"/>
  <c r="H316" i="1"/>
  <c r="D317" i="1"/>
  <c r="E317" i="1"/>
  <c r="F317" i="1"/>
  <c r="G317" i="1"/>
  <c r="H317" i="1"/>
  <c r="D318" i="1"/>
  <c r="E318" i="1"/>
  <c r="F318" i="1"/>
  <c r="G318" i="1"/>
  <c r="H318" i="1"/>
  <c r="D319" i="1"/>
  <c r="E319" i="1"/>
  <c r="F319" i="1"/>
  <c r="G319" i="1"/>
  <c r="H319" i="1"/>
  <c r="D320" i="1"/>
  <c r="E320" i="1"/>
  <c r="F320" i="1"/>
  <c r="G320" i="1"/>
  <c r="H320" i="1"/>
  <c r="D321" i="1"/>
  <c r="E321" i="1"/>
  <c r="F321" i="1"/>
  <c r="G321" i="1"/>
  <c r="H321" i="1"/>
  <c r="D322" i="1"/>
  <c r="E322" i="1"/>
  <c r="F322" i="1"/>
  <c r="G322" i="1"/>
  <c r="H322" i="1"/>
  <c r="D323" i="1"/>
  <c r="E323" i="1"/>
  <c r="F323" i="1"/>
  <c r="G323" i="1"/>
  <c r="H323" i="1"/>
  <c r="D324" i="1"/>
  <c r="E324" i="1"/>
  <c r="F324" i="1"/>
  <c r="G324" i="1"/>
  <c r="H324" i="1"/>
  <c r="D325" i="1"/>
  <c r="E325" i="1"/>
  <c r="F325" i="1"/>
  <c r="G325" i="1"/>
  <c r="H325" i="1"/>
  <c r="D326" i="1"/>
  <c r="E326" i="1"/>
  <c r="F326" i="1"/>
  <c r="G326" i="1"/>
  <c r="H326" i="1"/>
  <c r="D327" i="1"/>
  <c r="E327" i="1"/>
  <c r="F327" i="1"/>
  <c r="G327" i="1"/>
  <c r="H327" i="1"/>
  <c r="D328" i="1"/>
  <c r="E328" i="1"/>
  <c r="F328" i="1"/>
  <c r="G328" i="1"/>
  <c r="H328" i="1"/>
  <c r="D329" i="1"/>
  <c r="E329" i="1"/>
  <c r="F329" i="1"/>
  <c r="G329" i="1"/>
  <c r="H329" i="1"/>
  <c r="D330" i="1"/>
  <c r="E330" i="1"/>
  <c r="F330" i="1"/>
  <c r="G330" i="1"/>
  <c r="H330" i="1"/>
  <c r="D331" i="1"/>
  <c r="E331" i="1"/>
  <c r="F331" i="1"/>
  <c r="G331" i="1"/>
  <c r="H331" i="1"/>
  <c r="D332" i="1"/>
  <c r="E332" i="1"/>
  <c r="F332" i="1"/>
  <c r="G332" i="1"/>
  <c r="H332" i="1"/>
  <c r="D333" i="1"/>
  <c r="E333" i="1"/>
  <c r="F333" i="1"/>
  <c r="G333" i="1"/>
  <c r="H333" i="1"/>
  <c r="D334" i="1"/>
  <c r="E334" i="1"/>
  <c r="F334" i="1"/>
  <c r="G334" i="1"/>
  <c r="H334" i="1"/>
  <c r="D335" i="1"/>
  <c r="E335" i="1"/>
  <c r="F335" i="1"/>
  <c r="G335" i="1"/>
  <c r="H335" i="1"/>
  <c r="D336" i="1"/>
  <c r="E336" i="1"/>
  <c r="F336" i="1"/>
  <c r="G336" i="1"/>
  <c r="H336" i="1"/>
  <c r="D337" i="1"/>
  <c r="E337" i="1"/>
  <c r="F337" i="1"/>
  <c r="G337" i="1"/>
  <c r="H337" i="1"/>
  <c r="D338" i="1"/>
  <c r="E338" i="1"/>
  <c r="F338" i="1"/>
  <c r="G338" i="1"/>
  <c r="H338" i="1"/>
  <c r="D339" i="1"/>
  <c r="E339" i="1"/>
  <c r="F339" i="1"/>
  <c r="G339" i="1"/>
  <c r="H339" i="1"/>
  <c r="D340" i="1"/>
  <c r="E340" i="1"/>
  <c r="F340" i="1"/>
  <c r="G340" i="1"/>
  <c r="H340" i="1"/>
  <c r="D341" i="1"/>
  <c r="E341" i="1"/>
  <c r="F341" i="1"/>
  <c r="G341" i="1"/>
  <c r="H341" i="1"/>
  <c r="D342" i="1"/>
  <c r="E342" i="1"/>
  <c r="F342" i="1"/>
  <c r="G342" i="1"/>
  <c r="H342" i="1"/>
  <c r="D343" i="1"/>
  <c r="E343" i="1"/>
  <c r="F343" i="1"/>
  <c r="G343" i="1"/>
  <c r="H343" i="1"/>
  <c r="D344" i="1"/>
  <c r="AE344" i="1" s="1"/>
  <c r="AF344" i="1" s="1"/>
  <c r="E344" i="2" s="1"/>
  <c r="E344" i="1"/>
  <c r="F344" i="1"/>
  <c r="G344" i="1"/>
  <c r="H344" i="1"/>
  <c r="E8" i="1"/>
  <c r="F8" i="1"/>
  <c r="G8" i="1"/>
  <c r="H8" i="1"/>
  <c r="D8" i="1"/>
  <c r="E7" i="7"/>
  <c r="D22" i="7"/>
  <c r="D20" i="7"/>
  <c r="J114" i="10" s="1"/>
  <c r="D17" i="7"/>
  <c r="D16" i="7"/>
  <c r="D15" i="7"/>
  <c r="D14" i="7"/>
  <c r="D13" i="7"/>
  <c r="D12" i="7"/>
  <c r="D11" i="7"/>
  <c r="D10" i="7"/>
  <c r="D9" i="7"/>
  <c r="I114" i="10" s="1"/>
  <c r="A15" i="10"/>
  <c r="A14" i="10"/>
  <c r="A13" i="10"/>
  <c r="A94" i="10"/>
  <c r="A93" i="10"/>
  <c r="A92" i="10"/>
  <c r="A83" i="10"/>
  <c r="A82" i="10"/>
  <c r="A81" i="10"/>
  <c r="A80" i="10"/>
  <c r="A79" i="10"/>
  <c r="A78" i="10"/>
  <c r="A77" i="10"/>
  <c r="A41" i="10"/>
  <c r="A40" i="10"/>
  <c r="A39" i="10"/>
  <c r="N69" i="10"/>
  <c r="A61" i="10"/>
  <c r="N59" i="10"/>
  <c r="N41" i="10"/>
  <c r="N40" i="10"/>
  <c r="N39" i="10"/>
  <c r="N23" i="10"/>
  <c r="N22" i="10"/>
  <c r="N15" i="10"/>
  <c r="N14" i="10"/>
  <c r="N13" i="10"/>
  <c r="A37" i="10"/>
  <c r="A36" i="10"/>
  <c r="A35" i="10"/>
  <c r="A34" i="10"/>
  <c r="A33" i="10"/>
  <c r="A32" i="10"/>
  <c r="A31" i="10"/>
  <c r="A91" i="10"/>
  <c r="A90" i="10"/>
  <c r="A89" i="10"/>
  <c r="A88" i="10"/>
  <c r="A87" i="10"/>
  <c r="A86" i="10"/>
  <c r="A85" i="10"/>
  <c r="B130" i="10"/>
  <c r="A127" i="10"/>
  <c r="B123" i="10"/>
  <c r="B117" i="10"/>
  <c r="A115" i="10"/>
  <c r="A114" i="10"/>
  <c r="B110" i="10"/>
  <c r="B104" i="10"/>
  <c r="A108" i="10"/>
  <c r="A102" i="10"/>
  <c r="B98" i="10"/>
  <c r="A95" i="10"/>
  <c r="A96" i="10"/>
  <c r="O3"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8" i="12"/>
  <c r="A1" i="12"/>
  <c r="G3" i="8"/>
  <c r="D3" i="8"/>
  <c r="A1" i="5"/>
  <c r="A1" i="2"/>
  <c r="AF4" i="1"/>
  <c r="AE4" i="1"/>
  <c r="A1" i="4"/>
  <c r="B71" i="10"/>
  <c r="A68" i="10"/>
  <c r="A67" i="10"/>
  <c r="B63" i="10"/>
  <c r="A60" i="10"/>
  <c r="A59" i="10"/>
  <c r="B55" i="10"/>
  <c r="B49" i="10"/>
  <c r="B43" i="10"/>
  <c r="A38" i="10"/>
  <c r="A29" i="10"/>
  <c r="A28" i="10"/>
  <c r="A27" i="10"/>
  <c r="A26" i="10"/>
  <c r="A25" i="10"/>
  <c r="A24" i="10"/>
  <c r="A23" i="10"/>
  <c r="A22" i="10"/>
  <c r="B18" i="10"/>
  <c r="A12" i="10"/>
  <c r="A30" i="10"/>
  <c r="B140" i="14"/>
  <c r="B139" i="14"/>
  <c r="B138" i="14"/>
  <c r="B137" i="14"/>
  <c r="B130" i="14"/>
  <c r="B131" i="14"/>
  <c r="B129" i="14"/>
  <c r="B128" i="14"/>
  <c r="B122" i="14"/>
  <c r="B121" i="14"/>
  <c r="B120" i="14"/>
  <c r="B119" i="14"/>
  <c r="B113" i="14"/>
  <c r="B112" i="14"/>
  <c r="B111" i="14"/>
  <c r="B110" i="14"/>
  <c r="B99" i="14"/>
  <c r="B100" i="14"/>
  <c r="B101" i="14"/>
  <c r="B102" i="14"/>
  <c r="B103" i="14"/>
  <c r="B104" i="14"/>
  <c r="B98" i="14"/>
  <c r="B88" i="14"/>
  <c r="B89" i="14"/>
  <c r="B90" i="14"/>
  <c r="B91" i="14"/>
  <c r="B92" i="14"/>
  <c r="B93" i="14"/>
  <c r="B87" i="14"/>
  <c r="B77" i="14"/>
  <c r="B78" i="14"/>
  <c r="B79" i="14"/>
  <c r="B80" i="14"/>
  <c r="B81" i="14"/>
  <c r="B82" i="14"/>
  <c r="B76" i="14"/>
  <c r="B66" i="14"/>
  <c r="B67" i="14"/>
  <c r="B68" i="14"/>
  <c r="B69" i="14"/>
  <c r="B70" i="14"/>
  <c r="B71" i="14"/>
  <c r="B65" i="14"/>
  <c r="B59" i="14"/>
  <c r="B58" i="14"/>
  <c r="B57" i="14"/>
  <c r="B56" i="14"/>
  <c r="C46" i="14"/>
  <c r="C45" i="14"/>
  <c r="C44" i="14"/>
  <c r="C43" i="14"/>
  <c r="C36" i="14"/>
  <c r="C37" i="14"/>
  <c r="C38" i="14"/>
  <c r="C39" i="14"/>
  <c r="C40" i="14"/>
  <c r="C41" i="14"/>
  <c r="C42" i="14"/>
  <c r="C35" i="14"/>
  <c r="A20" i="14"/>
  <c r="K7" i="14"/>
  <c r="J7" i="14"/>
  <c r="I7" i="14"/>
  <c r="H7" i="14"/>
  <c r="G7" i="14"/>
  <c r="F7" i="14"/>
  <c r="E7" i="14"/>
  <c r="D7" i="14"/>
  <c r="B92" i="7"/>
  <c r="A104" i="7"/>
  <c r="B134" i="7"/>
  <c r="B111" i="7"/>
  <c r="B120" i="7"/>
  <c r="B94" i="7"/>
  <c r="B93" i="7"/>
  <c r="B91" i="7"/>
  <c r="A89" i="7"/>
  <c r="B73" i="7"/>
  <c r="B63" i="7"/>
  <c r="F7" i="7"/>
  <c r="D7" i="7"/>
  <c r="C7" i="7"/>
  <c r="D2" i="7"/>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8" i="11"/>
  <c r="Y331" i="1"/>
  <c r="X331" i="1"/>
  <c r="Y309" i="1"/>
  <c r="X309" i="1"/>
  <c r="Y288" i="1"/>
  <c r="X288" i="1"/>
  <c r="G6" i="4"/>
  <c r="F6" i="4"/>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8" i="2"/>
  <c r="R6" i="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0"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R234" i="11"/>
  <c r="R235" i="11"/>
  <c r="R236" i="11"/>
  <c r="R237" i="11"/>
  <c r="R238" i="11"/>
  <c r="R239" i="11"/>
  <c r="R240" i="11"/>
  <c r="R241" i="11"/>
  <c r="R242" i="11"/>
  <c r="R243" i="11"/>
  <c r="R244" i="11"/>
  <c r="R245" i="11"/>
  <c r="R246" i="11"/>
  <c r="R247" i="11"/>
  <c r="R248" i="11"/>
  <c r="R249" i="11"/>
  <c r="R250" i="11"/>
  <c r="R251" i="11"/>
  <c r="R252" i="11"/>
  <c r="R253" i="11"/>
  <c r="R254" i="11"/>
  <c r="R255" i="11"/>
  <c r="R256" i="11"/>
  <c r="R257" i="11"/>
  <c r="R258" i="11"/>
  <c r="R259" i="11"/>
  <c r="R260" i="11"/>
  <c r="R261" i="11"/>
  <c r="R262" i="11"/>
  <c r="R263" i="11"/>
  <c r="R264" i="11"/>
  <c r="R265" i="11"/>
  <c r="R266" i="11"/>
  <c r="R267" i="11"/>
  <c r="R268" i="11"/>
  <c r="R269" i="11"/>
  <c r="R270" i="11"/>
  <c r="R271" i="11"/>
  <c r="R272" i="11"/>
  <c r="R273" i="11"/>
  <c r="R274" i="11"/>
  <c r="R275" i="11"/>
  <c r="R276" i="11"/>
  <c r="R277" i="11"/>
  <c r="R278" i="11"/>
  <c r="R279" i="11"/>
  <c r="R280" i="11"/>
  <c r="R281" i="11"/>
  <c r="R282" i="11"/>
  <c r="R283" i="11"/>
  <c r="R284" i="11"/>
  <c r="R285" i="11"/>
  <c r="R286" i="11"/>
  <c r="R287" i="11"/>
  <c r="R288" i="11"/>
  <c r="R289" i="11"/>
  <c r="R290" i="11"/>
  <c r="R291" i="11"/>
  <c r="R292" i="11"/>
  <c r="R293" i="11"/>
  <c r="R294" i="11"/>
  <c r="R295" i="11"/>
  <c r="R296" i="11"/>
  <c r="R297" i="11"/>
  <c r="R298" i="11"/>
  <c r="R299" i="11"/>
  <c r="R300" i="11"/>
  <c r="R301" i="11"/>
  <c r="R302" i="11"/>
  <c r="R303" i="11"/>
  <c r="R304" i="11"/>
  <c r="R305" i="11"/>
  <c r="R306" i="11"/>
  <c r="R307" i="11"/>
  <c r="R308" i="11"/>
  <c r="R309" i="11"/>
  <c r="R310" i="11"/>
  <c r="R311" i="11"/>
  <c r="R312" i="11"/>
  <c r="R313" i="11"/>
  <c r="R314" i="11"/>
  <c r="R315" i="11"/>
  <c r="R316" i="11"/>
  <c r="R317" i="11"/>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Q69" i="11"/>
  <c r="Q70" i="11"/>
  <c r="Q71" i="11"/>
  <c r="Q72" i="11"/>
  <c r="Q73" i="11"/>
  <c r="Q74" i="11"/>
  <c r="Q75" i="11"/>
  <c r="Q76" i="11"/>
  <c r="Q77" i="11"/>
  <c r="Q78" i="11"/>
  <c r="Q79" i="11"/>
  <c r="Q80" i="11"/>
  <c r="Q81" i="11"/>
  <c r="Q82" i="11"/>
  <c r="Q83" i="11"/>
  <c r="Q84" i="11"/>
  <c r="Q85" i="11"/>
  <c r="Q86" i="11"/>
  <c r="Q87" i="11"/>
  <c r="Q88" i="11"/>
  <c r="Q89" i="11"/>
  <c r="Q90" i="11"/>
  <c r="Q91" i="11"/>
  <c r="Q92" i="11"/>
  <c r="Q93" i="11"/>
  <c r="Q94" i="11"/>
  <c r="Q95" i="11"/>
  <c r="Q96" i="11"/>
  <c r="Q97" i="11"/>
  <c r="Q98" i="11"/>
  <c r="Q99" i="11"/>
  <c r="Q100" i="11"/>
  <c r="Q101" i="11"/>
  <c r="Q102" i="11"/>
  <c r="Q103" i="11"/>
  <c r="Q104" i="11"/>
  <c r="Q105" i="11"/>
  <c r="Q106"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5" i="11"/>
  <c r="Q136" i="11"/>
  <c r="Q137" i="11"/>
  <c r="Q138" i="11"/>
  <c r="Q139" i="11"/>
  <c r="Q140" i="11"/>
  <c r="Q141" i="11"/>
  <c r="Q142" i="11"/>
  <c r="Q143" i="11"/>
  <c r="Q144" i="11"/>
  <c r="Q145" i="11"/>
  <c r="Q146" i="11"/>
  <c r="Q147" i="11"/>
  <c r="Q148" i="11"/>
  <c r="Q149" i="11"/>
  <c r="Q150" i="11"/>
  <c r="Q151" i="11"/>
  <c r="Q152" i="11"/>
  <c r="Q153" i="11"/>
  <c r="Q154" i="11"/>
  <c r="Q155" i="11"/>
  <c r="Q156" i="11"/>
  <c r="Q157" i="11"/>
  <c r="Q158" i="11"/>
  <c r="Q159" i="11"/>
  <c r="Q160" i="11"/>
  <c r="Q161" i="11"/>
  <c r="Q162" i="11"/>
  <c r="Q163" i="11"/>
  <c r="Q164" i="11"/>
  <c r="Q165" i="11"/>
  <c r="Q166" i="11"/>
  <c r="Q167" i="11"/>
  <c r="Q168" i="11"/>
  <c r="Q169" i="11"/>
  <c r="Q170" i="11"/>
  <c r="Q171" i="11"/>
  <c r="Q172" i="11"/>
  <c r="Q173" i="11"/>
  <c r="Q174" i="11"/>
  <c r="Q175" i="11"/>
  <c r="Q176" i="11"/>
  <c r="Q177" i="11"/>
  <c r="Q178" i="11"/>
  <c r="Q179" i="11"/>
  <c r="Q180" i="11"/>
  <c r="Q181" i="11"/>
  <c r="Q182" i="11"/>
  <c r="Q183" i="11"/>
  <c r="Q184" i="11"/>
  <c r="Q185" i="11"/>
  <c r="Q186" i="11"/>
  <c r="Q187" i="11"/>
  <c r="Q188" i="11"/>
  <c r="Q189" i="11"/>
  <c r="Q190" i="11"/>
  <c r="Q191" i="11"/>
  <c r="Q192" i="11"/>
  <c r="Q193" i="11"/>
  <c r="Q194" i="11"/>
  <c r="Q195" i="11"/>
  <c r="Q196" i="11"/>
  <c r="Q197" i="11"/>
  <c r="Q198" i="11"/>
  <c r="Q199" i="11"/>
  <c r="Q200" i="11"/>
  <c r="Q201" i="11"/>
  <c r="Q202" i="11"/>
  <c r="Q203" i="11"/>
  <c r="Q204" i="11"/>
  <c r="Q205"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4" i="11"/>
  <c r="Q255" i="11"/>
  <c r="Q256" i="11"/>
  <c r="Q257" i="11"/>
  <c r="Q258" i="11"/>
  <c r="Q259" i="11"/>
  <c r="Q260" i="11"/>
  <c r="Q261" i="11"/>
  <c r="Q262" i="11"/>
  <c r="Q263" i="11"/>
  <c r="Q264" i="11"/>
  <c r="Q265" i="11"/>
  <c r="Q266" i="11"/>
  <c r="Q267" i="11"/>
  <c r="Q268" i="11"/>
  <c r="Q269"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314" i="11"/>
  <c r="Q315" i="11"/>
  <c r="Q316" i="11"/>
  <c r="Q317" i="11"/>
  <c r="Q318"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8" i="11"/>
  <c r="P9" i="11"/>
  <c r="X9" i="11" s="1"/>
  <c r="AC9" i="11" s="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X160" i="11"/>
  <c r="AC160" i="11" s="1"/>
  <c r="P161" i="11"/>
  <c r="X161" i="11"/>
  <c r="AC161" i="11" s="1"/>
  <c r="P162" i="11"/>
  <c r="X162" i="11"/>
  <c r="AC162" i="11" s="1"/>
  <c r="P163" i="11"/>
  <c r="X163" i="11" s="1"/>
  <c r="AC163" i="11" s="1"/>
  <c r="P164" i="11"/>
  <c r="X164" i="11" s="1"/>
  <c r="AC164" i="11"/>
  <c r="P165" i="11"/>
  <c r="X165" i="11" s="1"/>
  <c r="AC165" i="11" s="1"/>
  <c r="P166" i="11"/>
  <c r="X166" i="11" s="1"/>
  <c r="AC166" i="11" s="1"/>
  <c r="P167" i="11"/>
  <c r="X167" i="11"/>
  <c r="AC167" i="11"/>
  <c r="P168" i="11"/>
  <c r="X168" i="11"/>
  <c r="AC168" i="11" s="1"/>
  <c r="P169" i="11"/>
  <c r="X169" i="11"/>
  <c r="AC169" i="11" s="1"/>
  <c r="P170" i="11"/>
  <c r="X170" i="11" s="1"/>
  <c r="AC170" i="11" s="1"/>
  <c r="P171" i="11"/>
  <c r="X171" i="11" s="1"/>
  <c r="AC171" i="11" s="1"/>
  <c r="P172" i="11"/>
  <c r="X172" i="11" s="1"/>
  <c r="AC172" i="11" s="1"/>
  <c r="P173" i="11"/>
  <c r="X173" i="11" s="1"/>
  <c r="AC173" i="11" s="1"/>
  <c r="P174" i="11"/>
  <c r="X174" i="11" s="1"/>
  <c r="AC174" i="11" s="1"/>
  <c r="P175" i="11"/>
  <c r="X175" i="11"/>
  <c r="AC175" i="11" s="1"/>
  <c r="P176" i="11"/>
  <c r="X176" i="11"/>
  <c r="AC176" i="11" s="1"/>
  <c r="P177" i="11"/>
  <c r="X177" i="11"/>
  <c r="AC177" i="11" s="1"/>
  <c r="P178" i="11"/>
  <c r="X178" i="11"/>
  <c r="AC178" i="11" s="1"/>
  <c r="P179" i="11"/>
  <c r="X179" i="11" s="1"/>
  <c r="AC179" i="11" s="1"/>
  <c r="P180" i="11"/>
  <c r="X180" i="11" s="1"/>
  <c r="AC180" i="11"/>
  <c r="P181" i="11"/>
  <c r="X181" i="11" s="1"/>
  <c r="AC181" i="11" s="1"/>
  <c r="P182" i="11"/>
  <c r="X182" i="11" s="1"/>
  <c r="AC182" i="11" s="1"/>
  <c r="P183" i="11"/>
  <c r="X183" i="11"/>
  <c r="AC183" i="11"/>
  <c r="P184" i="11"/>
  <c r="X184" i="11"/>
  <c r="AC184" i="11" s="1"/>
  <c r="P185" i="11"/>
  <c r="X185" i="11"/>
  <c r="AC185" i="11" s="1"/>
  <c r="P186" i="11"/>
  <c r="X186" i="11" s="1"/>
  <c r="AC186" i="11" s="1"/>
  <c r="P187" i="11"/>
  <c r="X187" i="11" s="1"/>
  <c r="AC187" i="11" s="1"/>
  <c r="P188" i="11"/>
  <c r="X188" i="11" s="1"/>
  <c r="AC188" i="11" s="1"/>
  <c r="P189" i="11"/>
  <c r="X189" i="11" s="1"/>
  <c r="AC189" i="11" s="1"/>
  <c r="P190" i="11"/>
  <c r="X190" i="11" s="1"/>
  <c r="AC190" i="11" s="1"/>
  <c r="P191" i="11"/>
  <c r="X191" i="11"/>
  <c r="AC191" i="11" s="1"/>
  <c r="P192" i="11"/>
  <c r="X192" i="11"/>
  <c r="AC192" i="11" s="1"/>
  <c r="P193" i="11"/>
  <c r="X193" i="11"/>
  <c r="AC193" i="11" s="1"/>
  <c r="P194" i="11"/>
  <c r="X194" i="11"/>
  <c r="AC194" i="11" s="1"/>
  <c r="P195" i="11"/>
  <c r="X195" i="11" s="1"/>
  <c r="AC195" i="11" s="1"/>
  <c r="P196" i="11"/>
  <c r="X196" i="11" s="1"/>
  <c r="AC196" i="11"/>
  <c r="P197" i="11"/>
  <c r="X197" i="11" s="1"/>
  <c r="AC197" i="11" s="1"/>
  <c r="P198" i="11"/>
  <c r="X198" i="11" s="1"/>
  <c r="AC198" i="11" s="1"/>
  <c r="P199" i="11"/>
  <c r="X199" i="11"/>
  <c r="AC199" i="11"/>
  <c r="P200" i="11"/>
  <c r="X200" i="11"/>
  <c r="AC200" i="11" s="1"/>
  <c r="P201" i="11"/>
  <c r="X201" i="11"/>
  <c r="AC201" i="11" s="1"/>
  <c r="P202" i="11"/>
  <c r="X202" i="11" s="1"/>
  <c r="AC202" i="11" s="1"/>
  <c r="P203" i="11"/>
  <c r="X203" i="11" s="1"/>
  <c r="AC203" i="11" s="1"/>
  <c r="P204" i="11"/>
  <c r="X204" i="11" s="1"/>
  <c r="AC204" i="11" s="1"/>
  <c r="P205" i="11"/>
  <c r="X205" i="11" s="1"/>
  <c r="AC205" i="11" s="1"/>
  <c r="P206" i="11"/>
  <c r="X206" i="11" s="1"/>
  <c r="AC206" i="11" s="1"/>
  <c r="P207" i="11"/>
  <c r="P208" i="11"/>
  <c r="P209" i="11"/>
  <c r="P210" i="11"/>
  <c r="X210" i="11"/>
  <c r="AC210" i="11" s="1"/>
  <c r="P211" i="11"/>
  <c r="P212" i="11"/>
  <c r="X212" i="11" s="1"/>
  <c r="AC212" i="11"/>
  <c r="P213" i="11"/>
  <c r="P214" i="11"/>
  <c r="X214" i="11"/>
  <c r="AC214" i="11" s="1"/>
  <c r="P215" i="11"/>
  <c r="X215" i="11"/>
  <c r="AC215" i="11" s="1"/>
  <c r="P216" i="11"/>
  <c r="P217" i="11"/>
  <c r="X217" i="11" s="1"/>
  <c r="AC217" i="11" s="1"/>
  <c r="P218" i="11"/>
  <c r="X218" i="11" s="1"/>
  <c r="AC218" i="11" s="1"/>
  <c r="P219" i="11"/>
  <c r="X219" i="11"/>
  <c r="AC219" i="11" s="1"/>
  <c r="P220" i="11"/>
  <c r="X220" i="11"/>
  <c r="AC220" i="11" s="1"/>
  <c r="P221" i="11"/>
  <c r="X221" i="11"/>
  <c r="AC221" i="11" s="1"/>
  <c r="P222" i="11"/>
  <c r="X222" i="11"/>
  <c r="AC222" i="11" s="1"/>
  <c r="P223" i="11"/>
  <c r="X223" i="11" s="1"/>
  <c r="AC223" i="11" s="1"/>
  <c r="P224" i="11"/>
  <c r="X224" i="11" s="1"/>
  <c r="AC224" i="11"/>
  <c r="P225" i="11"/>
  <c r="X225" i="11" s="1"/>
  <c r="AC225" i="11" s="1"/>
  <c r="P226" i="11"/>
  <c r="X226" i="11" s="1"/>
  <c r="AC226" i="11" s="1"/>
  <c r="P227" i="11"/>
  <c r="X227" i="11"/>
  <c r="AC227" i="11"/>
  <c r="P228" i="11"/>
  <c r="X228" i="11"/>
  <c r="AC228" i="11" s="1"/>
  <c r="P229" i="11"/>
  <c r="X229" i="11"/>
  <c r="AC229" i="11" s="1"/>
  <c r="P230" i="11"/>
  <c r="X230" i="11" s="1"/>
  <c r="AC230" i="11" s="1"/>
  <c r="P231" i="11"/>
  <c r="X231" i="11" s="1"/>
  <c r="AC231" i="11" s="1"/>
  <c r="P232" i="11"/>
  <c r="X232" i="11" s="1"/>
  <c r="AC232" i="11" s="1"/>
  <c r="P233" i="11"/>
  <c r="X233" i="11" s="1"/>
  <c r="AC233" i="11" s="1"/>
  <c r="P234" i="11"/>
  <c r="X234" i="11" s="1"/>
  <c r="AC234" i="11" s="1"/>
  <c r="P235" i="11"/>
  <c r="X235" i="11"/>
  <c r="AC235" i="11" s="1"/>
  <c r="P236" i="11"/>
  <c r="X236" i="11"/>
  <c r="AC236" i="11" s="1"/>
  <c r="P237" i="11"/>
  <c r="X237" i="11"/>
  <c r="AC237" i="11" s="1"/>
  <c r="P238" i="11"/>
  <c r="X238" i="11"/>
  <c r="AC238" i="11" s="1"/>
  <c r="P239" i="11"/>
  <c r="X239" i="11" s="1"/>
  <c r="AC239" i="11" s="1"/>
  <c r="P240" i="11"/>
  <c r="X240" i="11" s="1"/>
  <c r="AC240" i="11"/>
  <c r="P241" i="11"/>
  <c r="X241" i="11" s="1"/>
  <c r="AC241" i="11" s="1"/>
  <c r="P242" i="11"/>
  <c r="X242" i="11" s="1"/>
  <c r="AC242" i="11" s="1"/>
  <c r="P243" i="11"/>
  <c r="X243" i="11"/>
  <c r="AC243" i="11"/>
  <c r="P244" i="11"/>
  <c r="X244" i="11"/>
  <c r="AC244" i="11" s="1"/>
  <c r="P245" i="11"/>
  <c r="X245" i="11"/>
  <c r="AC245" i="11" s="1"/>
  <c r="P246" i="11"/>
  <c r="X246" i="11" s="1"/>
  <c r="AC246" i="11" s="1"/>
  <c r="P247" i="11"/>
  <c r="X247" i="11" s="1"/>
  <c r="AC247" i="11" s="1"/>
  <c r="P248" i="11"/>
  <c r="X248" i="11" s="1"/>
  <c r="AC248" i="11" s="1"/>
  <c r="P249" i="11"/>
  <c r="X249" i="11" s="1"/>
  <c r="AC249" i="11" s="1"/>
  <c r="P250" i="11"/>
  <c r="X250" i="11" s="1"/>
  <c r="AC250" i="11" s="1"/>
  <c r="P251" i="11"/>
  <c r="X251" i="11"/>
  <c r="AC251" i="11" s="1"/>
  <c r="P252" i="11"/>
  <c r="X252" i="11"/>
  <c r="AC252" i="11" s="1"/>
  <c r="P253" i="11"/>
  <c r="X253" i="11"/>
  <c r="AC253" i="11" s="1"/>
  <c r="P254" i="11"/>
  <c r="X254" i="11"/>
  <c r="AC254" i="11" s="1"/>
  <c r="P255" i="11"/>
  <c r="X255" i="11" s="1"/>
  <c r="AC255" i="11" s="1"/>
  <c r="P256" i="11"/>
  <c r="X256" i="11" s="1"/>
  <c r="AC256" i="11"/>
  <c r="P257" i="11"/>
  <c r="X257" i="11" s="1"/>
  <c r="AC257" i="11" s="1"/>
  <c r="P258" i="11"/>
  <c r="X258" i="11" s="1"/>
  <c r="AC258" i="11" s="1"/>
  <c r="P259" i="11"/>
  <c r="X259" i="11"/>
  <c r="AC259" i="11"/>
  <c r="P260" i="11"/>
  <c r="X260" i="11"/>
  <c r="AC260" i="11" s="1"/>
  <c r="P261" i="11"/>
  <c r="X261" i="11"/>
  <c r="AC261" i="11" s="1"/>
  <c r="P262" i="11"/>
  <c r="X262" i="11" s="1"/>
  <c r="AC262" i="11" s="1"/>
  <c r="P263" i="11"/>
  <c r="X263" i="11" s="1"/>
  <c r="AC263" i="11" s="1"/>
  <c r="P264" i="11"/>
  <c r="X264" i="11" s="1"/>
  <c r="AC264" i="11" s="1"/>
  <c r="P265" i="11"/>
  <c r="X265" i="11" s="1"/>
  <c r="AC265" i="11" s="1"/>
  <c r="P266" i="11"/>
  <c r="X266" i="11" s="1"/>
  <c r="AC266" i="11" s="1"/>
  <c r="P267" i="11"/>
  <c r="X267" i="11"/>
  <c r="AC267" i="11" s="1"/>
  <c r="P268" i="11"/>
  <c r="X268" i="11"/>
  <c r="AC268" i="11" s="1"/>
  <c r="P269" i="11"/>
  <c r="X269" i="11"/>
  <c r="AC269" i="11" s="1"/>
  <c r="P270" i="11"/>
  <c r="X270" i="11"/>
  <c r="AC270" i="11" s="1"/>
  <c r="P271" i="11"/>
  <c r="X271" i="11" s="1"/>
  <c r="AC271" i="11" s="1"/>
  <c r="P272" i="11"/>
  <c r="X272" i="11" s="1"/>
  <c r="AC272" i="11"/>
  <c r="P273" i="11"/>
  <c r="X273" i="11" s="1"/>
  <c r="AC273" i="11" s="1"/>
  <c r="P274" i="11"/>
  <c r="X274" i="11" s="1"/>
  <c r="AC274" i="11" s="1"/>
  <c r="P275" i="11"/>
  <c r="X275" i="11"/>
  <c r="AC275" i="11"/>
  <c r="P276" i="11"/>
  <c r="X276" i="11"/>
  <c r="AC276" i="11" s="1"/>
  <c r="P277" i="11"/>
  <c r="X277" i="11"/>
  <c r="AC277" i="11" s="1"/>
  <c r="P278" i="11"/>
  <c r="X278" i="11" s="1"/>
  <c r="AC278" i="11" s="1"/>
  <c r="P279" i="11"/>
  <c r="X279" i="11" s="1"/>
  <c r="AC279" i="11" s="1"/>
  <c r="P280" i="11"/>
  <c r="X280" i="11" s="1"/>
  <c r="AC280" i="11" s="1"/>
  <c r="P281" i="11"/>
  <c r="X281" i="11" s="1"/>
  <c r="AC281" i="11" s="1"/>
  <c r="P282" i="11"/>
  <c r="P283" i="11"/>
  <c r="X283" i="11"/>
  <c r="AC283" i="11" s="1"/>
  <c r="P284" i="11"/>
  <c r="X284" i="11"/>
  <c r="AC284" i="11" s="1"/>
  <c r="P285" i="11"/>
  <c r="X285" i="11" s="1"/>
  <c r="AC285" i="11" s="1"/>
  <c r="P286" i="11"/>
  <c r="P287" i="11"/>
  <c r="X287" i="11"/>
  <c r="AC287" i="11"/>
  <c r="P288" i="11"/>
  <c r="X288" i="11"/>
  <c r="AC288" i="11" s="1"/>
  <c r="P289" i="11"/>
  <c r="X289" i="11"/>
  <c r="AC289" i="11" s="1"/>
  <c r="P290" i="11"/>
  <c r="X290" i="11" s="1"/>
  <c r="AC290" i="11" s="1"/>
  <c r="P291" i="11"/>
  <c r="X291" i="11" s="1"/>
  <c r="AC291" i="11" s="1"/>
  <c r="P292" i="11"/>
  <c r="X292" i="11" s="1"/>
  <c r="AC292" i="11" s="1"/>
  <c r="P293" i="11"/>
  <c r="X293" i="11" s="1"/>
  <c r="AC293" i="11" s="1"/>
  <c r="P294" i="11"/>
  <c r="X294" i="11" s="1"/>
  <c r="AC294" i="11" s="1"/>
  <c r="P295" i="11"/>
  <c r="X295" i="11"/>
  <c r="AC295" i="11" s="1"/>
  <c r="P296" i="11"/>
  <c r="X296" i="11"/>
  <c r="AC296" i="11" s="1"/>
  <c r="P297" i="11"/>
  <c r="X297" i="11"/>
  <c r="AC297" i="11" s="1"/>
  <c r="P298" i="11"/>
  <c r="X298" i="11"/>
  <c r="AC298" i="11" s="1"/>
  <c r="P299" i="11"/>
  <c r="X299" i="11" s="1"/>
  <c r="AC299" i="11" s="1"/>
  <c r="P300" i="11"/>
  <c r="X300" i="11" s="1"/>
  <c r="AC300" i="11"/>
  <c r="P301" i="11"/>
  <c r="X301" i="11" s="1"/>
  <c r="AC301" i="11" s="1"/>
  <c r="P302" i="11"/>
  <c r="X302" i="11" s="1"/>
  <c r="AC302" i="11" s="1"/>
  <c r="P303" i="11"/>
  <c r="X303" i="11"/>
  <c r="AC303" i="11"/>
  <c r="P304" i="11"/>
  <c r="X304" i="11"/>
  <c r="AC304" i="11" s="1"/>
  <c r="P305" i="11"/>
  <c r="X305" i="11"/>
  <c r="AC305" i="11" s="1"/>
  <c r="P306" i="11"/>
  <c r="X306" i="11" s="1"/>
  <c r="AC306" i="11" s="1"/>
  <c r="P307" i="11"/>
  <c r="X307" i="11" s="1"/>
  <c r="AC307" i="11" s="1"/>
  <c r="P308" i="11"/>
  <c r="X308" i="11" s="1"/>
  <c r="AC308" i="11" s="1"/>
  <c r="P309" i="11"/>
  <c r="X309" i="11" s="1"/>
  <c r="AC309" i="11" s="1"/>
  <c r="P310" i="11"/>
  <c r="X310" i="11" s="1"/>
  <c r="AC310" i="11" s="1"/>
  <c r="P311" i="11"/>
  <c r="X311" i="11"/>
  <c r="AC311" i="11" s="1"/>
  <c r="P312" i="11"/>
  <c r="X312" i="11"/>
  <c r="AC312" i="11" s="1"/>
  <c r="P313" i="11"/>
  <c r="X313" i="11"/>
  <c r="AC313" i="11" s="1"/>
  <c r="P314" i="11"/>
  <c r="X314" i="11"/>
  <c r="AC314" i="11" s="1"/>
  <c r="P315" i="11"/>
  <c r="X315" i="11" s="1"/>
  <c r="AC315" i="11" s="1"/>
  <c r="P316" i="11"/>
  <c r="X316" i="11" s="1"/>
  <c r="AC316" i="11"/>
  <c r="P317" i="11"/>
  <c r="X317" i="11" s="1"/>
  <c r="AC317" i="11" s="1"/>
  <c r="P318" i="11"/>
  <c r="X318" i="11" s="1"/>
  <c r="AC318" i="11" s="1"/>
  <c r="P319" i="11"/>
  <c r="X319" i="11"/>
  <c r="AC319" i="11"/>
  <c r="P320" i="11"/>
  <c r="X320" i="11"/>
  <c r="AC320" i="11" s="1"/>
  <c r="P321" i="11"/>
  <c r="P322" i="11"/>
  <c r="X322" i="11" s="1"/>
  <c r="AC322" i="11" s="1"/>
  <c r="P323" i="11"/>
  <c r="X323" i="11" s="1"/>
  <c r="AC323" i="11" s="1"/>
  <c r="P324" i="11"/>
  <c r="X324" i="11" s="1"/>
  <c r="AC324" i="11" s="1"/>
  <c r="P325" i="11"/>
  <c r="X325" i="11"/>
  <c r="AC325" i="11" s="1"/>
  <c r="P326" i="11"/>
  <c r="X326" i="11"/>
  <c r="AC326" i="11" s="1"/>
  <c r="P327" i="11"/>
  <c r="X327" i="11"/>
  <c r="AC327" i="11" s="1"/>
  <c r="P328" i="11"/>
  <c r="X328" i="11"/>
  <c r="AC328" i="11" s="1"/>
  <c r="P329" i="11"/>
  <c r="X329" i="11" s="1"/>
  <c r="AC329" i="11" s="1"/>
  <c r="P330" i="11"/>
  <c r="X330" i="11" s="1"/>
  <c r="AC330" i="11"/>
  <c r="P331" i="11"/>
  <c r="X331" i="11" s="1"/>
  <c r="AC331" i="11" s="1"/>
  <c r="P332" i="11"/>
  <c r="X332" i="11" s="1"/>
  <c r="AC332" i="11" s="1"/>
  <c r="P333" i="11"/>
  <c r="X333" i="11"/>
  <c r="AC333" i="11"/>
  <c r="P334" i="11"/>
  <c r="X334" i="11"/>
  <c r="AC334" i="11" s="1"/>
  <c r="P335" i="11"/>
  <c r="X335" i="11"/>
  <c r="AC335" i="11" s="1"/>
  <c r="P336" i="11"/>
  <c r="X336" i="11"/>
  <c r="AC336" i="11" s="1"/>
  <c r="P337" i="11"/>
  <c r="X337" i="11" s="1"/>
  <c r="AC337" i="11" s="1"/>
  <c r="P338" i="11"/>
  <c r="X338" i="11" s="1"/>
  <c r="AC338" i="11" s="1"/>
  <c r="P339" i="11"/>
  <c r="X339" i="11" s="1"/>
  <c r="AC339" i="11" s="1"/>
  <c r="P340" i="11"/>
  <c r="X340" i="11" s="1"/>
  <c r="AC340" i="11" s="1"/>
  <c r="P341" i="11"/>
  <c r="X341" i="11"/>
  <c r="AC341" i="11"/>
  <c r="P342" i="11"/>
  <c r="X342" i="11"/>
  <c r="AC342" i="11" s="1"/>
  <c r="P343" i="11"/>
  <c r="X343" i="11"/>
  <c r="AC343" i="11" s="1"/>
  <c r="P344" i="11"/>
  <c r="X344" i="11"/>
  <c r="AC344" i="11" s="1"/>
  <c r="P8" i="11"/>
  <c r="W8" i="11" s="1"/>
  <c r="AB8" i="11" s="1"/>
  <c r="L6" i="11"/>
  <c r="M6" i="11"/>
  <c r="N6" i="11"/>
  <c r="J6" i="11"/>
  <c r="I6" i="11"/>
  <c r="H6" i="11"/>
  <c r="F6" i="11"/>
  <c r="G6" i="11"/>
  <c r="AB343" i="1"/>
  <c r="AE343" i="1"/>
  <c r="AF343" i="1"/>
  <c r="E343" i="2" s="1"/>
  <c r="E343" i="5" s="1"/>
  <c r="AB344" i="1"/>
  <c r="F343" i="2"/>
  <c r="G343" i="2"/>
  <c r="I343" i="2"/>
  <c r="J343" i="2"/>
  <c r="K343" i="2"/>
  <c r="L343" i="2"/>
  <c r="N343" i="2"/>
  <c r="F344" i="2"/>
  <c r="G344" i="2"/>
  <c r="I344" i="2"/>
  <c r="J344" i="2"/>
  <c r="K344" i="2"/>
  <c r="L344" i="2"/>
  <c r="N344" i="2"/>
  <c r="O343" i="4"/>
  <c r="O344" i="4"/>
  <c r="G343" i="8"/>
  <c r="H343" i="8"/>
  <c r="G344" i="8"/>
  <c r="H344"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E6" i="8"/>
  <c r="D6" i="8"/>
  <c r="AB8" i="1"/>
  <c r="AE8" i="1"/>
  <c r="AF8" i="1" s="1"/>
  <c r="E8" i="2" s="1"/>
  <c r="F8" i="2"/>
  <c r="G8" i="2"/>
  <c r="I8" i="2"/>
  <c r="J8" i="2"/>
  <c r="K8" i="2"/>
  <c r="L8" i="2"/>
  <c r="AB9" i="1"/>
  <c r="F9" i="2"/>
  <c r="G9" i="2"/>
  <c r="I9" i="2"/>
  <c r="J9" i="2"/>
  <c r="K9" i="2"/>
  <c r="L9" i="2"/>
  <c r="AB10" i="1"/>
  <c r="AE10" i="1"/>
  <c r="AF10" i="1" s="1"/>
  <c r="E10" i="2" s="1"/>
  <c r="F10" i="2"/>
  <c r="G10" i="2"/>
  <c r="I10" i="2"/>
  <c r="J10" i="2"/>
  <c r="K10" i="2"/>
  <c r="L10" i="2"/>
  <c r="AB11" i="1"/>
  <c r="F11" i="2"/>
  <c r="G11" i="2"/>
  <c r="I11" i="2"/>
  <c r="J11" i="2"/>
  <c r="K11" i="2"/>
  <c r="L11" i="2"/>
  <c r="AB12" i="1"/>
  <c r="AE12" i="1"/>
  <c r="AF12" i="1" s="1"/>
  <c r="E12" i="2" s="1"/>
  <c r="E12" i="5" s="1"/>
  <c r="F12" i="2"/>
  <c r="G12" i="2"/>
  <c r="I12" i="2"/>
  <c r="J12" i="2"/>
  <c r="K12" i="2"/>
  <c r="L12" i="2"/>
  <c r="AB13" i="1"/>
  <c r="F13" i="2"/>
  <c r="G13" i="2"/>
  <c r="I13" i="2"/>
  <c r="J13" i="2"/>
  <c r="K13" i="2"/>
  <c r="L13" i="2"/>
  <c r="AB14" i="1"/>
  <c r="AE14" i="1"/>
  <c r="AF14" i="1"/>
  <c r="E14" i="2" s="1"/>
  <c r="E14" i="5" s="1"/>
  <c r="F14" i="2"/>
  <c r="G14" i="2"/>
  <c r="I14" i="2"/>
  <c r="J14" i="2"/>
  <c r="K14" i="2"/>
  <c r="L14" i="2"/>
  <c r="AB15" i="1"/>
  <c r="F15" i="2"/>
  <c r="G15" i="2"/>
  <c r="I15" i="2"/>
  <c r="J15" i="2"/>
  <c r="K15" i="2"/>
  <c r="L15" i="2"/>
  <c r="AB16" i="1"/>
  <c r="AE16" i="1"/>
  <c r="AF16" i="1"/>
  <c r="E16" i="2"/>
  <c r="E16" i="5" s="1"/>
  <c r="F16" i="2"/>
  <c r="G16" i="2"/>
  <c r="I16" i="2"/>
  <c r="J16" i="2"/>
  <c r="K16" i="2"/>
  <c r="L16" i="2"/>
  <c r="AB17" i="1"/>
  <c r="F17" i="2"/>
  <c r="G17" i="2"/>
  <c r="I17" i="2"/>
  <c r="J17" i="2"/>
  <c r="K17" i="2"/>
  <c r="L17" i="2"/>
  <c r="AB18" i="1"/>
  <c r="AE18" i="1"/>
  <c r="AF18" i="1" s="1"/>
  <c r="E18" i="2" s="1"/>
  <c r="E18" i="5" s="1"/>
  <c r="F18" i="2"/>
  <c r="G18" i="2"/>
  <c r="I18" i="2"/>
  <c r="J18" i="2"/>
  <c r="K18" i="2"/>
  <c r="L18" i="2"/>
  <c r="AB19" i="1"/>
  <c r="F19" i="2"/>
  <c r="G19" i="2"/>
  <c r="I19" i="2"/>
  <c r="J19" i="2"/>
  <c r="K19" i="2"/>
  <c r="L19" i="2"/>
  <c r="AB20" i="1"/>
  <c r="AE20" i="1"/>
  <c r="AF20" i="1" s="1"/>
  <c r="E20" i="2" s="1"/>
  <c r="E20" i="5"/>
  <c r="F20" i="2"/>
  <c r="G20" i="2"/>
  <c r="I20" i="2"/>
  <c r="J20" i="2"/>
  <c r="K20" i="2"/>
  <c r="L20" i="2"/>
  <c r="AB21" i="1"/>
  <c r="F21" i="2"/>
  <c r="G21" i="2"/>
  <c r="I21" i="2"/>
  <c r="J21" i="2"/>
  <c r="K21" i="2"/>
  <c r="L21" i="2"/>
  <c r="AB22" i="1"/>
  <c r="AE22" i="1"/>
  <c r="AF22" i="1"/>
  <c r="E22" i="2"/>
  <c r="F22" i="2"/>
  <c r="G22" i="2"/>
  <c r="I22" i="2"/>
  <c r="J22" i="2"/>
  <c r="K22" i="2"/>
  <c r="L22" i="2"/>
  <c r="AB23" i="1"/>
  <c r="F23" i="2"/>
  <c r="G23" i="2"/>
  <c r="I23" i="2"/>
  <c r="J23" i="2"/>
  <c r="K23" i="2"/>
  <c r="L23" i="2"/>
  <c r="AB24" i="1"/>
  <c r="AE24" i="1"/>
  <c r="AF24" i="1"/>
  <c r="E24" i="2" s="1"/>
  <c r="E24" i="5" s="1"/>
  <c r="F24" i="2"/>
  <c r="G24" i="2"/>
  <c r="I24" i="2"/>
  <c r="J24" i="2"/>
  <c r="K24" i="2"/>
  <c r="L24" i="2"/>
  <c r="AB25" i="1"/>
  <c r="F25" i="2"/>
  <c r="G25" i="2"/>
  <c r="I25" i="2"/>
  <c r="J25" i="2"/>
  <c r="K25" i="2"/>
  <c r="L25" i="2"/>
  <c r="AB26" i="1"/>
  <c r="AE26" i="1"/>
  <c r="AF26" i="1" s="1"/>
  <c r="E26" i="2" s="1"/>
  <c r="F26" i="2"/>
  <c r="G26" i="2"/>
  <c r="I26" i="2"/>
  <c r="J26" i="2"/>
  <c r="K26" i="2"/>
  <c r="L26" i="2"/>
  <c r="AB27" i="1"/>
  <c r="F27" i="2"/>
  <c r="G27" i="2"/>
  <c r="I27" i="2"/>
  <c r="J27" i="2"/>
  <c r="K27" i="2"/>
  <c r="L27" i="2"/>
  <c r="AB28" i="1"/>
  <c r="AE28" i="1"/>
  <c r="AF28" i="1" s="1"/>
  <c r="E28" i="2" s="1"/>
  <c r="E28" i="5" s="1"/>
  <c r="F28" i="2"/>
  <c r="G28" i="2"/>
  <c r="I28" i="2"/>
  <c r="J28" i="2"/>
  <c r="K28" i="2"/>
  <c r="L28" i="2"/>
  <c r="AB29" i="1"/>
  <c r="AE29" i="1"/>
  <c r="AF29" i="1" s="1"/>
  <c r="E29" i="2"/>
  <c r="E29" i="5" s="1"/>
  <c r="F29" i="2"/>
  <c r="G29" i="2"/>
  <c r="I29" i="2"/>
  <c r="J29" i="2"/>
  <c r="K29" i="2"/>
  <c r="L29" i="2"/>
  <c r="AB30" i="1"/>
  <c r="AE30" i="1"/>
  <c r="AF30" i="1"/>
  <c r="E30" i="2"/>
  <c r="E30" i="5" s="1"/>
  <c r="F30" i="2"/>
  <c r="G30" i="2"/>
  <c r="I30" i="2"/>
  <c r="J30" i="2"/>
  <c r="K30" i="2"/>
  <c r="L30" i="2"/>
  <c r="AB31" i="1"/>
  <c r="AE31" i="1"/>
  <c r="AF31" i="1" s="1"/>
  <c r="E31" i="2" s="1"/>
  <c r="E31" i="5" s="1"/>
  <c r="F31" i="2"/>
  <c r="G31" i="2"/>
  <c r="I31" i="2"/>
  <c r="J31" i="2"/>
  <c r="K31" i="2"/>
  <c r="L31" i="2"/>
  <c r="AB32" i="1"/>
  <c r="AF32" i="1"/>
  <c r="E32" i="2" s="1"/>
  <c r="E32" i="5" s="1"/>
  <c r="F32" i="2"/>
  <c r="G32" i="2"/>
  <c r="I32" i="2"/>
  <c r="J32" i="2"/>
  <c r="K32" i="2"/>
  <c r="L32" i="2"/>
  <c r="AB33" i="1"/>
  <c r="AE33" i="1"/>
  <c r="AF33" i="1"/>
  <c r="E33" i="2" s="1"/>
  <c r="E33" i="5" s="1"/>
  <c r="F33" i="2"/>
  <c r="G33" i="2"/>
  <c r="I33" i="2"/>
  <c r="J33" i="2"/>
  <c r="K33" i="2"/>
  <c r="L33" i="2"/>
  <c r="AB34" i="1"/>
  <c r="AE34" i="1"/>
  <c r="AF34" i="1" s="1"/>
  <c r="E34" i="2" s="1"/>
  <c r="E34" i="5"/>
  <c r="F34" i="2"/>
  <c r="G34" i="2"/>
  <c r="I34" i="2"/>
  <c r="J34" i="2"/>
  <c r="K34" i="2"/>
  <c r="L34" i="2"/>
  <c r="AB35" i="1"/>
  <c r="AE35" i="1"/>
  <c r="AF35" i="1" s="1"/>
  <c r="E35" i="2" s="1"/>
  <c r="E35" i="5" s="1"/>
  <c r="F35" i="2"/>
  <c r="G35" i="2"/>
  <c r="I35" i="2"/>
  <c r="J35" i="2"/>
  <c r="K35" i="2"/>
  <c r="L35" i="2"/>
  <c r="AB36" i="1"/>
  <c r="AE36" i="1"/>
  <c r="AF36" i="1"/>
  <c r="E36" i="2"/>
  <c r="F36" i="2"/>
  <c r="G36" i="2"/>
  <c r="I36" i="2"/>
  <c r="J36" i="2"/>
  <c r="K36" i="2"/>
  <c r="L36" i="2"/>
  <c r="AB37" i="1"/>
  <c r="AE37" i="1"/>
  <c r="AF37" i="1" s="1"/>
  <c r="E37" i="2" s="1"/>
  <c r="E37" i="5" s="1"/>
  <c r="F37" i="2"/>
  <c r="G37" i="2"/>
  <c r="I37" i="2"/>
  <c r="J37" i="2"/>
  <c r="K37" i="2"/>
  <c r="L37" i="2"/>
  <c r="AB38" i="1"/>
  <c r="AE38" i="1"/>
  <c r="AF38" i="1"/>
  <c r="E38" i="2"/>
  <c r="E38" i="5" s="1"/>
  <c r="F38" i="2"/>
  <c r="G38" i="2"/>
  <c r="I38" i="2"/>
  <c r="J38" i="2"/>
  <c r="K38" i="2"/>
  <c r="L38" i="2"/>
  <c r="AB39" i="1"/>
  <c r="AE39" i="1"/>
  <c r="AF39" i="1" s="1"/>
  <c r="E39" i="2" s="1"/>
  <c r="E39" i="5" s="1"/>
  <c r="F39" i="2"/>
  <c r="G39" i="2"/>
  <c r="I39" i="2"/>
  <c r="J39" i="2"/>
  <c r="K39" i="2"/>
  <c r="L39" i="2"/>
  <c r="AB40" i="1"/>
  <c r="E40" i="2"/>
  <c r="E40" i="5"/>
  <c r="F40" i="2"/>
  <c r="G40" i="2"/>
  <c r="I40" i="2"/>
  <c r="J40" i="2"/>
  <c r="K40" i="2"/>
  <c r="L40" i="2"/>
  <c r="AB41" i="1"/>
  <c r="AE41" i="1"/>
  <c r="AF41" i="1"/>
  <c r="E41" i="2" s="1"/>
  <c r="E41" i="5" s="1"/>
  <c r="F41" i="2"/>
  <c r="G41" i="2"/>
  <c r="I41" i="2"/>
  <c r="J41" i="2"/>
  <c r="K41" i="2"/>
  <c r="L41" i="2"/>
  <c r="AB42" i="1"/>
  <c r="AE42" i="1"/>
  <c r="AF42" i="1"/>
  <c r="E42" i="2" s="1"/>
  <c r="E42" i="5" s="1"/>
  <c r="F42" i="2"/>
  <c r="G42" i="2"/>
  <c r="I42" i="2"/>
  <c r="J42" i="2"/>
  <c r="K42" i="2"/>
  <c r="L42" i="2"/>
  <c r="AB43" i="1"/>
  <c r="AF43" i="1"/>
  <c r="E43" i="2" s="1"/>
  <c r="E43" i="5" s="1"/>
  <c r="F43" i="2"/>
  <c r="G43" i="2"/>
  <c r="I43" i="2"/>
  <c r="J43" i="2"/>
  <c r="K43" i="2"/>
  <c r="L43" i="2"/>
  <c r="AB44" i="1"/>
  <c r="AE44" i="1"/>
  <c r="AF44" i="1" s="1"/>
  <c r="E44" i="2" s="1"/>
  <c r="F44" i="2"/>
  <c r="G44" i="2"/>
  <c r="I44" i="2"/>
  <c r="J44" i="2"/>
  <c r="K44" i="2"/>
  <c r="L44" i="2"/>
  <c r="AB45" i="1"/>
  <c r="AE45" i="1"/>
  <c r="AF45" i="1"/>
  <c r="E45" i="2" s="1"/>
  <c r="E45" i="5" s="1"/>
  <c r="F45" i="2"/>
  <c r="G45" i="2"/>
  <c r="I45" i="2"/>
  <c r="J45" i="2"/>
  <c r="K45" i="2"/>
  <c r="L45" i="2"/>
  <c r="AB46" i="1"/>
  <c r="AE46" i="1"/>
  <c r="AF46" i="1"/>
  <c r="E46" i="2"/>
  <c r="F46" i="2"/>
  <c r="G46" i="2"/>
  <c r="I46" i="2"/>
  <c r="J46" i="2"/>
  <c r="K46" i="2"/>
  <c r="L46" i="2"/>
  <c r="AB47" i="1"/>
  <c r="AE47" i="1"/>
  <c r="AF47" i="1"/>
  <c r="E47" i="2" s="1"/>
  <c r="E47" i="5" s="1"/>
  <c r="F47" i="2"/>
  <c r="G47" i="2"/>
  <c r="I47" i="2"/>
  <c r="J47" i="2"/>
  <c r="K47" i="2"/>
  <c r="L47" i="2"/>
  <c r="AB48" i="1"/>
  <c r="AE48" i="1"/>
  <c r="AF48" i="1" s="1"/>
  <c r="E48" i="2" s="1"/>
  <c r="E48" i="5" s="1"/>
  <c r="F48" i="2"/>
  <c r="G48" i="2"/>
  <c r="I48" i="2"/>
  <c r="J48" i="2"/>
  <c r="K48" i="2"/>
  <c r="L48" i="2"/>
  <c r="AB49" i="1"/>
  <c r="AE49" i="1"/>
  <c r="AF49" i="1"/>
  <c r="E49" i="2"/>
  <c r="E49" i="5" s="1"/>
  <c r="F49" i="2"/>
  <c r="G49" i="2"/>
  <c r="I49" i="2"/>
  <c r="J49" i="2"/>
  <c r="K49" i="2"/>
  <c r="L49" i="2"/>
  <c r="AB50" i="1"/>
  <c r="AE50" i="1"/>
  <c r="AF50" i="1"/>
  <c r="E50" i="2"/>
  <c r="E50" i="5" s="1"/>
  <c r="F50" i="2"/>
  <c r="G50" i="2"/>
  <c r="I50" i="2"/>
  <c r="J50" i="2"/>
  <c r="K50" i="2"/>
  <c r="L50" i="2"/>
  <c r="AB51" i="1"/>
  <c r="AE51" i="1"/>
  <c r="AF51" i="1" s="1"/>
  <c r="E51" i="2" s="1"/>
  <c r="E51" i="5" s="1"/>
  <c r="F51" i="2"/>
  <c r="G51" i="2"/>
  <c r="I51" i="2"/>
  <c r="J51" i="2"/>
  <c r="K51" i="2"/>
  <c r="L51" i="2"/>
  <c r="AB52" i="1"/>
  <c r="AE52" i="1"/>
  <c r="AF52" i="1" s="1"/>
  <c r="E52" i="2" s="1"/>
  <c r="E52" i="5" s="1"/>
  <c r="F52" i="2"/>
  <c r="G52" i="2"/>
  <c r="I52" i="2"/>
  <c r="J52" i="2"/>
  <c r="K52" i="2"/>
  <c r="L52" i="2"/>
  <c r="AB53" i="1"/>
  <c r="AE53" i="1"/>
  <c r="AF53" i="1" s="1"/>
  <c r="E53" i="2" s="1"/>
  <c r="E53" i="5" s="1"/>
  <c r="F53" i="2"/>
  <c r="G53" i="2"/>
  <c r="I53" i="2"/>
  <c r="J53" i="2"/>
  <c r="K53" i="2"/>
  <c r="L53" i="2"/>
  <c r="AB54" i="1"/>
  <c r="AE54" i="1"/>
  <c r="AF54" i="1" s="1"/>
  <c r="E54" i="2" s="1"/>
  <c r="F54" i="2"/>
  <c r="G54" i="2"/>
  <c r="I54" i="2"/>
  <c r="J54" i="2"/>
  <c r="K54" i="2"/>
  <c r="L54" i="2"/>
  <c r="AB55" i="1"/>
  <c r="AE55" i="1"/>
  <c r="AF55" i="1" s="1"/>
  <c r="E55" i="2" s="1"/>
  <c r="E55" i="5" s="1"/>
  <c r="F55" i="2"/>
  <c r="G55" i="2"/>
  <c r="I55" i="2"/>
  <c r="J55" i="2"/>
  <c r="K55" i="2"/>
  <c r="L55" i="2"/>
  <c r="AB56" i="1"/>
  <c r="AE56" i="1"/>
  <c r="AF56" i="1"/>
  <c r="E56" i="2"/>
  <c r="E56" i="5" s="1"/>
  <c r="F56" i="2"/>
  <c r="G56" i="2"/>
  <c r="I56" i="2"/>
  <c r="J56" i="2"/>
  <c r="K56" i="2"/>
  <c r="L56" i="2"/>
  <c r="AB57" i="1"/>
  <c r="AE57" i="1"/>
  <c r="AF57" i="1" s="1"/>
  <c r="E57" i="2" s="1"/>
  <c r="E57" i="5" s="1"/>
  <c r="F57" i="2"/>
  <c r="G57" i="2"/>
  <c r="I57" i="2"/>
  <c r="J57" i="2"/>
  <c r="K57" i="2"/>
  <c r="L57" i="2"/>
  <c r="AB58" i="1"/>
  <c r="AE58" i="1"/>
  <c r="AF58" i="1" s="1"/>
  <c r="E58" i="2" s="1"/>
  <c r="E58" i="5" s="1"/>
  <c r="F58" i="2"/>
  <c r="G58" i="2"/>
  <c r="I58" i="2"/>
  <c r="J58" i="2"/>
  <c r="K58" i="2"/>
  <c r="L58" i="2"/>
  <c r="AB59" i="1"/>
  <c r="AE59" i="1"/>
  <c r="AF59" i="1" s="1"/>
  <c r="E59" i="2" s="1"/>
  <c r="E59" i="5" s="1"/>
  <c r="F59" i="2"/>
  <c r="G59" i="2"/>
  <c r="I59" i="2"/>
  <c r="J59" i="2"/>
  <c r="K59" i="2"/>
  <c r="L59" i="2"/>
  <c r="AB60" i="1"/>
  <c r="AE60" i="1"/>
  <c r="AF60" i="1"/>
  <c r="E60" i="2"/>
  <c r="E60" i="5" s="1"/>
  <c r="F60" i="2"/>
  <c r="G60" i="2"/>
  <c r="I60" i="2"/>
  <c r="J60" i="2"/>
  <c r="K60" i="2"/>
  <c r="L60" i="2"/>
  <c r="AB61" i="1"/>
  <c r="AE61" i="1"/>
  <c r="AF61" i="1"/>
  <c r="E61" i="2" s="1"/>
  <c r="E61" i="5" s="1"/>
  <c r="F61" i="2"/>
  <c r="G61" i="2"/>
  <c r="I61" i="2"/>
  <c r="J61" i="2"/>
  <c r="K61" i="2"/>
  <c r="L61" i="2"/>
  <c r="AB62" i="1"/>
  <c r="AE62" i="1"/>
  <c r="AF62" i="1" s="1"/>
  <c r="E62" i="2" s="1"/>
  <c r="E62" i="5" s="1"/>
  <c r="F62" i="2"/>
  <c r="G62" i="2"/>
  <c r="I62" i="2"/>
  <c r="J62" i="2"/>
  <c r="K62" i="2"/>
  <c r="L62" i="2"/>
  <c r="AB63" i="1"/>
  <c r="AE63" i="1"/>
  <c r="AF63" i="1" s="1"/>
  <c r="E63" i="2" s="1"/>
  <c r="E63" i="5" s="1"/>
  <c r="F63" i="2"/>
  <c r="G63" i="2"/>
  <c r="I63" i="2"/>
  <c r="J63" i="2"/>
  <c r="K63" i="2"/>
  <c r="L63" i="2"/>
  <c r="AB64" i="1"/>
  <c r="AE64" i="1"/>
  <c r="AF64" i="1" s="1"/>
  <c r="E64" i="2" s="1"/>
  <c r="E64" i="5" s="1"/>
  <c r="F64" i="2"/>
  <c r="G64" i="2"/>
  <c r="I64" i="2"/>
  <c r="J64" i="2"/>
  <c r="K64" i="2"/>
  <c r="L64" i="2"/>
  <c r="AB65" i="1"/>
  <c r="AE65" i="1"/>
  <c r="AF65" i="1" s="1"/>
  <c r="E65" i="2"/>
  <c r="E65" i="5" s="1"/>
  <c r="F65" i="2"/>
  <c r="G65" i="2"/>
  <c r="I65" i="2"/>
  <c r="J65" i="2"/>
  <c r="K65" i="2"/>
  <c r="L65" i="2"/>
  <c r="AB66" i="1"/>
  <c r="AE66" i="1"/>
  <c r="AF66" i="1" s="1"/>
  <c r="E66" i="2" s="1"/>
  <c r="E66" i="5" s="1"/>
  <c r="F66" i="2"/>
  <c r="G66" i="2"/>
  <c r="I66" i="2"/>
  <c r="J66" i="2"/>
  <c r="K66" i="2"/>
  <c r="L66" i="2"/>
  <c r="AB67" i="1"/>
  <c r="AE67" i="1"/>
  <c r="AF67" i="1"/>
  <c r="E67" i="2" s="1"/>
  <c r="E67" i="5" s="1"/>
  <c r="F67" i="2"/>
  <c r="G67" i="2"/>
  <c r="I67" i="2"/>
  <c r="J67" i="2"/>
  <c r="K67" i="2"/>
  <c r="L67" i="2"/>
  <c r="AB68" i="1"/>
  <c r="AE68" i="1"/>
  <c r="AF68" i="1"/>
  <c r="E68" i="2"/>
  <c r="E68" i="5" s="1"/>
  <c r="F68" i="2"/>
  <c r="G68" i="2"/>
  <c r="I68" i="2"/>
  <c r="J68" i="2"/>
  <c r="K68" i="2"/>
  <c r="L68" i="2"/>
  <c r="AB69" i="1"/>
  <c r="AE69" i="1"/>
  <c r="AF69" i="1" s="1"/>
  <c r="E69" i="2" s="1"/>
  <c r="E69" i="5" s="1"/>
  <c r="F69" i="2"/>
  <c r="G69" i="2"/>
  <c r="I69" i="2"/>
  <c r="J69" i="2"/>
  <c r="K69" i="2"/>
  <c r="L69" i="2"/>
  <c r="AB70" i="1"/>
  <c r="AE70" i="1"/>
  <c r="AF70" i="1" s="1"/>
  <c r="E70" i="2" s="1"/>
  <c r="E70" i="5"/>
  <c r="F70" i="2"/>
  <c r="G70" i="2"/>
  <c r="I70" i="2"/>
  <c r="J70" i="2"/>
  <c r="K70" i="2"/>
  <c r="L70" i="2"/>
  <c r="AB71" i="1"/>
  <c r="AE71" i="1"/>
  <c r="AF71" i="1"/>
  <c r="E71" i="2" s="1"/>
  <c r="E71" i="5" s="1"/>
  <c r="F71" i="2"/>
  <c r="G71" i="2"/>
  <c r="I71" i="2"/>
  <c r="J71" i="2"/>
  <c r="K71" i="2"/>
  <c r="L71" i="2"/>
  <c r="AB72" i="1"/>
  <c r="AE72" i="1"/>
  <c r="AF72" i="1"/>
  <c r="E72" i="2" s="1"/>
  <c r="E72" i="5" s="1"/>
  <c r="F72" i="2"/>
  <c r="G72" i="2"/>
  <c r="I72" i="2"/>
  <c r="J72" i="2"/>
  <c r="K72" i="2"/>
  <c r="L72" i="2"/>
  <c r="AB73" i="1"/>
  <c r="AE73" i="1"/>
  <c r="AF73" i="1" s="1"/>
  <c r="E73" i="2" s="1"/>
  <c r="E73" i="5" s="1"/>
  <c r="F73" i="2"/>
  <c r="G73" i="2"/>
  <c r="I73" i="2"/>
  <c r="J73" i="2"/>
  <c r="K73" i="2"/>
  <c r="L73" i="2"/>
  <c r="AB74" i="1"/>
  <c r="AE74" i="1"/>
  <c r="AF74" i="1"/>
  <c r="E74" i="2"/>
  <c r="E74" i="5" s="1"/>
  <c r="F74" i="2"/>
  <c r="G74" i="2"/>
  <c r="I74" i="2"/>
  <c r="J74" i="2"/>
  <c r="K74" i="2"/>
  <c r="L74" i="2"/>
  <c r="AB75" i="1"/>
  <c r="AE75" i="1"/>
  <c r="AF75" i="1"/>
  <c r="E75" i="2" s="1"/>
  <c r="E75" i="5" s="1"/>
  <c r="F75" i="2"/>
  <c r="G75" i="2"/>
  <c r="I75" i="2"/>
  <c r="J75" i="2"/>
  <c r="K75" i="2"/>
  <c r="L75" i="2"/>
  <c r="AB76" i="1"/>
  <c r="AE76" i="1"/>
  <c r="AF76" i="1"/>
  <c r="E76" i="2" s="1"/>
  <c r="F76" i="2"/>
  <c r="G76" i="2"/>
  <c r="I76" i="2"/>
  <c r="J76" i="2"/>
  <c r="K76" i="2"/>
  <c r="L76" i="2"/>
  <c r="AB77" i="1"/>
  <c r="AE77" i="1"/>
  <c r="AF77" i="1" s="1"/>
  <c r="E77" i="2" s="1"/>
  <c r="E77" i="5" s="1"/>
  <c r="F77" i="2"/>
  <c r="G77" i="2"/>
  <c r="I77" i="2"/>
  <c r="J77" i="2"/>
  <c r="K77" i="2"/>
  <c r="L77" i="2"/>
  <c r="AB78" i="1"/>
  <c r="AE78" i="1"/>
  <c r="AF78" i="1"/>
  <c r="E78" i="2" s="1"/>
  <c r="F78" i="2"/>
  <c r="G78" i="2"/>
  <c r="I78" i="2"/>
  <c r="J78" i="2"/>
  <c r="K78" i="2"/>
  <c r="L78" i="2"/>
  <c r="AB79" i="1"/>
  <c r="AE79" i="1"/>
  <c r="AF79" i="1" s="1"/>
  <c r="E79" i="2" s="1"/>
  <c r="E79" i="5"/>
  <c r="F79" i="2"/>
  <c r="G79" i="2"/>
  <c r="I79" i="2"/>
  <c r="J79" i="2"/>
  <c r="K79" i="2"/>
  <c r="L79" i="2"/>
  <c r="AB80" i="1"/>
  <c r="AE80" i="1"/>
  <c r="AF80" i="1" s="1"/>
  <c r="E80" i="2" s="1"/>
  <c r="E80" i="5" s="1"/>
  <c r="F80" i="2"/>
  <c r="G80" i="2"/>
  <c r="I80" i="2"/>
  <c r="J80" i="2"/>
  <c r="K80" i="2"/>
  <c r="L80" i="2"/>
  <c r="AB81" i="1"/>
  <c r="AE81" i="1"/>
  <c r="AF81" i="1" s="1"/>
  <c r="E81" i="2" s="1"/>
  <c r="E81" i="5" s="1"/>
  <c r="F81" i="2"/>
  <c r="G81" i="2"/>
  <c r="I81" i="2"/>
  <c r="J81" i="2"/>
  <c r="K81" i="2"/>
  <c r="L81" i="2"/>
  <c r="AB82" i="1"/>
  <c r="AE82" i="1"/>
  <c r="AF82" i="1"/>
  <c r="E82" i="2"/>
  <c r="E82" i="5" s="1"/>
  <c r="F82" i="2"/>
  <c r="G82" i="2"/>
  <c r="I82" i="2"/>
  <c r="J82" i="2"/>
  <c r="K82" i="2"/>
  <c r="L82" i="2"/>
  <c r="AB83" i="1"/>
  <c r="AE83" i="1"/>
  <c r="AF83" i="1"/>
  <c r="E83" i="2"/>
  <c r="E83" i="5" s="1"/>
  <c r="F83" i="2"/>
  <c r="G83" i="2"/>
  <c r="I83" i="2"/>
  <c r="J83" i="2"/>
  <c r="K83" i="2"/>
  <c r="L83" i="2"/>
  <c r="AB84" i="1"/>
  <c r="AE84" i="1"/>
  <c r="AF84" i="1" s="1"/>
  <c r="E84" i="2" s="1"/>
  <c r="E84" i="5" s="1"/>
  <c r="F84" i="2"/>
  <c r="G84" i="2"/>
  <c r="I84" i="2"/>
  <c r="J84" i="2"/>
  <c r="K84" i="2"/>
  <c r="L84" i="2"/>
  <c r="AB85" i="1"/>
  <c r="AE85" i="1"/>
  <c r="AF85" i="1" s="1"/>
  <c r="E85" i="2" s="1"/>
  <c r="E85" i="5" s="1"/>
  <c r="F85" i="2"/>
  <c r="G85" i="2"/>
  <c r="I85" i="2"/>
  <c r="J85" i="2"/>
  <c r="K85" i="2"/>
  <c r="L85" i="2"/>
  <c r="AB86" i="1"/>
  <c r="AE86" i="1"/>
  <c r="AF86" i="1" s="1"/>
  <c r="E86" i="2" s="1"/>
  <c r="F86" i="2"/>
  <c r="G86" i="2"/>
  <c r="I86" i="2"/>
  <c r="J86" i="2"/>
  <c r="K86" i="2"/>
  <c r="L86" i="2"/>
  <c r="AB87" i="1"/>
  <c r="AE87" i="1"/>
  <c r="AF87" i="1" s="1"/>
  <c r="E87" i="2" s="1"/>
  <c r="E87" i="5" s="1"/>
  <c r="F87" i="2"/>
  <c r="G87" i="2"/>
  <c r="I87" i="2"/>
  <c r="J87" i="2"/>
  <c r="K87" i="2"/>
  <c r="L87" i="2"/>
  <c r="AB88" i="1"/>
  <c r="AE88" i="1"/>
  <c r="AF88" i="1" s="1"/>
  <c r="E88" i="2" s="1"/>
  <c r="E88" i="5" s="1"/>
  <c r="F88" i="2"/>
  <c r="G88" i="2"/>
  <c r="I88" i="2"/>
  <c r="J88" i="2"/>
  <c r="K88" i="2"/>
  <c r="L88" i="2"/>
  <c r="AB89" i="1"/>
  <c r="AE89" i="1"/>
  <c r="AF89" i="1"/>
  <c r="E89" i="2"/>
  <c r="E89" i="5" s="1"/>
  <c r="F89" i="2"/>
  <c r="G89" i="2"/>
  <c r="I89" i="2"/>
  <c r="J89" i="2"/>
  <c r="K89" i="2"/>
  <c r="L89" i="2"/>
  <c r="AB90" i="1"/>
  <c r="AE90" i="1"/>
  <c r="AF90" i="1" s="1"/>
  <c r="E90" i="2" s="1"/>
  <c r="E90" i="5"/>
  <c r="F90" i="2"/>
  <c r="G90" i="2"/>
  <c r="I90" i="2"/>
  <c r="J90" i="2"/>
  <c r="K90" i="2"/>
  <c r="L90" i="2"/>
  <c r="AB91" i="1"/>
  <c r="AE91" i="1"/>
  <c r="AF91" i="1" s="1"/>
  <c r="E91" i="2" s="1"/>
  <c r="E91" i="5" s="1"/>
  <c r="F91" i="2"/>
  <c r="G91" i="2"/>
  <c r="I91" i="2"/>
  <c r="J91" i="2"/>
  <c r="K91" i="2"/>
  <c r="L91" i="2"/>
  <c r="AB92" i="1"/>
  <c r="AE92" i="1"/>
  <c r="AF92" i="1" s="1"/>
  <c r="E92" i="2" s="1"/>
  <c r="E92" i="5" s="1"/>
  <c r="F92" i="2"/>
  <c r="G92" i="2"/>
  <c r="I92" i="2"/>
  <c r="J92" i="2"/>
  <c r="K92" i="2"/>
  <c r="L92" i="2"/>
  <c r="AB93" i="1"/>
  <c r="AE93" i="1"/>
  <c r="AF93" i="1"/>
  <c r="E93" i="2"/>
  <c r="E93" i="5" s="1"/>
  <c r="F93" i="2"/>
  <c r="G93" i="2"/>
  <c r="I93" i="2"/>
  <c r="J93" i="2"/>
  <c r="K93" i="2"/>
  <c r="L93" i="2"/>
  <c r="AB94" i="1"/>
  <c r="AE94" i="1"/>
  <c r="AF94" i="1"/>
  <c r="E94" i="2" s="1"/>
  <c r="E94" i="5" s="1"/>
  <c r="F94" i="2"/>
  <c r="G94" i="2"/>
  <c r="I94" i="2"/>
  <c r="J94" i="2"/>
  <c r="K94" i="2"/>
  <c r="L94" i="2"/>
  <c r="AB95" i="1"/>
  <c r="AE95" i="1"/>
  <c r="AF95" i="1" s="1"/>
  <c r="E95" i="2" s="1"/>
  <c r="E95" i="5" s="1"/>
  <c r="F95" i="2"/>
  <c r="G95" i="2"/>
  <c r="I95" i="2"/>
  <c r="J95" i="2"/>
  <c r="K95" i="2"/>
  <c r="L95" i="2"/>
  <c r="AB96" i="1"/>
  <c r="AE96" i="1"/>
  <c r="AF96" i="1" s="1"/>
  <c r="E96" i="2" s="1"/>
  <c r="E96" i="5" s="1"/>
  <c r="F96" i="2"/>
  <c r="G96" i="2"/>
  <c r="I96" i="2"/>
  <c r="J96" i="2"/>
  <c r="K96" i="2"/>
  <c r="L96" i="2"/>
  <c r="AB97" i="1"/>
  <c r="AE97" i="1"/>
  <c r="AF97" i="1" s="1"/>
  <c r="E97" i="2" s="1"/>
  <c r="E97" i="5" s="1"/>
  <c r="F97" i="2"/>
  <c r="G97" i="2"/>
  <c r="I97" i="2"/>
  <c r="J97" i="2"/>
  <c r="K97" i="2"/>
  <c r="L97" i="2"/>
  <c r="AB98" i="1"/>
  <c r="AE98" i="1"/>
  <c r="AF98" i="1" s="1"/>
  <c r="E98" i="2" s="1"/>
  <c r="E98" i="5" s="1"/>
  <c r="F98" i="2"/>
  <c r="G98" i="2"/>
  <c r="I98" i="2"/>
  <c r="J98" i="2"/>
  <c r="K98" i="2"/>
  <c r="L98" i="2"/>
  <c r="AB99" i="1"/>
  <c r="AE99" i="1"/>
  <c r="AF99" i="1" s="1"/>
  <c r="E99" i="2" s="1"/>
  <c r="E99" i="5" s="1"/>
  <c r="F99" i="2"/>
  <c r="G99" i="2"/>
  <c r="I99" i="2"/>
  <c r="J99" i="2"/>
  <c r="K99" i="2"/>
  <c r="L99" i="2"/>
  <c r="AB100" i="1"/>
  <c r="AE100" i="1"/>
  <c r="AF100" i="1"/>
  <c r="E100" i="2" s="1"/>
  <c r="F100" i="2"/>
  <c r="G100" i="2"/>
  <c r="I100" i="2"/>
  <c r="J100" i="2"/>
  <c r="K100" i="2"/>
  <c r="L100" i="2"/>
  <c r="AB101" i="1"/>
  <c r="AE101" i="1"/>
  <c r="AF101" i="1" s="1"/>
  <c r="E101" i="2" s="1"/>
  <c r="E101" i="5" s="1"/>
  <c r="F101" i="2"/>
  <c r="G101" i="2"/>
  <c r="I101" i="2"/>
  <c r="J101" i="2"/>
  <c r="K101" i="2"/>
  <c r="L101" i="2"/>
  <c r="AB102" i="1"/>
  <c r="AE102" i="1"/>
  <c r="AF102" i="1"/>
  <c r="E102" i="2" s="1"/>
  <c r="E102" i="5" s="1"/>
  <c r="F102" i="2"/>
  <c r="G102" i="2"/>
  <c r="I102" i="2"/>
  <c r="J102" i="2"/>
  <c r="K102" i="2"/>
  <c r="L102" i="2"/>
  <c r="AB103" i="1"/>
  <c r="AE103" i="1"/>
  <c r="AF103" i="1" s="1"/>
  <c r="E103" i="2" s="1"/>
  <c r="E103" i="5" s="1"/>
  <c r="F103" i="2"/>
  <c r="G103" i="2"/>
  <c r="I103" i="2"/>
  <c r="J103" i="2"/>
  <c r="K103" i="2"/>
  <c r="L103" i="2"/>
  <c r="AB104" i="1"/>
  <c r="AF104" i="1"/>
  <c r="E104" i="2"/>
  <c r="E104" i="5"/>
  <c r="F104" i="2"/>
  <c r="G104" i="2"/>
  <c r="I104" i="2"/>
  <c r="J104" i="2"/>
  <c r="K104" i="2"/>
  <c r="L104" i="2"/>
  <c r="AB105" i="1"/>
  <c r="AE105" i="1"/>
  <c r="AF105" i="1" s="1"/>
  <c r="E105" i="2" s="1"/>
  <c r="E105" i="5" s="1"/>
  <c r="F105" i="2"/>
  <c r="G105" i="2"/>
  <c r="I105" i="2"/>
  <c r="J105" i="2"/>
  <c r="K105" i="2"/>
  <c r="L105" i="2"/>
  <c r="AB106" i="1"/>
  <c r="AE106" i="1"/>
  <c r="AF106" i="1" s="1"/>
  <c r="E106" i="2" s="1"/>
  <c r="E106" i="5" s="1"/>
  <c r="F106" i="2"/>
  <c r="G106" i="2"/>
  <c r="I106" i="2"/>
  <c r="J106" i="2"/>
  <c r="K106" i="2"/>
  <c r="L106" i="2"/>
  <c r="AB107" i="1"/>
  <c r="AE107" i="1"/>
  <c r="AF107" i="1" s="1"/>
  <c r="E107" i="2" s="1"/>
  <c r="E107" i="5" s="1"/>
  <c r="F107" i="2"/>
  <c r="G107" i="2"/>
  <c r="I107" i="2"/>
  <c r="J107" i="2"/>
  <c r="K107" i="2"/>
  <c r="L107" i="2"/>
  <c r="AB108" i="1"/>
  <c r="AE108" i="1"/>
  <c r="AF108" i="1"/>
  <c r="E108" i="2" s="1"/>
  <c r="F108" i="2"/>
  <c r="G108" i="2"/>
  <c r="I108" i="2"/>
  <c r="J108" i="2"/>
  <c r="K108" i="2"/>
  <c r="L108" i="2"/>
  <c r="AB109" i="1"/>
  <c r="AE109" i="1"/>
  <c r="AF109" i="1" s="1"/>
  <c r="E109" i="2" s="1"/>
  <c r="E109" i="5"/>
  <c r="F109" i="2"/>
  <c r="G109" i="2"/>
  <c r="I109" i="2"/>
  <c r="J109" i="2"/>
  <c r="K109" i="2"/>
  <c r="L109" i="2"/>
  <c r="AB110" i="1"/>
  <c r="AE110" i="1"/>
  <c r="AF110" i="1" s="1"/>
  <c r="E110" i="2" s="1"/>
  <c r="F110" i="2"/>
  <c r="G110" i="2"/>
  <c r="I110" i="2"/>
  <c r="J110" i="2"/>
  <c r="K110" i="2"/>
  <c r="L110" i="2"/>
  <c r="AB111" i="1"/>
  <c r="AE111" i="1"/>
  <c r="AF111" i="1" s="1"/>
  <c r="E111" i="2" s="1"/>
  <c r="E111" i="5" s="1"/>
  <c r="F111" i="2"/>
  <c r="G111" i="2"/>
  <c r="I111" i="2"/>
  <c r="J111" i="2"/>
  <c r="K111" i="2"/>
  <c r="L111" i="2"/>
  <c r="AB112" i="1"/>
  <c r="AE112" i="1"/>
  <c r="AF112" i="1"/>
  <c r="E112" i="2" s="1"/>
  <c r="E112" i="5" s="1"/>
  <c r="F112" i="2"/>
  <c r="G112" i="2"/>
  <c r="I112" i="2"/>
  <c r="J112" i="2"/>
  <c r="K112" i="2"/>
  <c r="L112" i="2"/>
  <c r="AB113" i="1"/>
  <c r="AE113" i="1"/>
  <c r="AF113" i="1"/>
  <c r="E113" i="2" s="1"/>
  <c r="E113" i="5" s="1"/>
  <c r="F113" i="2"/>
  <c r="G113" i="2"/>
  <c r="I113" i="2"/>
  <c r="J113" i="2"/>
  <c r="K113" i="2"/>
  <c r="L113" i="2"/>
  <c r="AB114" i="1"/>
  <c r="AE114" i="1"/>
  <c r="AF114" i="1" s="1"/>
  <c r="E114" i="2" s="1"/>
  <c r="E114" i="5" s="1"/>
  <c r="F114" i="2"/>
  <c r="G114" i="2"/>
  <c r="I114" i="2"/>
  <c r="J114" i="2"/>
  <c r="K114" i="2"/>
  <c r="L114" i="2"/>
  <c r="AB115" i="1"/>
  <c r="AE115" i="1"/>
  <c r="AF115" i="1"/>
  <c r="E115" i="2" s="1"/>
  <c r="E115" i="5"/>
  <c r="F115" i="2"/>
  <c r="G115" i="2"/>
  <c r="I115" i="2"/>
  <c r="J115" i="2"/>
  <c r="K115" i="2"/>
  <c r="L115" i="2"/>
  <c r="AB116" i="1"/>
  <c r="AE116" i="1"/>
  <c r="AF116" i="1" s="1"/>
  <c r="E116" i="2" s="1"/>
  <c r="F116" i="2"/>
  <c r="G116" i="2"/>
  <c r="I116" i="2"/>
  <c r="J116" i="2"/>
  <c r="K116" i="2"/>
  <c r="L116" i="2"/>
  <c r="AB117" i="1"/>
  <c r="AE117" i="1"/>
  <c r="AF117" i="1" s="1"/>
  <c r="E117" i="2" s="1"/>
  <c r="E117" i="5" s="1"/>
  <c r="F117" i="2"/>
  <c r="G117" i="2"/>
  <c r="I117" i="2"/>
  <c r="J117" i="2"/>
  <c r="K117" i="2"/>
  <c r="L117" i="2"/>
  <c r="AB118" i="1"/>
  <c r="AE118" i="1"/>
  <c r="AF118" i="1"/>
  <c r="E118" i="2" s="1"/>
  <c r="F118" i="2"/>
  <c r="G118" i="2"/>
  <c r="I118" i="2"/>
  <c r="J118" i="2"/>
  <c r="K118" i="2"/>
  <c r="L118" i="2"/>
  <c r="AB119" i="1"/>
  <c r="AE119" i="1"/>
  <c r="AF119" i="1"/>
  <c r="E119" i="2"/>
  <c r="E119" i="5" s="1"/>
  <c r="F119" i="2"/>
  <c r="G119" i="2"/>
  <c r="I119" i="2"/>
  <c r="J119" i="2"/>
  <c r="K119" i="2"/>
  <c r="L119" i="2"/>
  <c r="AB120" i="1"/>
  <c r="AE120" i="1"/>
  <c r="AF120" i="1" s="1"/>
  <c r="E120" i="2" s="1"/>
  <c r="E120" i="5" s="1"/>
  <c r="F120" i="2"/>
  <c r="G120" i="2"/>
  <c r="I120" i="2"/>
  <c r="J120" i="2"/>
  <c r="K120" i="2"/>
  <c r="L120" i="2"/>
  <c r="AB121" i="1"/>
  <c r="AE121" i="1"/>
  <c r="AF121" i="1"/>
  <c r="E121" i="2" s="1"/>
  <c r="E121" i="5" s="1"/>
  <c r="F121" i="2"/>
  <c r="G121" i="2"/>
  <c r="I121" i="2"/>
  <c r="J121" i="2"/>
  <c r="K121" i="2"/>
  <c r="L121" i="2"/>
  <c r="AB122" i="1"/>
  <c r="AE122" i="1"/>
  <c r="AF122" i="1" s="1"/>
  <c r="E122" i="2" s="1"/>
  <c r="E122" i="5" s="1"/>
  <c r="F122" i="2"/>
  <c r="G122" i="2"/>
  <c r="I122" i="2"/>
  <c r="J122" i="2"/>
  <c r="K122" i="2"/>
  <c r="L122" i="2"/>
  <c r="AB123" i="1"/>
  <c r="AE123" i="1"/>
  <c r="AF123" i="1" s="1"/>
  <c r="E123" i="2" s="1"/>
  <c r="E123" i="5" s="1"/>
  <c r="F123" i="2"/>
  <c r="G123" i="2"/>
  <c r="I123" i="2"/>
  <c r="J123" i="2"/>
  <c r="K123" i="2"/>
  <c r="L123" i="2"/>
  <c r="AB124" i="1"/>
  <c r="AE124" i="1"/>
  <c r="AF124" i="1" s="1"/>
  <c r="E124" i="2" s="1"/>
  <c r="E124" i="5" s="1"/>
  <c r="F124" i="2"/>
  <c r="G124" i="2"/>
  <c r="I124" i="2"/>
  <c r="J124" i="2"/>
  <c r="K124" i="2"/>
  <c r="L124" i="2"/>
  <c r="AB125" i="1"/>
  <c r="AE125" i="1"/>
  <c r="AF125" i="1" s="1"/>
  <c r="E125" i="2" s="1"/>
  <c r="E125" i="5" s="1"/>
  <c r="F125" i="2"/>
  <c r="G125" i="2"/>
  <c r="I125" i="2"/>
  <c r="J125" i="2"/>
  <c r="K125" i="2"/>
  <c r="L125" i="2"/>
  <c r="AB126" i="1"/>
  <c r="AE126" i="1"/>
  <c r="AF126" i="1"/>
  <c r="E126" i="2"/>
  <c r="E126" i="5" s="1"/>
  <c r="F126" i="2"/>
  <c r="G126" i="2"/>
  <c r="I126" i="2"/>
  <c r="J126" i="2"/>
  <c r="K126" i="2"/>
  <c r="L126" i="2"/>
  <c r="AB127" i="1"/>
  <c r="AE127" i="1"/>
  <c r="AF127" i="1"/>
  <c r="E127" i="2"/>
  <c r="E127" i="5" s="1"/>
  <c r="F127" i="2"/>
  <c r="G127" i="2"/>
  <c r="I127" i="2"/>
  <c r="J127" i="2"/>
  <c r="K127" i="2"/>
  <c r="L127" i="2"/>
  <c r="AB128" i="1"/>
  <c r="AE128" i="1"/>
  <c r="AF128" i="1" s="1"/>
  <c r="E128" i="2" s="1"/>
  <c r="E128" i="5" s="1"/>
  <c r="F128" i="2"/>
  <c r="G128" i="2"/>
  <c r="I128" i="2"/>
  <c r="J128" i="2"/>
  <c r="K128" i="2"/>
  <c r="L128" i="2"/>
  <c r="AB129" i="1"/>
  <c r="AE129" i="1"/>
  <c r="AF129" i="1"/>
  <c r="E129" i="2" s="1"/>
  <c r="E129" i="5" s="1"/>
  <c r="F129" i="2"/>
  <c r="G129" i="2"/>
  <c r="I129" i="2"/>
  <c r="J129" i="2"/>
  <c r="K129" i="2"/>
  <c r="L129" i="2"/>
  <c r="AB130" i="1"/>
  <c r="AE130" i="1"/>
  <c r="AF130" i="1" s="1"/>
  <c r="E130" i="2" s="1"/>
  <c r="E130" i="5" s="1"/>
  <c r="F130" i="2"/>
  <c r="G130" i="2"/>
  <c r="I130" i="2"/>
  <c r="J130" i="2"/>
  <c r="K130" i="2"/>
  <c r="L130" i="2"/>
  <c r="AB131" i="1"/>
  <c r="AE131" i="1"/>
  <c r="AF131" i="1" s="1"/>
  <c r="E131" i="2" s="1"/>
  <c r="F131" i="2"/>
  <c r="G131" i="2"/>
  <c r="I131" i="2"/>
  <c r="J131" i="2"/>
  <c r="K131" i="2"/>
  <c r="L131" i="2"/>
  <c r="AB132" i="1"/>
  <c r="AE132" i="1"/>
  <c r="AF132" i="1"/>
  <c r="E132" i="2" s="1"/>
  <c r="E132" i="5"/>
  <c r="F132" i="2"/>
  <c r="G132" i="2"/>
  <c r="I132" i="2"/>
  <c r="J132" i="2"/>
  <c r="K132" i="2"/>
  <c r="L132" i="2"/>
  <c r="AB133" i="1"/>
  <c r="AE133" i="1"/>
  <c r="AF133" i="1" s="1"/>
  <c r="E133" i="2" s="1"/>
  <c r="E133" i="5" s="1"/>
  <c r="F133" i="2"/>
  <c r="G133" i="2"/>
  <c r="I133" i="2"/>
  <c r="J133" i="2"/>
  <c r="K133" i="2"/>
  <c r="L133" i="2"/>
  <c r="AB134" i="1"/>
  <c r="AE134" i="1"/>
  <c r="AF134" i="1" s="1"/>
  <c r="E134" i="2" s="1"/>
  <c r="E134" i="5" s="1"/>
  <c r="F134" i="2"/>
  <c r="G134" i="2"/>
  <c r="I134" i="2"/>
  <c r="J134" i="2"/>
  <c r="K134" i="2"/>
  <c r="L134" i="2"/>
  <c r="AB135" i="1"/>
  <c r="AE135" i="1"/>
  <c r="AF135" i="1" s="1"/>
  <c r="E135" i="2" s="1"/>
  <c r="E135" i="5" s="1"/>
  <c r="F135" i="2"/>
  <c r="G135" i="2"/>
  <c r="I135" i="2"/>
  <c r="J135" i="2"/>
  <c r="K135" i="2"/>
  <c r="L135" i="2"/>
  <c r="AB136" i="1"/>
  <c r="AE136" i="1"/>
  <c r="AF136" i="1" s="1"/>
  <c r="E136" i="2" s="1"/>
  <c r="E136" i="5" s="1"/>
  <c r="F136" i="2"/>
  <c r="G136" i="2"/>
  <c r="I136" i="2"/>
  <c r="J136" i="2"/>
  <c r="K136" i="2"/>
  <c r="L136" i="2"/>
  <c r="AB137" i="1"/>
  <c r="AE137" i="1"/>
  <c r="AF137" i="1"/>
  <c r="E137" i="2"/>
  <c r="E137" i="5" s="1"/>
  <c r="F137" i="2"/>
  <c r="G137" i="2"/>
  <c r="I137" i="2"/>
  <c r="J137" i="2"/>
  <c r="K137" i="2"/>
  <c r="L137" i="2"/>
  <c r="AB138" i="1"/>
  <c r="AE138" i="1"/>
  <c r="AF138" i="1"/>
  <c r="E138" i="2" s="1"/>
  <c r="E138" i="5" s="1"/>
  <c r="F138" i="2"/>
  <c r="G138" i="2"/>
  <c r="I138" i="2"/>
  <c r="J138" i="2"/>
  <c r="K138" i="2"/>
  <c r="L138" i="2"/>
  <c r="AB139" i="1"/>
  <c r="AE139" i="1"/>
  <c r="AF139" i="1" s="1"/>
  <c r="E139" i="2" s="1"/>
  <c r="E139" i="5" s="1"/>
  <c r="F139" i="2"/>
  <c r="G139" i="2"/>
  <c r="I139" i="2"/>
  <c r="J139" i="2"/>
  <c r="K139" i="2"/>
  <c r="L139" i="2"/>
  <c r="AB140" i="1"/>
  <c r="AE140" i="1"/>
  <c r="AF140" i="1"/>
  <c r="E140" i="2" s="1"/>
  <c r="E140" i="5" s="1"/>
  <c r="F140" i="2"/>
  <c r="G140" i="2"/>
  <c r="I140" i="2"/>
  <c r="J140" i="2"/>
  <c r="K140" i="2"/>
  <c r="L140" i="2"/>
  <c r="AB141" i="1"/>
  <c r="AE141" i="1"/>
  <c r="AF141" i="1"/>
  <c r="E141" i="2" s="1"/>
  <c r="E141" i="5" s="1"/>
  <c r="F141" i="2"/>
  <c r="G141" i="2"/>
  <c r="I141" i="2"/>
  <c r="J141" i="2"/>
  <c r="K141" i="2"/>
  <c r="L141" i="2"/>
  <c r="AB142" i="1"/>
  <c r="AE142" i="1"/>
  <c r="AF142" i="1" s="1"/>
  <c r="E142" i="2" s="1"/>
  <c r="E142" i="5" s="1"/>
  <c r="F142" i="2"/>
  <c r="G142" i="2"/>
  <c r="I142" i="2"/>
  <c r="J142" i="2"/>
  <c r="K142" i="2"/>
  <c r="L142" i="2"/>
  <c r="AB143" i="1"/>
  <c r="AE143" i="1"/>
  <c r="AF143" i="1" s="1"/>
  <c r="E143" i="2"/>
  <c r="E143" i="5" s="1"/>
  <c r="F143" i="2"/>
  <c r="G143" i="2"/>
  <c r="I143" i="2"/>
  <c r="J143" i="2"/>
  <c r="K143" i="2"/>
  <c r="L143" i="2"/>
  <c r="AB144" i="1"/>
  <c r="AE144" i="1"/>
  <c r="AF144" i="1" s="1"/>
  <c r="E144" i="2" s="1"/>
  <c r="E144" i="5" s="1"/>
  <c r="F144" i="2"/>
  <c r="G144" i="2"/>
  <c r="I144" i="2"/>
  <c r="J144" i="2"/>
  <c r="K144" i="2"/>
  <c r="L144" i="2"/>
  <c r="AB145" i="1"/>
  <c r="AE145" i="1"/>
  <c r="AF145" i="1"/>
  <c r="E145" i="2"/>
  <c r="F145" i="2"/>
  <c r="G145" i="2"/>
  <c r="I145" i="2"/>
  <c r="J145" i="2"/>
  <c r="K145" i="2"/>
  <c r="L145" i="2"/>
  <c r="AB146" i="1"/>
  <c r="AE146" i="1"/>
  <c r="AF146" i="1" s="1"/>
  <c r="E146" i="2" s="1"/>
  <c r="E146" i="5" s="1"/>
  <c r="F146" i="2"/>
  <c r="G146" i="2"/>
  <c r="I146" i="2"/>
  <c r="J146" i="2"/>
  <c r="K146" i="2"/>
  <c r="L146" i="2"/>
  <c r="AB147" i="1"/>
  <c r="AE147" i="1"/>
  <c r="AF147" i="1" s="1"/>
  <c r="E147" i="2" s="1"/>
  <c r="E147" i="5" s="1"/>
  <c r="F147" i="2"/>
  <c r="G147" i="2"/>
  <c r="I147" i="2"/>
  <c r="J147" i="2"/>
  <c r="K147" i="2"/>
  <c r="L147" i="2"/>
  <c r="AB148" i="1"/>
  <c r="AE148" i="1"/>
  <c r="AF148" i="1"/>
  <c r="E148" i="2"/>
  <c r="E148" i="5" s="1"/>
  <c r="F148" i="2"/>
  <c r="G148" i="2"/>
  <c r="I148" i="2"/>
  <c r="J148" i="2"/>
  <c r="K148" i="2"/>
  <c r="L148" i="2"/>
  <c r="AB149" i="1"/>
  <c r="AE149" i="1"/>
  <c r="AF149" i="1"/>
  <c r="E149" i="2" s="1"/>
  <c r="E149" i="5" s="1"/>
  <c r="F149" i="2"/>
  <c r="G149" i="2"/>
  <c r="I149" i="2"/>
  <c r="J149" i="2"/>
  <c r="K149" i="2"/>
  <c r="L149" i="2"/>
  <c r="AB150" i="1"/>
  <c r="AE150" i="1"/>
  <c r="AF150" i="1" s="1"/>
  <c r="E150" i="2" s="1"/>
  <c r="E150" i="5" s="1"/>
  <c r="F150" i="2"/>
  <c r="G150" i="2"/>
  <c r="I150" i="2"/>
  <c r="J150" i="2"/>
  <c r="K150" i="2"/>
  <c r="L150" i="2"/>
  <c r="AB151" i="1"/>
  <c r="AE151" i="1"/>
  <c r="AF151" i="1"/>
  <c r="E151" i="2" s="1"/>
  <c r="E151" i="5"/>
  <c r="F151" i="2"/>
  <c r="G151" i="2"/>
  <c r="I151" i="2"/>
  <c r="J151" i="2"/>
  <c r="K151" i="2"/>
  <c r="L151" i="2"/>
  <c r="AB152" i="1"/>
  <c r="AE152" i="1"/>
  <c r="AF152" i="1" s="1"/>
  <c r="E152" i="2" s="1"/>
  <c r="E152" i="5" s="1"/>
  <c r="F152" i="2"/>
  <c r="G152" i="2"/>
  <c r="I152" i="2"/>
  <c r="J152" i="2"/>
  <c r="K152" i="2"/>
  <c r="L152" i="2"/>
  <c r="AB153" i="1"/>
  <c r="AE153" i="1"/>
  <c r="AF153" i="1" s="1"/>
  <c r="E153" i="2" s="1"/>
  <c r="F153" i="2"/>
  <c r="G153" i="2"/>
  <c r="I153" i="2"/>
  <c r="J153" i="2"/>
  <c r="K153" i="2"/>
  <c r="L153" i="2"/>
  <c r="AB154" i="1"/>
  <c r="AE154" i="1"/>
  <c r="AF154" i="1"/>
  <c r="E154" i="2" s="1"/>
  <c r="E154" i="5" s="1"/>
  <c r="F154" i="2"/>
  <c r="G154" i="2"/>
  <c r="I154" i="2"/>
  <c r="J154" i="2"/>
  <c r="K154" i="2"/>
  <c r="L154" i="2"/>
  <c r="AB155" i="1"/>
  <c r="AE155" i="1"/>
  <c r="AF155" i="1"/>
  <c r="E155" i="2" s="1"/>
  <c r="E155" i="5" s="1"/>
  <c r="F155" i="2"/>
  <c r="G155" i="2"/>
  <c r="I155" i="2"/>
  <c r="J155" i="2"/>
  <c r="K155" i="2"/>
  <c r="L155" i="2"/>
  <c r="AB156" i="1"/>
  <c r="AE156" i="1"/>
  <c r="AF156" i="1" s="1"/>
  <c r="E156" i="2" s="1"/>
  <c r="E156" i="5" s="1"/>
  <c r="F156" i="2"/>
  <c r="G156" i="2"/>
  <c r="I156" i="2"/>
  <c r="J156" i="2"/>
  <c r="K156" i="2"/>
  <c r="L156" i="2"/>
  <c r="AB157" i="1"/>
  <c r="AE157" i="1"/>
  <c r="AF157" i="1" s="1"/>
  <c r="E157" i="2"/>
  <c r="E157" i="5" s="1"/>
  <c r="F157" i="2"/>
  <c r="G157" i="2"/>
  <c r="I157" i="2"/>
  <c r="J157" i="2"/>
  <c r="K157" i="2"/>
  <c r="L157" i="2"/>
  <c r="AB158" i="1"/>
  <c r="AE158" i="1"/>
  <c r="AF158" i="1" s="1"/>
  <c r="E158" i="2" s="1"/>
  <c r="E158" i="5" s="1"/>
  <c r="F158" i="2"/>
  <c r="G158" i="2"/>
  <c r="I158" i="2"/>
  <c r="J158" i="2"/>
  <c r="K158" i="2"/>
  <c r="L158" i="2"/>
  <c r="AB159" i="1"/>
  <c r="AE159" i="1"/>
  <c r="AF159" i="1"/>
  <c r="E159" i="2"/>
  <c r="E159" i="5" s="1"/>
  <c r="F159" i="2"/>
  <c r="G159" i="2"/>
  <c r="I159" i="2"/>
  <c r="J159" i="2"/>
  <c r="K159" i="2"/>
  <c r="L159" i="2"/>
  <c r="AB160" i="1"/>
  <c r="AE160" i="1"/>
  <c r="AF160" i="1"/>
  <c r="E160" i="2"/>
  <c r="E160" i="5" s="1"/>
  <c r="F160" i="2"/>
  <c r="G160" i="2"/>
  <c r="I160" i="2"/>
  <c r="J160" i="2"/>
  <c r="K160" i="2"/>
  <c r="L160" i="2"/>
  <c r="AB161" i="1"/>
  <c r="AE161" i="1"/>
  <c r="AF161" i="1" s="1"/>
  <c r="E161" i="2" s="1"/>
  <c r="F161" i="2"/>
  <c r="G161" i="2"/>
  <c r="I161" i="2"/>
  <c r="J161" i="2"/>
  <c r="K161" i="2"/>
  <c r="L161" i="2"/>
  <c r="AB162" i="1"/>
  <c r="AE162" i="1"/>
  <c r="AF162" i="1"/>
  <c r="E162" i="2"/>
  <c r="E162" i="5" s="1"/>
  <c r="F162" i="2"/>
  <c r="G162" i="2"/>
  <c r="I162" i="2"/>
  <c r="J162" i="2"/>
  <c r="K162" i="2"/>
  <c r="L162" i="2"/>
  <c r="AB163" i="1"/>
  <c r="AE163" i="1"/>
  <c r="AF163" i="1"/>
  <c r="E163" i="2" s="1"/>
  <c r="E163" i="5" s="1"/>
  <c r="F163" i="2"/>
  <c r="G163" i="2"/>
  <c r="I163" i="2"/>
  <c r="J163" i="2"/>
  <c r="K163" i="2"/>
  <c r="L163" i="2"/>
  <c r="AB164" i="1"/>
  <c r="AE164" i="1"/>
  <c r="AF164" i="1" s="1"/>
  <c r="E164" i="2" s="1"/>
  <c r="E164" i="5" s="1"/>
  <c r="F164" i="2"/>
  <c r="G164" i="2"/>
  <c r="I164" i="2"/>
  <c r="J164" i="2"/>
  <c r="K164" i="2"/>
  <c r="L164" i="2"/>
  <c r="AB165" i="1"/>
  <c r="AE165" i="1"/>
  <c r="AF165" i="1"/>
  <c r="E165" i="2" s="1"/>
  <c r="E165" i="5"/>
  <c r="F165" i="2"/>
  <c r="G165" i="2"/>
  <c r="I165" i="2"/>
  <c r="J165" i="2"/>
  <c r="K165" i="2"/>
  <c r="L165" i="2"/>
  <c r="AB166" i="1"/>
  <c r="AE166" i="1"/>
  <c r="AF166" i="1"/>
  <c r="E166" i="2" s="1"/>
  <c r="E166" i="5" s="1"/>
  <c r="F166" i="2"/>
  <c r="G166" i="2"/>
  <c r="I166" i="2"/>
  <c r="J166" i="2"/>
  <c r="K166" i="2"/>
  <c r="L166" i="2"/>
  <c r="AB167" i="1"/>
  <c r="AE167" i="1"/>
  <c r="AF167" i="1" s="1"/>
  <c r="E167" i="2" s="1"/>
  <c r="E167" i="5" s="1"/>
  <c r="F167" i="2"/>
  <c r="G167" i="2"/>
  <c r="I167" i="2"/>
  <c r="J167" i="2"/>
  <c r="K167" i="2"/>
  <c r="L167" i="2"/>
  <c r="AB168" i="1"/>
  <c r="AE168" i="1"/>
  <c r="AF168" i="1" s="1"/>
  <c r="E168" i="2"/>
  <c r="F168" i="2"/>
  <c r="G168" i="2"/>
  <c r="I168" i="2"/>
  <c r="J168" i="2"/>
  <c r="K168" i="2"/>
  <c r="L168" i="2"/>
  <c r="AB169" i="1"/>
  <c r="AE169" i="1"/>
  <c r="AF169" i="1" s="1"/>
  <c r="E169" i="2" s="1"/>
  <c r="E169" i="5" s="1"/>
  <c r="F169" i="2"/>
  <c r="G169" i="2"/>
  <c r="I169" i="2"/>
  <c r="J169" i="2"/>
  <c r="K169" i="2"/>
  <c r="L169" i="2"/>
  <c r="AB170" i="1"/>
  <c r="AE170" i="1"/>
  <c r="AF170" i="1" s="1"/>
  <c r="E170" i="2" s="1"/>
  <c r="E170" i="5" s="1"/>
  <c r="F170" i="2"/>
  <c r="G170" i="2"/>
  <c r="I170" i="2"/>
  <c r="J170" i="2"/>
  <c r="K170" i="2"/>
  <c r="L170" i="2"/>
  <c r="AB171" i="1"/>
  <c r="AE171" i="1"/>
  <c r="AF171" i="1" s="1"/>
  <c r="E171" i="2"/>
  <c r="E171" i="5"/>
  <c r="F171" i="2"/>
  <c r="G171" i="2"/>
  <c r="I171" i="2"/>
  <c r="J171" i="2"/>
  <c r="K171" i="2"/>
  <c r="L171" i="2"/>
  <c r="AB172" i="1"/>
  <c r="AE172" i="1"/>
  <c r="AF172" i="1" s="1"/>
  <c r="E172" i="2" s="1"/>
  <c r="F172" i="2"/>
  <c r="G172" i="2"/>
  <c r="I172" i="2"/>
  <c r="J172" i="2"/>
  <c r="K172" i="2"/>
  <c r="L172" i="2"/>
  <c r="AB173" i="1"/>
  <c r="AE173" i="1"/>
  <c r="AF173" i="1" s="1"/>
  <c r="E173" i="2" s="1"/>
  <c r="E173" i="5" s="1"/>
  <c r="F173" i="2"/>
  <c r="G173" i="2"/>
  <c r="I173" i="2"/>
  <c r="J173" i="2"/>
  <c r="K173" i="2"/>
  <c r="L173" i="2"/>
  <c r="AB174" i="1"/>
  <c r="AE174" i="1"/>
  <c r="AF174" i="1" s="1"/>
  <c r="E174" i="2" s="1"/>
  <c r="E174" i="5" s="1"/>
  <c r="F174" i="2"/>
  <c r="G174" i="2"/>
  <c r="I174" i="2"/>
  <c r="J174" i="2"/>
  <c r="K174" i="2"/>
  <c r="L174" i="2"/>
  <c r="AB175" i="1"/>
  <c r="AE175" i="1"/>
  <c r="AF175" i="1" s="1"/>
  <c r="E175" i="2" s="1"/>
  <c r="E175" i="5" s="1"/>
  <c r="F175" i="2"/>
  <c r="G175" i="2"/>
  <c r="I175" i="2"/>
  <c r="J175" i="2"/>
  <c r="K175" i="2"/>
  <c r="L175" i="2"/>
  <c r="AB176" i="1"/>
  <c r="AE176" i="1"/>
  <c r="AF176" i="1"/>
  <c r="E176" i="2"/>
  <c r="E176" i="5" s="1"/>
  <c r="F176" i="2"/>
  <c r="G176" i="2"/>
  <c r="I176" i="2"/>
  <c r="J176" i="2"/>
  <c r="K176" i="2"/>
  <c r="L176" i="2"/>
  <c r="AB177" i="1"/>
  <c r="AE177" i="1"/>
  <c r="AF177" i="1"/>
  <c r="E177" i="2" s="1"/>
  <c r="E177" i="5" s="1"/>
  <c r="F177" i="2"/>
  <c r="G177" i="2"/>
  <c r="I177" i="2"/>
  <c r="J177" i="2"/>
  <c r="K177" i="2"/>
  <c r="L177" i="2"/>
  <c r="AB178" i="1"/>
  <c r="AE178" i="1"/>
  <c r="AF178" i="1" s="1"/>
  <c r="E178" i="2" s="1"/>
  <c r="E178" i="5" s="1"/>
  <c r="F178" i="2"/>
  <c r="G178" i="2"/>
  <c r="I178" i="2"/>
  <c r="J178" i="2"/>
  <c r="K178" i="2"/>
  <c r="L178" i="2"/>
  <c r="AB179" i="1"/>
  <c r="AE179" i="1"/>
  <c r="AF179" i="1"/>
  <c r="E179" i="2" s="1"/>
  <c r="E179" i="5"/>
  <c r="F179" i="2"/>
  <c r="G179" i="2"/>
  <c r="I179" i="2"/>
  <c r="J179" i="2"/>
  <c r="K179" i="2"/>
  <c r="L179" i="2"/>
  <c r="AB180" i="1"/>
  <c r="AE180" i="1"/>
  <c r="AF180" i="1" s="1"/>
  <c r="E180" i="2" s="1"/>
  <c r="E180" i="5" s="1"/>
  <c r="F180" i="2"/>
  <c r="G180" i="2"/>
  <c r="I180" i="2"/>
  <c r="J180" i="2"/>
  <c r="K180" i="2"/>
  <c r="L180" i="2"/>
  <c r="AB181" i="1"/>
  <c r="AE181" i="1"/>
  <c r="AF181" i="1" s="1"/>
  <c r="E181" i="2" s="1"/>
  <c r="E181" i="5" s="1"/>
  <c r="F181" i="2"/>
  <c r="G181" i="2"/>
  <c r="I181" i="2"/>
  <c r="J181" i="2"/>
  <c r="K181" i="2"/>
  <c r="L181" i="2"/>
  <c r="AB182" i="1"/>
  <c r="AE182" i="1"/>
  <c r="AF182" i="1" s="1"/>
  <c r="E182" i="2" s="1"/>
  <c r="E182" i="5" s="1"/>
  <c r="F182" i="2"/>
  <c r="G182" i="2"/>
  <c r="I182" i="2"/>
  <c r="J182" i="2"/>
  <c r="K182" i="2"/>
  <c r="L182" i="2"/>
  <c r="AB183" i="1"/>
  <c r="AE183" i="1"/>
  <c r="AF183" i="1" s="1"/>
  <c r="E183" i="2" s="1"/>
  <c r="E183" i="5" s="1"/>
  <c r="F183" i="2"/>
  <c r="G183" i="2"/>
  <c r="I183" i="2"/>
  <c r="J183" i="2"/>
  <c r="K183" i="2"/>
  <c r="L183" i="2"/>
  <c r="AB184" i="1"/>
  <c r="AE184" i="1"/>
  <c r="AF184" i="1"/>
  <c r="E184" i="2"/>
  <c r="E184" i="5" s="1"/>
  <c r="F184" i="2"/>
  <c r="G184" i="2"/>
  <c r="I184" i="2"/>
  <c r="J184" i="2"/>
  <c r="K184" i="2"/>
  <c r="L184" i="2"/>
  <c r="AB185" i="1"/>
  <c r="AE185" i="1"/>
  <c r="AF185" i="1"/>
  <c r="E185" i="2"/>
  <c r="F185" i="2"/>
  <c r="G185" i="2"/>
  <c r="I185" i="2"/>
  <c r="J185" i="2"/>
  <c r="K185" i="2"/>
  <c r="L185" i="2"/>
  <c r="AB186" i="1"/>
  <c r="AE186" i="1"/>
  <c r="AF186" i="1" s="1"/>
  <c r="E186" i="2" s="1"/>
  <c r="E186" i="5" s="1"/>
  <c r="F186" i="2"/>
  <c r="G186" i="2"/>
  <c r="I186" i="2"/>
  <c r="J186" i="2"/>
  <c r="K186" i="2"/>
  <c r="L186" i="2"/>
  <c r="AB187" i="1"/>
  <c r="AE187" i="1"/>
  <c r="AF187" i="1"/>
  <c r="E187" i="2"/>
  <c r="E187" i="5" s="1"/>
  <c r="F187" i="2"/>
  <c r="G187" i="2"/>
  <c r="I187" i="2"/>
  <c r="J187" i="2"/>
  <c r="K187" i="2"/>
  <c r="L187" i="2"/>
  <c r="AB188" i="1"/>
  <c r="AE188" i="1"/>
  <c r="AF188" i="1"/>
  <c r="E188" i="2"/>
  <c r="E188" i="5" s="1"/>
  <c r="F188" i="2"/>
  <c r="G188" i="2"/>
  <c r="I188" i="2"/>
  <c r="J188" i="2"/>
  <c r="K188" i="2"/>
  <c r="L188" i="2"/>
  <c r="AB189" i="1"/>
  <c r="AE189" i="1"/>
  <c r="AF189" i="1" s="1"/>
  <c r="E189" i="2" s="1"/>
  <c r="E189" i="5" s="1"/>
  <c r="F189" i="2"/>
  <c r="G189" i="2"/>
  <c r="I189" i="2"/>
  <c r="J189" i="2"/>
  <c r="K189" i="2"/>
  <c r="L189" i="2"/>
  <c r="AB190" i="1"/>
  <c r="AE190" i="1"/>
  <c r="AF190" i="1"/>
  <c r="E190" i="2" s="1"/>
  <c r="E190" i="5"/>
  <c r="F190" i="2"/>
  <c r="G190" i="2"/>
  <c r="I190" i="2"/>
  <c r="J190" i="2"/>
  <c r="K190" i="2"/>
  <c r="L190" i="2"/>
  <c r="AB191" i="1"/>
  <c r="AE191" i="1"/>
  <c r="AF191" i="1" s="1"/>
  <c r="E191" i="2" s="1"/>
  <c r="F191" i="2"/>
  <c r="G191" i="2"/>
  <c r="I191" i="2"/>
  <c r="J191" i="2"/>
  <c r="K191" i="2"/>
  <c r="L191" i="2"/>
  <c r="AB192" i="1"/>
  <c r="AE192" i="1"/>
  <c r="AF192" i="1" s="1"/>
  <c r="E192" i="2" s="1"/>
  <c r="E192" i="5" s="1"/>
  <c r="F192" i="2"/>
  <c r="G192" i="2"/>
  <c r="I192" i="2"/>
  <c r="J192" i="2"/>
  <c r="K192" i="2"/>
  <c r="L192" i="2"/>
  <c r="AB193" i="1"/>
  <c r="AE193" i="1"/>
  <c r="AF193" i="1"/>
  <c r="E193" i="2" s="1"/>
  <c r="F193" i="2"/>
  <c r="G193" i="2"/>
  <c r="I193" i="2"/>
  <c r="J193" i="2"/>
  <c r="K193" i="2"/>
  <c r="L193" i="2"/>
  <c r="AB194" i="1"/>
  <c r="AE194" i="1"/>
  <c r="AF194" i="1"/>
  <c r="E194" i="2" s="1"/>
  <c r="E194" i="5" s="1"/>
  <c r="F194" i="2"/>
  <c r="G194" i="2"/>
  <c r="I194" i="2"/>
  <c r="J194" i="2"/>
  <c r="K194" i="2"/>
  <c r="L194" i="2"/>
  <c r="AB195" i="1"/>
  <c r="AE195" i="1"/>
  <c r="AF195" i="1" s="1"/>
  <c r="E195" i="2" s="1"/>
  <c r="E195" i="5" s="1"/>
  <c r="F195" i="2"/>
  <c r="G195" i="2"/>
  <c r="I195" i="2"/>
  <c r="J195" i="2"/>
  <c r="K195" i="2"/>
  <c r="L195" i="2"/>
  <c r="AB196" i="1"/>
  <c r="AE196" i="1"/>
  <c r="AF196" i="1"/>
  <c r="E196" i="2" s="1"/>
  <c r="E196" i="5"/>
  <c r="F196" i="2"/>
  <c r="G196" i="2"/>
  <c r="I196" i="2"/>
  <c r="J196" i="2"/>
  <c r="K196" i="2"/>
  <c r="L196" i="2"/>
  <c r="AB197" i="1"/>
  <c r="AE197" i="1"/>
  <c r="AF197" i="1" s="1"/>
  <c r="E197" i="2" s="1"/>
  <c r="E197" i="5" s="1"/>
  <c r="F197" i="2"/>
  <c r="G197" i="2"/>
  <c r="I197" i="2"/>
  <c r="J197" i="2"/>
  <c r="K197" i="2"/>
  <c r="L197" i="2"/>
  <c r="AB198" i="1"/>
  <c r="AE198" i="1"/>
  <c r="AF198" i="1" s="1"/>
  <c r="E198" i="2" s="1"/>
  <c r="E198" i="5"/>
  <c r="F198" i="2"/>
  <c r="G198" i="2"/>
  <c r="I198" i="2"/>
  <c r="J198" i="2"/>
  <c r="K198" i="2"/>
  <c r="L198" i="2"/>
  <c r="AB199" i="1"/>
  <c r="AE199" i="1"/>
  <c r="AF199" i="1" s="1"/>
  <c r="E199" i="2" s="1"/>
  <c r="F199" i="2"/>
  <c r="G199" i="2"/>
  <c r="I199" i="2"/>
  <c r="J199" i="2"/>
  <c r="K199" i="2"/>
  <c r="L199" i="2"/>
  <c r="AB200" i="1"/>
  <c r="AE200" i="1"/>
  <c r="AF200" i="1"/>
  <c r="E200" i="2" s="1"/>
  <c r="E200" i="5" s="1"/>
  <c r="F200" i="2"/>
  <c r="G200" i="2"/>
  <c r="I200" i="2"/>
  <c r="J200" i="2"/>
  <c r="K200" i="2"/>
  <c r="L200" i="2"/>
  <c r="AB201" i="1"/>
  <c r="AE201" i="1"/>
  <c r="AF201" i="1" s="1"/>
  <c r="E201" i="2" s="1"/>
  <c r="E201" i="5"/>
  <c r="F201" i="2"/>
  <c r="G201" i="2"/>
  <c r="I201" i="2"/>
  <c r="J201" i="2"/>
  <c r="K201" i="2"/>
  <c r="L201" i="2"/>
  <c r="AB202" i="1"/>
  <c r="AE202" i="1"/>
  <c r="AF202" i="1" s="1"/>
  <c r="E202" i="2" s="1"/>
  <c r="E202" i="5" s="1"/>
  <c r="F202" i="2"/>
  <c r="G202" i="2"/>
  <c r="I202" i="2"/>
  <c r="J202" i="2"/>
  <c r="K202" i="2"/>
  <c r="L202" i="2"/>
  <c r="AB203" i="1"/>
  <c r="AE203" i="1"/>
  <c r="AF203" i="1"/>
  <c r="E203" i="2" s="1"/>
  <c r="E203" i="5" s="1"/>
  <c r="F203" i="2"/>
  <c r="G203" i="2"/>
  <c r="I203" i="2"/>
  <c r="J203" i="2"/>
  <c r="K203" i="2"/>
  <c r="L203" i="2"/>
  <c r="AB204" i="1"/>
  <c r="AE204" i="1"/>
  <c r="AF204" i="1"/>
  <c r="E204" i="2"/>
  <c r="E204" i="5" s="1"/>
  <c r="F204" i="2"/>
  <c r="G204" i="2"/>
  <c r="I204" i="2"/>
  <c r="J204" i="2"/>
  <c r="K204" i="2"/>
  <c r="L204" i="2"/>
  <c r="AB205" i="1"/>
  <c r="AE205" i="1"/>
  <c r="AF205" i="1"/>
  <c r="E205" i="2"/>
  <c r="E205" i="5"/>
  <c r="F205" i="2"/>
  <c r="G205" i="2"/>
  <c r="I205" i="2"/>
  <c r="J205" i="2"/>
  <c r="K205" i="2"/>
  <c r="L205" i="2"/>
  <c r="AB206" i="1"/>
  <c r="AE206" i="1"/>
  <c r="AF206" i="1" s="1"/>
  <c r="E206" i="2" s="1"/>
  <c r="E206" i="5" s="1"/>
  <c r="F206" i="2"/>
  <c r="G206" i="2"/>
  <c r="I206" i="2"/>
  <c r="J206" i="2"/>
  <c r="K206" i="2"/>
  <c r="L206" i="2"/>
  <c r="AB207" i="1"/>
  <c r="AE207" i="1"/>
  <c r="AF207" i="1"/>
  <c r="E207" i="2" s="1"/>
  <c r="E207" i="5" s="1"/>
  <c r="F207" i="2"/>
  <c r="G207" i="2"/>
  <c r="I207" i="2"/>
  <c r="J207" i="2"/>
  <c r="K207" i="2"/>
  <c r="L207" i="2"/>
  <c r="AB208" i="1"/>
  <c r="AE208" i="1"/>
  <c r="AF208" i="1"/>
  <c r="E208" i="2" s="1"/>
  <c r="E208" i="5" s="1"/>
  <c r="F208" i="2"/>
  <c r="G208" i="2"/>
  <c r="I208" i="2"/>
  <c r="J208" i="2"/>
  <c r="K208" i="2"/>
  <c r="L208" i="2"/>
  <c r="AB209" i="1"/>
  <c r="AE209" i="1"/>
  <c r="AF209" i="1" s="1"/>
  <c r="E209" i="2" s="1"/>
  <c r="F209" i="2"/>
  <c r="G209" i="2"/>
  <c r="I209" i="2"/>
  <c r="J209" i="2"/>
  <c r="K209" i="2"/>
  <c r="L209" i="2"/>
  <c r="AB210" i="1"/>
  <c r="AE210" i="1"/>
  <c r="AF210" i="1"/>
  <c r="E210" i="2" s="1"/>
  <c r="E210" i="5"/>
  <c r="F210" i="2"/>
  <c r="G210" i="2"/>
  <c r="I210" i="2"/>
  <c r="J210" i="2"/>
  <c r="K210" i="2"/>
  <c r="L210" i="2"/>
  <c r="AB211" i="1"/>
  <c r="AE211" i="1"/>
  <c r="AF211" i="1"/>
  <c r="E211" i="2" s="1"/>
  <c r="E211" i="5" s="1"/>
  <c r="F211" i="2"/>
  <c r="G211" i="2"/>
  <c r="I211" i="2"/>
  <c r="J211" i="2"/>
  <c r="K211" i="2"/>
  <c r="L211" i="2"/>
  <c r="AB212" i="1"/>
  <c r="AE212" i="1"/>
  <c r="AF212" i="1" s="1"/>
  <c r="E212" i="2" s="1"/>
  <c r="E212" i="5"/>
  <c r="F212" i="2"/>
  <c r="G212" i="2"/>
  <c r="I212" i="2"/>
  <c r="J212" i="2"/>
  <c r="K212" i="2"/>
  <c r="L212" i="2"/>
  <c r="AB213" i="1"/>
  <c r="AE213" i="1"/>
  <c r="AF213" i="1" s="1"/>
  <c r="E213" i="2" s="1"/>
  <c r="E213" i="5" s="1"/>
  <c r="F213" i="2"/>
  <c r="G213" i="2"/>
  <c r="I213" i="2"/>
  <c r="J213" i="2"/>
  <c r="K213" i="2"/>
  <c r="L213" i="2"/>
  <c r="AB214" i="1"/>
  <c r="AE214" i="1"/>
  <c r="AF214" i="1" s="1"/>
  <c r="E214" i="2" s="1"/>
  <c r="E214" i="5" s="1"/>
  <c r="F214" i="2"/>
  <c r="G214" i="2"/>
  <c r="I214" i="2"/>
  <c r="J214" i="2"/>
  <c r="K214" i="2"/>
  <c r="L214" i="2"/>
  <c r="AB215" i="1"/>
  <c r="AE215" i="1"/>
  <c r="AF215" i="1"/>
  <c r="E215" i="2"/>
  <c r="F215" i="2"/>
  <c r="G215" i="2"/>
  <c r="I215" i="2"/>
  <c r="J215" i="2"/>
  <c r="K215" i="2"/>
  <c r="L215" i="2"/>
  <c r="AB216" i="1"/>
  <c r="AE216" i="1"/>
  <c r="AF216" i="1" s="1"/>
  <c r="E216" i="2" s="1"/>
  <c r="E216" i="5" s="1"/>
  <c r="F216" i="2"/>
  <c r="G216" i="2"/>
  <c r="I216" i="2"/>
  <c r="J216" i="2"/>
  <c r="K216" i="2"/>
  <c r="L216" i="2"/>
  <c r="AB217" i="1"/>
  <c r="AE217" i="1"/>
  <c r="AF217" i="1" s="1"/>
  <c r="E217" i="2" s="1"/>
  <c r="F217" i="2"/>
  <c r="G217" i="2"/>
  <c r="I217" i="2"/>
  <c r="J217" i="2"/>
  <c r="K217" i="2"/>
  <c r="L217" i="2"/>
  <c r="AB218" i="1"/>
  <c r="AE218" i="1"/>
  <c r="AF218" i="1" s="1"/>
  <c r="E218" i="2" s="1"/>
  <c r="E218" i="5" s="1"/>
  <c r="F218" i="2"/>
  <c r="G218" i="2"/>
  <c r="I218" i="2"/>
  <c r="J218" i="2"/>
  <c r="K218" i="2"/>
  <c r="L218" i="2"/>
  <c r="AB219" i="1"/>
  <c r="AE219" i="1"/>
  <c r="AF219" i="1" s="1"/>
  <c r="E219" i="2"/>
  <c r="F219" i="2"/>
  <c r="G219" i="2"/>
  <c r="I219" i="2"/>
  <c r="J219" i="2"/>
  <c r="K219" i="2"/>
  <c r="L219" i="2"/>
  <c r="AB220" i="1"/>
  <c r="AE220" i="1"/>
  <c r="AF220" i="1"/>
  <c r="E220" i="2" s="1"/>
  <c r="E220" i="5" s="1"/>
  <c r="F220" i="2"/>
  <c r="G220" i="2"/>
  <c r="I220" i="2"/>
  <c r="J220" i="2"/>
  <c r="K220" i="2"/>
  <c r="L220" i="2"/>
  <c r="AB221" i="1"/>
  <c r="AE221" i="1"/>
  <c r="AF221" i="1" s="1"/>
  <c r="E221" i="2" s="1"/>
  <c r="E221" i="5"/>
  <c r="F221" i="2"/>
  <c r="G221" i="2"/>
  <c r="I221" i="2"/>
  <c r="J221" i="2"/>
  <c r="K221" i="2"/>
  <c r="L221" i="2"/>
  <c r="AB222" i="1"/>
  <c r="AE222" i="1"/>
  <c r="AF222" i="1" s="1"/>
  <c r="E222" i="2" s="1"/>
  <c r="E222" i="5" s="1"/>
  <c r="F222" i="2"/>
  <c r="G222" i="2"/>
  <c r="I222" i="2"/>
  <c r="J222" i="2"/>
  <c r="K222" i="2"/>
  <c r="L222" i="2"/>
  <c r="AB223" i="1"/>
  <c r="AE223" i="1"/>
  <c r="AF223" i="1" s="1"/>
  <c r="E223" i="2" s="1"/>
  <c r="F223" i="2"/>
  <c r="G223" i="2"/>
  <c r="I223" i="2"/>
  <c r="J223" i="2"/>
  <c r="K223" i="2"/>
  <c r="L223" i="2"/>
  <c r="AB224" i="1"/>
  <c r="AE224" i="1"/>
  <c r="AF224" i="1" s="1"/>
  <c r="E224" i="2" s="1"/>
  <c r="E224" i="5"/>
  <c r="F224" i="2"/>
  <c r="G224" i="2"/>
  <c r="I224" i="2"/>
  <c r="J224" i="2"/>
  <c r="K224" i="2"/>
  <c r="L224" i="2"/>
  <c r="AB225" i="1"/>
  <c r="AE225" i="1"/>
  <c r="AF225" i="1" s="1"/>
  <c r="E225" i="2" s="1"/>
  <c r="F225" i="2"/>
  <c r="G225" i="2"/>
  <c r="I225" i="2"/>
  <c r="J225" i="2"/>
  <c r="K225" i="2"/>
  <c r="L225" i="2"/>
  <c r="AB226" i="1"/>
  <c r="AE226" i="1"/>
  <c r="AF226" i="1" s="1"/>
  <c r="E226" i="2" s="1"/>
  <c r="E226" i="5" s="1"/>
  <c r="F226" i="2"/>
  <c r="G226" i="2"/>
  <c r="I226" i="2"/>
  <c r="J226" i="2"/>
  <c r="K226" i="2"/>
  <c r="L226" i="2"/>
  <c r="AB227" i="1"/>
  <c r="AE227" i="1"/>
  <c r="AF227" i="1" s="1"/>
  <c r="E227" i="2" s="1"/>
  <c r="E227" i="5"/>
  <c r="F227" i="2"/>
  <c r="G227" i="2"/>
  <c r="I227" i="2"/>
  <c r="J227" i="2"/>
  <c r="K227" i="2"/>
  <c r="L227" i="2"/>
  <c r="AB228" i="1"/>
  <c r="AE228" i="1"/>
  <c r="AF228" i="1" s="1"/>
  <c r="E228" i="2" s="1"/>
  <c r="E228" i="5" s="1"/>
  <c r="F228" i="2"/>
  <c r="G228" i="2"/>
  <c r="I228" i="2"/>
  <c r="J228" i="2"/>
  <c r="K228" i="2"/>
  <c r="L228" i="2"/>
  <c r="AB229" i="1"/>
  <c r="AE229" i="1"/>
  <c r="AF229" i="1"/>
  <c r="E229" i="2" s="1"/>
  <c r="E229" i="5" s="1"/>
  <c r="F229" i="2"/>
  <c r="G229" i="2"/>
  <c r="I229" i="2"/>
  <c r="J229" i="2"/>
  <c r="K229" i="2"/>
  <c r="L229" i="2"/>
  <c r="AB230" i="1"/>
  <c r="AE230" i="1"/>
  <c r="AF230" i="1"/>
  <c r="E230" i="2"/>
  <c r="E230" i="5" s="1"/>
  <c r="F230" i="2"/>
  <c r="G230" i="2"/>
  <c r="I230" i="2"/>
  <c r="J230" i="2"/>
  <c r="K230" i="2"/>
  <c r="L230" i="2"/>
  <c r="AB231" i="1"/>
  <c r="AE231" i="1"/>
  <c r="AF231" i="1"/>
  <c r="E231" i="2"/>
  <c r="F231" i="2"/>
  <c r="G231" i="2"/>
  <c r="I231" i="2"/>
  <c r="J231" i="2"/>
  <c r="K231" i="2"/>
  <c r="L231" i="2"/>
  <c r="AB232" i="1"/>
  <c r="AE232" i="1"/>
  <c r="AF232" i="1" s="1"/>
  <c r="E232" i="2" s="1"/>
  <c r="E232" i="5" s="1"/>
  <c r="F232" i="2"/>
  <c r="G232" i="2"/>
  <c r="I232" i="2"/>
  <c r="J232" i="2"/>
  <c r="K232" i="2"/>
  <c r="L232" i="2"/>
  <c r="AB233" i="1"/>
  <c r="AE233" i="1"/>
  <c r="AF233" i="1"/>
  <c r="E233" i="2"/>
  <c r="E233" i="5" s="1"/>
  <c r="F233" i="2"/>
  <c r="G233" i="2"/>
  <c r="I233" i="2"/>
  <c r="J233" i="2"/>
  <c r="K233" i="2"/>
  <c r="L233" i="2"/>
  <c r="AB234" i="1"/>
  <c r="AE234" i="1"/>
  <c r="AF234" i="1" s="1"/>
  <c r="E234" i="2" s="1"/>
  <c r="F234" i="2"/>
  <c r="G234" i="2"/>
  <c r="I234" i="2"/>
  <c r="J234" i="2"/>
  <c r="K234" i="2"/>
  <c r="L234" i="2"/>
  <c r="AB235" i="1"/>
  <c r="AE235" i="1"/>
  <c r="AF235" i="1"/>
  <c r="E235" i="2" s="1"/>
  <c r="E235" i="5" s="1"/>
  <c r="F235" i="2"/>
  <c r="G235" i="2"/>
  <c r="I235" i="2"/>
  <c r="J235" i="2"/>
  <c r="K235" i="2"/>
  <c r="L235" i="2"/>
  <c r="AB236" i="1"/>
  <c r="AE236" i="1"/>
  <c r="AF236" i="1"/>
  <c r="E236" i="2"/>
  <c r="E236" i="5" s="1"/>
  <c r="F236" i="2"/>
  <c r="G236" i="2"/>
  <c r="I236" i="2"/>
  <c r="J236" i="2"/>
  <c r="K236" i="2"/>
  <c r="L236" i="2"/>
  <c r="AB237" i="1"/>
  <c r="AE237" i="1"/>
  <c r="AF237" i="1" s="1"/>
  <c r="E237" i="2" s="1"/>
  <c r="E237" i="5" s="1"/>
  <c r="F237" i="2"/>
  <c r="G237" i="2"/>
  <c r="I237" i="2"/>
  <c r="J237" i="2"/>
  <c r="K237" i="2"/>
  <c r="L237" i="2"/>
  <c r="AB238" i="1"/>
  <c r="AE238" i="1"/>
  <c r="AF238" i="1"/>
  <c r="E238" i="2" s="1"/>
  <c r="E238" i="5" s="1"/>
  <c r="F238" i="2"/>
  <c r="G238" i="2"/>
  <c r="I238" i="2"/>
  <c r="J238" i="2"/>
  <c r="K238" i="2"/>
  <c r="L238" i="2"/>
  <c r="AB239" i="1"/>
  <c r="AE239" i="1"/>
  <c r="AF239" i="1"/>
  <c r="E239" i="2"/>
  <c r="E239" i="5"/>
  <c r="F239" i="2"/>
  <c r="G239" i="2"/>
  <c r="I239" i="2"/>
  <c r="J239" i="2"/>
  <c r="K239" i="2"/>
  <c r="L239" i="2"/>
  <c r="AB240" i="1"/>
  <c r="AE240" i="1"/>
  <c r="AF240" i="1" s="1"/>
  <c r="E240" i="2" s="1"/>
  <c r="E240" i="5" s="1"/>
  <c r="F240" i="2"/>
  <c r="G240" i="2"/>
  <c r="I240" i="2"/>
  <c r="J240" i="2"/>
  <c r="K240" i="2"/>
  <c r="L240" i="2"/>
  <c r="AB241" i="1"/>
  <c r="AE241" i="1"/>
  <c r="AF241" i="1" s="1"/>
  <c r="E241" i="2" s="1"/>
  <c r="F241" i="2"/>
  <c r="G241" i="2"/>
  <c r="I241" i="2"/>
  <c r="J241" i="2"/>
  <c r="K241" i="2"/>
  <c r="L241" i="2"/>
  <c r="AB242" i="1"/>
  <c r="AE242" i="1"/>
  <c r="AF242" i="1"/>
  <c r="E242" i="2"/>
  <c r="E242" i="5" s="1"/>
  <c r="F242" i="2"/>
  <c r="G242" i="2"/>
  <c r="I242" i="2"/>
  <c r="J242" i="2"/>
  <c r="K242" i="2"/>
  <c r="L242" i="2"/>
  <c r="AB243" i="1"/>
  <c r="AE243" i="1"/>
  <c r="AF243" i="1"/>
  <c r="E243" i="2"/>
  <c r="F243" i="2"/>
  <c r="G243" i="2"/>
  <c r="I243" i="2"/>
  <c r="J243" i="2"/>
  <c r="K243" i="2"/>
  <c r="L243" i="2"/>
  <c r="AB244" i="1"/>
  <c r="AE244" i="1"/>
  <c r="AF244" i="1" s="1"/>
  <c r="E244" i="2" s="1"/>
  <c r="E244" i="5" s="1"/>
  <c r="F244" i="2"/>
  <c r="G244" i="2"/>
  <c r="I244" i="2"/>
  <c r="J244" i="2"/>
  <c r="K244" i="2"/>
  <c r="L244" i="2"/>
  <c r="AB245" i="1"/>
  <c r="AE245" i="1"/>
  <c r="AF245" i="1"/>
  <c r="E245" i="2" s="1"/>
  <c r="E245" i="5" s="1"/>
  <c r="F245" i="2"/>
  <c r="G245" i="2"/>
  <c r="I245" i="2"/>
  <c r="J245" i="2"/>
  <c r="K245" i="2"/>
  <c r="L245" i="2"/>
  <c r="AB246" i="1"/>
  <c r="AE246" i="1"/>
  <c r="AF246" i="1" s="1"/>
  <c r="E246" i="2" s="1"/>
  <c r="E246" i="5" s="1"/>
  <c r="F246" i="2"/>
  <c r="G246" i="2"/>
  <c r="I246" i="2"/>
  <c r="J246" i="2"/>
  <c r="K246" i="2"/>
  <c r="L246" i="2"/>
  <c r="AB247" i="1"/>
  <c r="AE247" i="1"/>
  <c r="AF247" i="1" s="1"/>
  <c r="E247" i="2" s="1"/>
  <c r="F247" i="2"/>
  <c r="G247" i="2"/>
  <c r="I247" i="2"/>
  <c r="J247" i="2"/>
  <c r="K247" i="2"/>
  <c r="L247" i="2"/>
  <c r="AB248" i="1"/>
  <c r="AE248" i="1"/>
  <c r="AF248" i="1" s="1"/>
  <c r="E248" i="2" s="1"/>
  <c r="E248" i="5" s="1"/>
  <c r="F248" i="2"/>
  <c r="G248" i="2"/>
  <c r="I248" i="2"/>
  <c r="J248" i="2"/>
  <c r="K248" i="2"/>
  <c r="L248" i="2"/>
  <c r="AB249" i="1"/>
  <c r="AE249" i="1"/>
  <c r="AF249" i="1"/>
  <c r="E249" i="2" s="1"/>
  <c r="F249" i="2"/>
  <c r="G249" i="2"/>
  <c r="I249" i="2"/>
  <c r="J249" i="2"/>
  <c r="K249" i="2"/>
  <c r="L249" i="2"/>
  <c r="AB250" i="1"/>
  <c r="AE250" i="1"/>
  <c r="AF250" i="1"/>
  <c r="E250" i="2" s="1"/>
  <c r="E250" i="5"/>
  <c r="F250" i="2"/>
  <c r="G250" i="2"/>
  <c r="I250" i="2"/>
  <c r="J250" i="2"/>
  <c r="K250" i="2"/>
  <c r="L250" i="2"/>
  <c r="AB251" i="1"/>
  <c r="AE251" i="1"/>
  <c r="AF251" i="1" s="1"/>
  <c r="E251" i="2" s="1"/>
  <c r="E251" i="5" s="1"/>
  <c r="F251" i="2"/>
  <c r="G251" i="2"/>
  <c r="I251" i="2"/>
  <c r="J251" i="2"/>
  <c r="K251" i="2"/>
  <c r="L251" i="2"/>
  <c r="AB252" i="1"/>
  <c r="AE252" i="1"/>
  <c r="AF252" i="1" s="1"/>
  <c r="E252" i="2" s="1"/>
  <c r="E252" i="5" s="1"/>
  <c r="F252" i="2"/>
  <c r="G252" i="2"/>
  <c r="I252" i="2"/>
  <c r="J252" i="2"/>
  <c r="K252" i="2"/>
  <c r="L252" i="2"/>
  <c r="AB253" i="1"/>
  <c r="AE253" i="1"/>
  <c r="AF253" i="1" s="1"/>
  <c r="E253" i="2"/>
  <c r="E253" i="5"/>
  <c r="F253" i="2"/>
  <c r="G253" i="2"/>
  <c r="I253" i="2"/>
  <c r="J253" i="2"/>
  <c r="K253" i="2"/>
  <c r="L253" i="2"/>
  <c r="AB254" i="1"/>
  <c r="AE254" i="1"/>
  <c r="AF254" i="1" s="1"/>
  <c r="E254" i="2" s="1"/>
  <c r="E254" i="5" s="1"/>
  <c r="F254" i="2"/>
  <c r="G254" i="2"/>
  <c r="I254" i="2"/>
  <c r="J254" i="2"/>
  <c r="K254" i="2"/>
  <c r="L254" i="2"/>
  <c r="AB255" i="1"/>
  <c r="AE255" i="1"/>
  <c r="AF255" i="1" s="1"/>
  <c r="E255" i="2" s="1"/>
  <c r="F255" i="2"/>
  <c r="G255" i="2"/>
  <c r="I255" i="2"/>
  <c r="J255" i="2"/>
  <c r="K255" i="2"/>
  <c r="L255" i="2"/>
  <c r="AB256" i="1"/>
  <c r="AE256" i="1"/>
  <c r="AF256" i="1" s="1"/>
  <c r="E256" i="2" s="1"/>
  <c r="E256" i="5" s="1"/>
  <c r="F256" i="2"/>
  <c r="G256" i="2"/>
  <c r="I256" i="2"/>
  <c r="J256" i="2"/>
  <c r="K256" i="2"/>
  <c r="L256" i="2"/>
  <c r="AB257" i="1"/>
  <c r="AE257" i="1"/>
  <c r="AF257" i="1"/>
  <c r="E257" i="2" s="1"/>
  <c r="F257" i="2"/>
  <c r="G257" i="2"/>
  <c r="I257" i="2"/>
  <c r="J257" i="2"/>
  <c r="K257" i="2"/>
  <c r="L257" i="2"/>
  <c r="AB258" i="1"/>
  <c r="AE258" i="1"/>
  <c r="AF258" i="1" s="1"/>
  <c r="E258" i="2" s="1"/>
  <c r="E258" i="5" s="1"/>
  <c r="F258" i="2"/>
  <c r="G258" i="2"/>
  <c r="I258" i="2"/>
  <c r="J258" i="2"/>
  <c r="K258" i="2"/>
  <c r="L258" i="2"/>
  <c r="AB259" i="1"/>
  <c r="AE259" i="1"/>
  <c r="AF259" i="1" s="1"/>
  <c r="E259" i="2"/>
  <c r="F259" i="2"/>
  <c r="G259" i="2"/>
  <c r="I259" i="2"/>
  <c r="J259" i="2"/>
  <c r="K259" i="2"/>
  <c r="L259" i="2"/>
  <c r="AB260" i="1"/>
  <c r="AE260" i="1"/>
  <c r="AF260" i="1" s="1"/>
  <c r="E260" i="2" s="1"/>
  <c r="E260" i="5" s="1"/>
  <c r="F260" i="2"/>
  <c r="G260" i="2"/>
  <c r="I260" i="2"/>
  <c r="J260" i="2"/>
  <c r="K260" i="2"/>
  <c r="L260" i="2"/>
  <c r="AB261" i="1"/>
  <c r="AE261" i="1"/>
  <c r="AF261" i="1" s="1"/>
  <c r="E261" i="2" s="1"/>
  <c r="E261" i="5" s="1"/>
  <c r="F261" i="2"/>
  <c r="G261" i="2"/>
  <c r="I261" i="2"/>
  <c r="J261" i="2"/>
  <c r="K261" i="2"/>
  <c r="L261" i="2"/>
  <c r="AB262" i="1"/>
  <c r="AE262" i="1"/>
  <c r="AF262" i="1" s="1"/>
  <c r="E262" i="2" s="1"/>
  <c r="E262" i="5" s="1"/>
  <c r="F262" i="2"/>
  <c r="G262" i="2"/>
  <c r="I262" i="2"/>
  <c r="J262" i="2"/>
  <c r="K262" i="2"/>
  <c r="L262" i="2"/>
  <c r="AB263" i="1"/>
  <c r="AE263" i="1"/>
  <c r="AF263" i="1" s="1"/>
  <c r="E263" i="2" s="1"/>
  <c r="F263" i="2"/>
  <c r="G263" i="2"/>
  <c r="I263" i="2"/>
  <c r="J263" i="2"/>
  <c r="K263" i="2"/>
  <c r="L263" i="2"/>
  <c r="AB264" i="1"/>
  <c r="AE264" i="1"/>
  <c r="AF264" i="1"/>
  <c r="E264" i="2" s="1"/>
  <c r="E264" i="5" s="1"/>
  <c r="F264" i="2"/>
  <c r="G264" i="2"/>
  <c r="I264" i="2"/>
  <c r="J264" i="2"/>
  <c r="K264" i="2"/>
  <c r="L264" i="2"/>
  <c r="AB265" i="1"/>
  <c r="AE265" i="1"/>
  <c r="AF265" i="1" s="1"/>
  <c r="E265" i="2"/>
  <c r="E265" i="5" s="1"/>
  <c r="F265" i="2"/>
  <c r="G265" i="2"/>
  <c r="I265" i="2"/>
  <c r="J265" i="2"/>
  <c r="K265" i="2"/>
  <c r="L265" i="2"/>
  <c r="AB266" i="1"/>
  <c r="AE266" i="1"/>
  <c r="AF266" i="1"/>
  <c r="E266" i="2" s="1"/>
  <c r="E266" i="5" s="1"/>
  <c r="F266" i="2"/>
  <c r="G266" i="2"/>
  <c r="I266" i="2"/>
  <c r="J266" i="2"/>
  <c r="K266" i="2"/>
  <c r="L266" i="2"/>
  <c r="AB267" i="1"/>
  <c r="AE267" i="1"/>
  <c r="AF267" i="1"/>
  <c r="E267" i="2" s="1"/>
  <c r="E267" i="5" s="1"/>
  <c r="F267" i="2"/>
  <c r="G267" i="2"/>
  <c r="I267" i="2"/>
  <c r="J267" i="2"/>
  <c r="K267" i="2"/>
  <c r="L267" i="2"/>
  <c r="AB268" i="1"/>
  <c r="AE268" i="1"/>
  <c r="AF268" i="1"/>
  <c r="E268" i="2"/>
  <c r="E268" i="5" s="1"/>
  <c r="F268" i="2"/>
  <c r="G268" i="2"/>
  <c r="I268" i="2"/>
  <c r="J268" i="2"/>
  <c r="K268" i="2"/>
  <c r="L268" i="2"/>
  <c r="AB269" i="1"/>
  <c r="AE269" i="1"/>
  <c r="AF269" i="1"/>
  <c r="E269" i="2" s="1"/>
  <c r="E269" i="5" s="1"/>
  <c r="F269" i="2"/>
  <c r="G269" i="2"/>
  <c r="I269" i="2"/>
  <c r="J269" i="2"/>
  <c r="K269" i="2"/>
  <c r="L269" i="2"/>
  <c r="AB270" i="1"/>
  <c r="AE270" i="1"/>
  <c r="AF270" i="1"/>
  <c r="E270" i="2" s="1"/>
  <c r="E270" i="5" s="1"/>
  <c r="F270" i="2"/>
  <c r="G270" i="2"/>
  <c r="I270" i="2"/>
  <c r="J270" i="2"/>
  <c r="K270" i="2"/>
  <c r="L270" i="2"/>
  <c r="AB271" i="1"/>
  <c r="AE271" i="1"/>
  <c r="AF271" i="1" s="1"/>
  <c r="E271" i="2" s="1"/>
  <c r="E271" i="5" s="1"/>
  <c r="F271" i="2"/>
  <c r="G271" i="2"/>
  <c r="I271" i="2"/>
  <c r="J271" i="2"/>
  <c r="K271" i="2"/>
  <c r="L271" i="2"/>
  <c r="AB272" i="1"/>
  <c r="AE272" i="1"/>
  <c r="AF272" i="1"/>
  <c r="E272" i="2" s="1"/>
  <c r="E272" i="5" s="1"/>
  <c r="F272" i="2"/>
  <c r="G272" i="2"/>
  <c r="I272" i="2"/>
  <c r="J272" i="2"/>
  <c r="K272" i="2"/>
  <c r="L272" i="2"/>
  <c r="AB273" i="1"/>
  <c r="AE273" i="1"/>
  <c r="AF273" i="1" s="1"/>
  <c r="E273" i="2"/>
  <c r="F273" i="2"/>
  <c r="G273" i="2"/>
  <c r="I273" i="2"/>
  <c r="J273" i="2"/>
  <c r="K273" i="2"/>
  <c r="L273" i="2"/>
  <c r="AB274" i="1"/>
  <c r="AE274" i="1"/>
  <c r="AF274" i="1" s="1"/>
  <c r="E274" i="2" s="1"/>
  <c r="E274" i="5" s="1"/>
  <c r="F274" i="2"/>
  <c r="G274" i="2"/>
  <c r="I274" i="2"/>
  <c r="J274" i="2"/>
  <c r="K274" i="2"/>
  <c r="L274" i="2"/>
  <c r="AB275" i="1"/>
  <c r="AE275" i="1"/>
  <c r="AF275" i="1" s="1"/>
  <c r="E275" i="2" s="1"/>
  <c r="F275" i="2"/>
  <c r="G275" i="2"/>
  <c r="I275" i="2"/>
  <c r="J275" i="2"/>
  <c r="K275" i="2"/>
  <c r="L275" i="2"/>
  <c r="AB276" i="1"/>
  <c r="AE276" i="1"/>
  <c r="AF276" i="1" s="1"/>
  <c r="E276" i="2" s="1"/>
  <c r="E276" i="5" s="1"/>
  <c r="F276" i="2"/>
  <c r="G276" i="2"/>
  <c r="I276" i="2"/>
  <c r="J276" i="2"/>
  <c r="K276" i="2"/>
  <c r="L276" i="2"/>
  <c r="AB277" i="1"/>
  <c r="AE277" i="1"/>
  <c r="AF277" i="1"/>
  <c r="E277" i="2" s="1"/>
  <c r="E277" i="5" s="1"/>
  <c r="F277" i="2"/>
  <c r="G277" i="2"/>
  <c r="I277" i="2"/>
  <c r="J277" i="2"/>
  <c r="K277" i="2"/>
  <c r="L277" i="2"/>
  <c r="AB278" i="1"/>
  <c r="AE278" i="1"/>
  <c r="AF278" i="1"/>
  <c r="E278" i="2" s="1"/>
  <c r="E278" i="5" s="1"/>
  <c r="F278" i="2"/>
  <c r="G278" i="2"/>
  <c r="I278" i="2"/>
  <c r="J278" i="2"/>
  <c r="K278" i="2"/>
  <c r="L278" i="2"/>
  <c r="AB279" i="1"/>
  <c r="AE279" i="1"/>
  <c r="AF279" i="1" s="1"/>
  <c r="E279" i="2" s="1"/>
  <c r="F279" i="2"/>
  <c r="G279" i="2"/>
  <c r="I279" i="2"/>
  <c r="J279" i="2"/>
  <c r="K279" i="2"/>
  <c r="L279" i="2"/>
  <c r="AB280" i="1"/>
  <c r="AE280" i="1"/>
  <c r="AF280" i="1"/>
  <c r="E280" i="2"/>
  <c r="E280" i="5" s="1"/>
  <c r="F280" i="2"/>
  <c r="G280" i="2"/>
  <c r="I280" i="2"/>
  <c r="J280" i="2"/>
  <c r="K280" i="2"/>
  <c r="L280" i="2"/>
  <c r="AB281" i="1"/>
  <c r="AE281" i="1"/>
  <c r="AF281" i="1" s="1"/>
  <c r="E281" i="2" s="1"/>
  <c r="F281" i="2"/>
  <c r="G281" i="2"/>
  <c r="I281" i="2"/>
  <c r="J281" i="2"/>
  <c r="K281" i="2"/>
  <c r="L281" i="2"/>
  <c r="AB282" i="1"/>
  <c r="AE282" i="1"/>
  <c r="AF282" i="1" s="1"/>
  <c r="E282" i="2" s="1"/>
  <c r="E282" i="5" s="1"/>
  <c r="F282" i="2"/>
  <c r="G282" i="2"/>
  <c r="I282" i="2"/>
  <c r="J282" i="2"/>
  <c r="K282" i="2"/>
  <c r="L282" i="2"/>
  <c r="AB283" i="1"/>
  <c r="AE283" i="1"/>
  <c r="AF283" i="1" s="1"/>
  <c r="E283" i="2" s="1"/>
  <c r="F283" i="2"/>
  <c r="G283" i="2"/>
  <c r="I283" i="2"/>
  <c r="J283" i="2"/>
  <c r="K283" i="2"/>
  <c r="L283" i="2"/>
  <c r="AB284" i="1"/>
  <c r="AE284" i="1"/>
  <c r="AF284" i="1"/>
  <c r="E284" i="2" s="1"/>
  <c r="E284" i="5" s="1"/>
  <c r="F284" i="2"/>
  <c r="G284" i="2"/>
  <c r="I284" i="2"/>
  <c r="J284" i="2"/>
  <c r="K284" i="2"/>
  <c r="L284" i="2"/>
  <c r="AB285" i="1"/>
  <c r="AE285" i="1"/>
  <c r="AF285" i="1"/>
  <c r="E285" i="2" s="1"/>
  <c r="E285" i="5" s="1"/>
  <c r="F285" i="2"/>
  <c r="G285" i="2"/>
  <c r="I285" i="2"/>
  <c r="J285" i="2"/>
  <c r="K285" i="2"/>
  <c r="L285" i="2"/>
  <c r="AB286" i="1"/>
  <c r="AE286" i="1"/>
  <c r="AF286" i="1" s="1"/>
  <c r="E286" i="2" s="1"/>
  <c r="E286" i="5" s="1"/>
  <c r="F286" i="2"/>
  <c r="G286" i="2"/>
  <c r="I286" i="2"/>
  <c r="J286" i="2"/>
  <c r="K286" i="2"/>
  <c r="L286" i="2"/>
  <c r="AB287" i="1"/>
  <c r="AE287" i="1"/>
  <c r="AF287" i="1" s="1"/>
  <c r="E287" i="2" s="1"/>
  <c r="F287" i="2"/>
  <c r="G287" i="2"/>
  <c r="I287" i="2"/>
  <c r="J287" i="2"/>
  <c r="K287" i="2"/>
  <c r="L287" i="2"/>
  <c r="AB288" i="1"/>
  <c r="AE288" i="1"/>
  <c r="AF288" i="1"/>
  <c r="E288" i="2" s="1"/>
  <c r="E288" i="5" s="1"/>
  <c r="F288" i="2"/>
  <c r="G288" i="2"/>
  <c r="I288" i="2"/>
  <c r="J288" i="2"/>
  <c r="K288" i="2"/>
  <c r="L288" i="2"/>
  <c r="AB289" i="1"/>
  <c r="AE289" i="1"/>
  <c r="AF289" i="1" s="1"/>
  <c r="E289" i="2" s="1"/>
  <c r="F289" i="2"/>
  <c r="G289" i="2"/>
  <c r="I289" i="2"/>
  <c r="J289" i="2"/>
  <c r="K289" i="2"/>
  <c r="L289" i="2"/>
  <c r="AB290" i="1"/>
  <c r="AE290" i="1"/>
  <c r="AF290" i="1"/>
  <c r="E290" i="2" s="1"/>
  <c r="E290" i="5" s="1"/>
  <c r="F290" i="2"/>
  <c r="G290" i="2"/>
  <c r="I290" i="2"/>
  <c r="J290" i="2"/>
  <c r="K290" i="2"/>
  <c r="L290" i="2"/>
  <c r="AB291" i="1"/>
  <c r="AE291" i="1"/>
  <c r="AF291" i="1"/>
  <c r="E291" i="2" s="1"/>
  <c r="F291" i="2"/>
  <c r="G291" i="2"/>
  <c r="I291" i="2"/>
  <c r="J291" i="2"/>
  <c r="K291" i="2"/>
  <c r="L291" i="2"/>
  <c r="AB292" i="1"/>
  <c r="AE292" i="1"/>
  <c r="AF292" i="1"/>
  <c r="E292" i="2" s="1"/>
  <c r="E292" i="5" s="1"/>
  <c r="F292" i="2"/>
  <c r="G292" i="2"/>
  <c r="I292" i="2"/>
  <c r="J292" i="2"/>
  <c r="K292" i="2"/>
  <c r="L292" i="2"/>
  <c r="AB293" i="1"/>
  <c r="AE293" i="1"/>
  <c r="AF293" i="1"/>
  <c r="E293" i="2" s="1"/>
  <c r="E293" i="5" s="1"/>
  <c r="F293" i="2"/>
  <c r="G293" i="2"/>
  <c r="I293" i="2"/>
  <c r="J293" i="2"/>
  <c r="K293" i="2"/>
  <c r="L293" i="2"/>
  <c r="AB294" i="1"/>
  <c r="AE294" i="1"/>
  <c r="AF294" i="1"/>
  <c r="F294" i="2"/>
  <c r="G294" i="2"/>
  <c r="I294" i="2"/>
  <c r="J294" i="2"/>
  <c r="K294" i="2"/>
  <c r="L294" i="2"/>
  <c r="AB295" i="1"/>
  <c r="AE295" i="1"/>
  <c r="AF295" i="1" s="1"/>
  <c r="E295" i="2" s="1"/>
  <c r="F295" i="2"/>
  <c r="G295" i="2"/>
  <c r="I295" i="2"/>
  <c r="J295" i="2"/>
  <c r="K295" i="2"/>
  <c r="L295" i="2"/>
  <c r="AB296" i="1"/>
  <c r="AE296" i="1"/>
  <c r="AF296" i="1" s="1"/>
  <c r="E296" i="2" s="1"/>
  <c r="E296" i="5" s="1"/>
  <c r="F296" i="2"/>
  <c r="G296" i="2"/>
  <c r="I296" i="2"/>
  <c r="J296" i="2"/>
  <c r="K296" i="2"/>
  <c r="L296" i="2"/>
  <c r="AB297" i="1"/>
  <c r="AE297" i="1"/>
  <c r="AF297" i="1" s="1"/>
  <c r="E297" i="2" s="1"/>
  <c r="E297" i="5" s="1"/>
  <c r="F297" i="2"/>
  <c r="G297" i="2"/>
  <c r="I297" i="2"/>
  <c r="J297" i="2"/>
  <c r="K297" i="2"/>
  <c r="L297" i="2"/>
  <c r="AB298" i="1"/>
  <c r="AE298" i="1"/>
  <c r="AF298" i="1" s="1"/>
  <c r="E298" i="2" s="1"/>
  <c r="F298" i="2"/>
  <c r="G298" i="2"/>
  <c r="I298" i="2"/>
  <c r="J298" i="2"/>
  <c r="K298" i="2"/>
  <c r="L298" i="2"/>
  <c r="AB299" i="1"/>
  <c r="AE299" i="1"/>
  <c r="AF299" i="1" s="1"/>
  <c r="E299" i="2" s="1"/>
  <c r="E299" i="5" s="1"/>
  <c r="F299" i="2"/>
  <c r="G299" i="2"/>
  <c r="I299" i="2"/>
  <c r="J299" i="2"/>
  <c r="K299" i="2"/>
  <c r="L299" i="2"/>
  <c r="AB300" i="1"/>
  <c r="AE300" i="1"/>
  <c r="AF300" i="1" s="1"/>
  <c r="E300" i="2" s="1"/>
  <c r="E300" i="5" s="1"/>
  <c r="F300" i="2"/>
  <c r="G300" i="2"/>
  <c r="I300" i="2"/>
  <c r="J300" i="2"/>
  <c r="K300" i="2"/>
  <c r="L300" i="2"/>
  <c r="AB301" i="1"/>
  <c r="AE301" i="1"/>
  <c r="AF301" i="1" s="1"/>
  <c r="E301" i="2" s="1"/>
  <c r="E301" i="5" s="1"/>
  <c r="F301" i="2"/>
  <c r="G301" i="2"/>
  <c r="I301" i="2"/>
  <c r="J301" i="2"/>
  <c r="K301" i="2"/>
  <c r="L301" i="2"/>
  <c r="AB302" i="1"/>
  <c r="AE302" i="1"/>
  <c r="AF302" i="1"/>
  <c r="E302" i="2"/>
  <c r="E302" i="5" s="1"/>
  <c r="F302" i="2"/>
  <c r="G302" i="2"/>
  <c r="I302" i="2"/>
  <c r="J302" i="2"/>
  <c r="K302" i="2"/>
  <c r="L302" i="2"/>
  <c r="AB303" i="1"/>
  <c r="AE303" i="1"/>
  <c r="AF303" i="1" s="1"/>
  <c r="E303" i="2" s="1"/>
  <c r="E303" i="5" s="1"/>
  <c r="F303" i="2"/>
  <c r="G303" i="2"/>
  <c r="I303" i="2"/>
  <c r="J303" i="2"/>
  <c r="K303" i="2"/>
  <c r="L303" i="2"/>
  <c r="AB304" i="1"/>
  <c r="AE304" i="1"/>
  <c r="AF304" i="1"/>
  <c r="E304" i="2" s="1"/>
  <c r="E304" i="5" s="1"/>
  <c r="F304" i="2"/>
  <c r="G304" i="2"/>
  <c r="I304" i="2"/>
  <c r="J304" i="2"/>
  <c r="K304" i="2"/>
  <c r="L304" i="2"/>
  <c r="AB305" i="1"/>
  <c r="AE305" i="1"/>
  <c r="AF305" i="1"/>
  <c r="E305" i="2" s="1"/>
  <c r="E305" i="5" s="1"/>
  <c r="F305" i="2"/>
  <c r="G305" i="2"/>
  <c r="I305" i="2"/>
  <c r="J305" i="2"/>
  <c r="K305" i="2"/>
  <c r="L305" i="2"/>
  <c r="AB306" i="1"/>
  <c r="AE306" i="1"/>
  <c r="AF306" i="1"/>
  <c r="E306" i="2" s="1"/>
  <c r="E306" i="5" s="1"/>
  <c r="F306" i="2"/>
  <c r="G306" i="2"/>
  <c r="I306" i="2"/>
  <c r="J306" i="2"/>
  <c r="K306" i="2"/>
  <c r="L306" i="2"/>
  <c r="AB307" i="1"/>
  <c r="AE307" i="1"/>
  <c r="AF307" i="1" s="1"/>
  <c r="E307" i="2" s="1"/>
  <c r="E307" i="5" s="1"/>
  <c r="F307" i="2"/>
  <c r="G307" i="2"/>
  <c r="I307" i="2"/>
  <c r="J307" i="2"/>
  <c r="K307" i="2"/>
  <c r="L307" i="2"/>
  <c r="AB308" i="1"/>
  <c r="AE308" i="1"/>
  <c r="AF308" i="1" s="1"/>
  <c r="E308" i="2" s="1"/>
  <c r="E308" i="5" s="1"/>
  <c r="F308" i="2"/>
  <c r="G308" i="2"/>
  <c r="I308" i="2"/>
  <c r="J308" i="2"/>
  <c r="K308" i="2"/>
  <c r="L308" i="2"/>
  <c r="AB309" i="1"/>
  <c r="AE309" i="1"/>
  <c r="AF309" i="1" s="1"/>
  <c r="E309" i="2" s="1"/>
  <c r="E309" i="5" s="1"/>
  <c r="F309" i="2"/>
  <c r="G309" i="2"/>
  <c r="I309" i="2"/>
  <c r="J309" i="2"/>
  <c r="K309" i="2"/>
  <c r="L309" i="2"/>
  <c r="AB310" i="1"/>
  <c r="AE310" i="1"/>
  <c r="AF310" i="1"/>
  <c r="E310" i="2"/>
  <c r="E310" i="5" s="1"/>
  <c r="F310" i="2"/>
  <c r="G310" i="2"/>
  <c r="I310" i="2"/>
  <c r="J310" i="2"/>
  <c r="K310" i="2"/>
  <c r="L310" i="2"/>
  <c r="AB311" i="1"/>
  <c r="AE311" i="1"/>
  <c r="AF311" i="1" s="1"/>
  <c r="E311" i="2" s="1"/>
  <c r="F311" i="2"/>
  <c r="G311" i="2"/>
  <c r="I311" i="2"/>
  <c r="J311" i="2"/>
  <c r="K311" i="2"/>
  <c r="L311" i="2"/>
  <c r="AB312" i="1"/>
  <c r="AE312" i="1"/>
  <c r="AF312" i="1" s="1"/>
  <c r="E312" i="2" s="1"/>
  <c r="E312" i="5" s="1"/>
  <c r="F312" i="2"/>
  <c r="G312" i="2"/>
  <c r="I312" i="2"/>
  <c r="J312" i="2"/>
  <c r="K312" i="2"/>
  <c r="L312" i="2"/>
  <c r="AB313" i="1"/>
  <c r="AE313" i="1"/>
  <c r="AF313" i="1"/>
  <c r="E313" i="2"/>
  <c r="E313" i="5" s="1"/>
  <c r="F313" i="2"/>
  <c r="G313" i="2"/>
  <c r="I313" i="2"/>
  <c r="J313" i="2"/>
  <c r="K313" i="2"/>
  <c r="L313" i="2"/>
  <c r="AB314" i="1"/>
  <c r="AE314" i="1"/>
  <c r="AF314" i="1" s="1"/>
  <c r="E314" i="2" s="1"/>
  <c r="E314" i="5" s="1"/>
  <c r="F314" i="2"/>
  <c r="G314" i="2"/>
  <c r="I314" i="2"/>
  <c r="J314" i="2"/>
  <c r="K314" i="2"/>
  <c r="L314" i="2"/>
  <c r="AB315" i="1"/>
  <c r="AE315" i="1"/>
  <c r="AF315" i="1"/>
  <c r="E315" i="2" s="1"/>
  <c r="F315" i="2"/>
  <c r="G315" i="2"/>
  <c r="I315" i="2"/>
  <c r="J315" i="2"/>
  <c r="K315" i="2"/>
  <c r="L315" i="2"/>
  <c r="AB316" i="1"/>
  <c r="AE316" i="1"/>
  <c r="AF316" i="1"/>
  <c r="E316" i="2"/>
  <c r="E316" i="5" s="1"/>
  <c r="F316" i="2"/>
  <c r="G316" i="2"/>
  <c r="I316" i="2"/>
  <c r="J316" i="2"/>
  <c r="K316" i="2"/>
  <c r="L316" i="2"/>
  <c r="AB317" i="1"/>
  <c r="AE317" i="1"/>
  <c r="AF317" i="1" s="1"/>
  <c r="E317" i="2" s="1"/>
  <c r="E317" i="5" s="1"/>
  <c r="F317" i="2"/>
  <c r="G317" i="2"/>
  <c r="I317" i="2"/>
  <c r="J317" i="2"/>
  <c r="K317" i="2"/>
  <c r="L317" i="2"/>
  <c r="AB318" i="1"/>
  <c r="AE318" i="1"/>
  <c r="AF318" i="1"/>
  <c r="E318" i="2" s="1"/>
  <c r="E318" i="5" s="1"/>
  <c r="F318" i="2"/>
  <c r="G318" i="2"/>
  <c r="I318" i="2"/>
  <c r="J318" i="2"/>
  <c r="K318" i="2"/>
  <c r="L318" i="2"/>
  <c r="AB319" i="1"/>
  <c r="AE319" i="1"/>
  <c r="AF319" i="1"/>
  <c r="E319" i="2" s="1"/>
  <c r="F319" i="2"/>
  <c r="G319" i="2"/>
  <c r="I319" i="2"/>
  <c r="J319" i="2"/>
  <c r="K319" i="2"/>
  <c r="L319" i="2"/>
  <c r="AB320" i="1"/>
  <c r="AE320" i="1"/>
  <c r="AF320" i="1" s="1"/>
  <c r="E320" i="2" s="1"/>
  <c r="E320" i="5" s="1"/>
  <c r="F320" i="2"/>
  <c r="G320" i="2"/>
  <c r="I320" i="2"/>
  <c r="J320" i="2"/>
  <c r="K320" i="2"/>
  <c r="L320" i="2"/>
  <c r="AB321" i="1"/>
  <c r="AE321" i="1"/>
  <c r="AF321" i="1"/>
  <c r="E321" i="2" s="1"/>
  <c r="E321" i="5" s="1"/>
  <c r="F321" i="2"/>
  <c r="C11" i="7"/>
  <c r="E11" i="7" s="1"/>
  <c r="G321" i="2"/>
  <c r="C12" i="7"/>
  <c r="E12" i="7" s="1"/>
  <c r="I321" i="2"/>
  <c r="C14" i="7"/>
  <c r="E14" i="7"/>
  <c r="J321" i="2"/>
  <c r="C15" i="7"/>
  <c r="F113" i="7" s="1"/>
  <c r="K321" i="2"/>
  <c r="C16" i="7"/>
  <c r="E16" i="7" s="1"/>
  <c r="L321" i="2"/>
  <c r="C17" i="7"/>
  <c r="E17" i="7" s="1"/>
  <c r="AB322" i="1"/>
  <c r="AE322" i="1"/>
  <c r="AF322" i="1"/>
  <c r="E322" i="2"/>
  <c r="E322" i="5" s="1"/>
  <c r="F322" i="2"/>
  <c r="G322" i="2"/>
  <c r="I322" i="2"/>
  <c r="J322" i="2"/>
  <c r="K322" i="2"/>
  <c r="L322" i="2"/>
  <c r="AB323" i="1"/>
  <c r="AE323" i="1"/>
  <c r="AF323" i="1"/>
  <c r="E323" i="2"/>
  <c r="E323" i="5" s="1"/>
  <c r="F323" i="2"/>
  <c r="G323" i="2"/>
  <c r="I323" i="2"/>
  <c r="J323" i="2"/>
  <c r="K323" i="2"/>
  <c r="L323" i="2"/>
  <c r="AB324" i="1"/>
  <c r="AE324" i="1"/>
  <c r="AF324" i="1" s="1"/>
  <c r="E324" i="2" s="1"/>
  <c r="E324" i="5" s="1"/>
  <c r="F324" i="2"/>
  <c r="G324" i="2"/>
  <c r="I324" i="2"/>
  <c r="J324" i="2"/>
  <c r="K324" i="2"/>
  <c r="L324" i="2"/>
  <c r="AB325" i="1"/>
  <c r="AE325" i="1"/>
  <c r="AF325" i="1"/>
  <c r="E325" i="2" s="1"/>
  <c r="E325" i="5" s="1"/>
  <c r="F325" i="2"/>
  <c r="G325" i="2"/>
  <c r="I325" i="2"/>
  <c r="J325" i="2"/>
  <c r="K325" i="2"/>
  <c r="L325" i="2"/>
  <c r="AB326" i="1"/>
  <c r="AE326" i="1"/>
  <c r="AF326" i="1"/>
  <c r="E326" i="2" s="1"/>
  <c r="E326" i="5" s="1"/>
  <c r="F326" i="2"/>
  <c r="G326" i="2"/>
  <c r="I326" i="2"/>
  <c r="J326" i="2"/>
  <c r="K326" i="2"/>
  <c r="L326" i="2"/>
  <c r="AB327" i="1"/>
  <c r="AE327" i="1"/>
  <c r="AF327" i="1" s="1"/>
  <c r="E327" i="2" s="1"/>
  <c r="F327" i="2"/>
  <c r="G327" i="2"/>
  <c r="I327" i="2"/>
  <c r="J327" i="2"/>
  <c r="K327" i="2"/>
  <c r="L327" i="2"/>
  <c r="AB328" i="1"/>
  <c r="AE328" i="1"/>
  <c r="AF328" i="1"/>
  <c r="E328" i="2" s="1"/>
  <c r="E328" i="5" s="1"/>
  <c r="F328" i="2"/>
  <c r="G328" i="2"/>
  <c r="I328" i="2"/>
  <c r="J328" i="2"/>
  <c r="K328" i="2"/>
  <c r="L328" i="2"/>
  <c r="AB329" i="1"/>
  <c r="AE329" i="1"/>
  <c r="AF329" i="1"/>
  <c r="E329" i="2" s="1"/>
  <c r="E329" i="5" s="1"/>
  <c r="F329" i="2"/>
  <c r="G329" i="2"/>
  <c r="I329" i="2"/>
  <c r="J329" i="2"/>
  <c r="K329" i="2"/>
  <c r="L329" i="2"/>
  <c r="AB330" i="1"/>
  <c r="AE330" i="1"/>
  <c r="AF330" i="1" s="1"/>
  <c r="E330" i="2" s="1"/>
  <c r="E330" i="5" s="1"/>
  <c r="F330" i="2"/>
  <c r="G330" i="2"/>
  <c r="I330" i="2"/>
  <c r="J330" i="2"/>
  <c r="K330" i="2"/>
  <c r="L330" i="2"/>
  <c r="AB331" i="1"/>
  <c r="AE331" i="1"/>
  <c r="AF331" i="1" s="1"/>
  <c r="E331" i="2" s="1"/>
  <c r="E331" i="5" s="1"/>
  <c r="F331" i="2"/>
  <c r="G331" i="2"/>
  <c r="I331" i="2"/>
  <c r="J331" i="2"/>
  <c r="K331" i="2"/>
  <c r="L331" i="2"/>
  <c r="AB332" i="1"/>
  <c r="AE332" i="1"/>
  <c r="AF332" i="1" s="1"/>
  <c r="E332" i="2" s="1"/>
  <c r="E332" i="5" s="1"/>
  <c r="F332" i="2"/>
  <c r="G332" i="2"/>
  <c r="I332" i="2"/>
  <c r="J332" i="2"/>
  <c r="K332" i="2"/>
  <c r="L332" i="2"/>
  <c r="AB333" i="1"/>
  <c r="AE333" i="1"/>
  <c r="AF333" i="1"/>
  <c r="E333" i="2"/>
  <c r="E333" i="5" s="1"/>
  <c r="F333" i="2"/>
  <c r="G333" i="2"/>
  <c r="I333" i="2"/>
  <c r="J333" i="2"/>
  <c r="K333" i="2"/>
  <c r="L333" i="2"/>
  <c r="AB334" i="1"/>
  <c r="AE334" i="1"/>
  <c r="AF334" i="1"/>
  <c r="E334" i="2"/>
  <c r="E334" i="5" s="1"/>
  <c r="F334" i="2"/>
  <c r="G334" i="2"/>
  <c r="I334" i="2"/>
  <c r="J334" i="2"/>
  <c r="K334" i="2"/>
  <c r="L334" i="2"/>
  <c r="AB335" i="1"/>
  <c r="AE335" i="1"/>
  <c r="AF335" i="1" s="1"/>
  <c r="E335" i="2" s="1"/>
  <c r="E335" i="5" s="1"/>
  <c r="F335" i="2"/>
  <c r="G335" i="2"/>
  <c r="I335" i="2"/>
  <c r="J335" i="2"/>
  <c r="K335" i="2"/>
  <c r="L335" i="2"/>
  <c r="AB336" i="1"/>
  <c r="AE336" i="1"/>
  <c r="AF336" i="1"/>
  <c r="E336" i="2" s="1"/>
  <c r="E336" i="5" s="1"/>
  <c r="F336" i="2"/>
  <c r="G336" i="2"/>
  <c r="I336" i="2"/>
  <c r="J336" i="2"/>
  <c r="K336" i="2"/>
  <c r="L336" i="2"/>
  <c r="AB337" i="1"/>
  <c r="AE337" i="1"/>
  <c r="AF337" i="1"/>
  <c r="E337" i="2" s="1"/>
  <c r="E337" i="5" s="1"/>
  <c r="F337" i="2"/>
  <c r="G337" i="2"/>
  <c r="I337" i="2"/>
  <c r="J337" i="2"/>
  <c r="K337" i="2"/>
  <c r="L337" i="2"/>
  <c r="AB338" i="1"/>
  <c r="AE338" i="1"/>
  <c r="AF338" i="1" s="1"/>
  <c r="E338" i="2" s="1"/>
  <c r="E338" i="5" s="1"/>
  <c r="F338" i="2"/>
  <c r="G338" i="2"/>
  <c r="I338" i="2"/>
  <c r="J338" i="2"/>
  <c r="K338" i="2"/>
  <c r="L338" i="2"/>
  <c r="AB339" i="1"/>
  <c r="AE339" i="1"/>
  <c r="AF339" i="1" s="1"/>
  <c r="E339" i="2" s="1"/>
  <c r="E339" i="5" s="1"/>
  <c r="F339" i="2"/>
  <c r="G339" i="2"/>
  <c r="I339" i="2"/>
  <c r="J339" i="2"/>
  <c r="K339" i="2"/>
  <c r="L339" i="2"/>
  <c r="AB340" i="1"/>
  <c r="AE340" i="1"/>
  <c r="AF340" i="1" s="1"/>
  <c r="E340" i="2" s="1"/>
  <c r="E340" i="5" s="1"/>
  <c r="F340" i="2"/>
  <c r="G340" i="2"/>
  <c r="I340" i="2"/>
  <c r="J340" i="2"/>
  <c r="K340" i="2"/>
  <c r="L340" i="2"/>
  <c r="AB341" i="1"/>
  <c r="AE341" i="1"/>
  <c r="AF341" i="1"/>
  <c r="E341" i="2"/>
  <c r="E341" i="5" s="1"/>
  <c r="F341" i="2"/>
  <c r="G341" i="2"/>
  <c r="I341" i="2"/>
  <c r="J341" i="2"/>
  <c r="K341" i="2"/>
  <c r="L341" i="2"/>
  <c r="AB342" i="1"/>
  <c r="AE342" i="1"/>
  <c r="AF342" i="1"/>
  <c r="E342" i="2"/>
  <c r="E342" i="5" s="1"/>
  <c r="F342" i="2"/>
  <c r="G342" i="2"/>
  <c r="I342" i="2"/>
  <c r="J342" i="2"/>
  <c r="K342" i="2"/>
  <c r="L342"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C22" i="7" s="1"/>
  <c r="J96" i="10" s="1"/>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K6" i="11"/>
  <c r="Q6" i="11"/>
  <c r="R6" i="11"/>
  <c r="E6" i="4"/>
  <c r="H6" i="4"/>
  <c r="I6" i="4"/>
  <c r="J6" i="4"/>
  <c r="K6" i="4"/>
  <c r="L6" i="4"/>
  <c r="M6" i="4"/>
  <c r="N6"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D6" i="4"/>
  <c r="E6" i="1"/>
  <c r="F6" i="1"/>
  <c r="G6" i="1"/>
  <c r="H6" i="1"/>
  <c r="I6" i="1"/>
  <c r="J6" i="1"/>
  <c r="K6" i="1"/>
  <c r="L6" i="1"/>
  <c r="M6" i="1"/>
  <c r="N6" i="1"/>
  <c r="O6" i="1"/>
  <c r="P6" i="1"/>
  <c r="Q6" i="1"/>
  <c r="S6" i="1"/>
  <c r="T6" i="1"/>
  <c r="U6" i="1"/>
  <c r="V6" i="1"/>
  <c r="W6" i="1"/>
  <c r="X6" i="1"/>
  <c r="Y6" i="1"/>
  <c r="D6" i="1"/>
  <c r="H6" i="2"/>
  <c r="E10" i="5"/>
  <c r="E13" i="5"/>
  <c r="E21" i="5"/>
  <c r="E22" i="5"/>
  <c r="E23" i="5"/>
  <c r="E25" i="5"/>
  <c r="E26" i="5"/>
  <c r="L1" i="10"/>
  <c r="F7" i="16"/>
  <c r="F16" i="15"/>
  <c r="L77" i="10"/>
  <c r="L25" i="10"/>
  <c r="L79" i="10" s="1"/>
  <c r="L24" i="10"/>
  <c r="L78" i="10"/>
  <c r="L12" i="10"/>
  <c r="L67" i="10" s="1"/>
  <c r="D14" i="14"/>
  <c r="I127" i="10"/>
  <c r="J127" i="10"/>
  <c r="E14" i="14"/>
  <c r="F137" i="14"/>
  <c r="J137" i="14"/>
  <c r="R137" i="14"/>
  <c r="K138" i="14"/>
  <c r="S138" i="14"/>
  <c r="L139" i="14"/>
  <c r="E119" i="14"/>
  <c r="M119" i="14"/>
  <c r="F120" i="14"/>
  <c r="N120" i="14"/>
  <c r="G121" i="14"/>
  <c r="O121" i="14"/>
  <c r="I24" i="10"/>
  <c r="I78" i="10"/>
  <c r="J24" i="10"/>
  <c r="K24" i="10"/>
  <c r="K78" i="10"/>
  <c r="F14" i="14"/>
  <c r="P77" i="14" s="1"/>
  <c r="I25" i="10"/>
  <c r="I79" i="10" s="1"/>
  <c r="J25" i="10"/>
  <c r="J79" i="10"/>
  <c r="K25" i="10"/>
  <c r="K79" i="10" s="1"/>
  <c r="L80" i="10"/>
  <c r="I80" i="10"/>
  <c r="J80" i="10"/>
  <c r="K80" i="10"/>
  <c r="L81" i="10"/>
  <c r="I81" i="10"/>
  <c r="J81" i="10"/>
  <c r="K81" i="10"/>
  <c r="L82" i="10"/>
  <c r="I82" i="10"/>
  <c r="J82" i="10"/>
  <c r="K82" i="10"/>
  <c r="L83" i="10"/>
  <c r="I83" i="10"/>
  <c r="J83" i="10"/>
  <c r="M83" i="10" s="1"/>
  <c r="K83" i="10"/>
  <c r="G14" i="14"/>
  <c r="E67" i="14" s="1"/>
  <c r="I33" i="10"/>
  <c r="I87" i="10" s="1"/>
  <c r="H14" i="14"/>
  <c r="S68" i="14"/>
  <c r="I14" i="14"/>
  <c r="F69" i="14" s="1"/>
  <c r="J14" i="14"/>
  <c r="I92" i="14" s="1"/>
  <c r="K14" i="14"/>
  <c r="G93" i="14" s="1"/>
  <c r="J37" i="10"/>
  <c r="J91" i="10" s="1"/>
  <c r="J95" i="10"/>
  <c r="I77" i="10"/>
  <c r="J77" i="10"/>
  <c r="K77" i="10"/>
  <c r="I12" i="10"/>
  <c r="I67" i="10"/>
  <c r="J12" i="10"/>
  <c r="J67" i="10" s="1"/>
  <c r="K12" i="10"/>
  <c r="K67" i="10"/>
  <c r="K71" i="10"/>
  <c r="E65" i="14"/>
  <c r="M65" i="14"/>
  <c r="G66" i="14"/>
  <c r="O66" i="14"/>
  <c r="Q67" i="14"/>
  <c r="S67" i="14"/>
  <c r="K68" i="14"/>
  <c r="Q70" i="14"/>
  <c r="L76" i="14"/>
  <c r="H77" i="14"/>
  <c r="L77" i="14"/>
  <c r="P78" i="14"/>
  <c r="R78" i="14"/>
  <c r="F79" i="14"/>
  <c r="N79" i="14"/>
  <c r="N80" i="14"/>
  <c r="R81" i="14"/>
  <c r="H82" i="14"/>
  <c r="G87" i="14"/>
  <c r="K87" i="14"/>
  <c r="O87" i="14"/>
  <c r="S87" i="14"/>
  <c r="H88" i="14"/>
  <c r="F89" i="14"/>
  <c r="H89" i="14"/>
  <c r="P89" i="14"/>
  <c r="G90" i="14"/>
  <c r="O90" i="14"/>
  <c r="L91" i="14"/>
  <c r="M61" i="10"/>
  <c r="M59" i="10"/>
  <c r="M29" i="10"/>
  <c r="M28" i="10"/>
  <c r="M27" i="10"/>
  <c r="M26" i="10"/>
  <c r="M23" i="10"/>
  <c r="M22" i="10"/>
  <c r="B5" i="7"/>
  <c r="J1" i="10" s="1"/>
  <c r="I1" i="10"/>
  <c r="Q1" i="2"/>
  <c r="K1" i="14"/>
  <c r="I1" i="13"/>
  <c r="H145" i="7"/>
  <c r="H143" i="7"/>
  <c r="H141" i="7"/>
  <c r="H133" i="7"/>
  <c r="H132" i="7"/>
  <c r="H129" i="7"/>
  <c r="H128" i="7"/>
  <c r="H116" i="7"/>
  <c r="H118" i="7"/>
  <c r="H114" i="7"/>
  <c r="H113" i="7"/>
  <c r="H109" i="7"/>
  <c r="H107" i="7"/>
  <c r="E145" i="14"/>
  <c r="D43" i="14"/>
  <c r="D44" i="14"/>
  <c r="D45" i="14"/>
  <c r="F145" i="14"/>
  <c r="G145" i="14"/>
  <c r="H145" i="14"/>
  <c r="I145" i="14"/>
  <c r="J145" i="14"/>
  <c r="K145" i="14"/>
  <c r="L145" i="14"/>
  <c r="M145" i="14"/>
  <c r="N145" i="14"/>
  <c r="O145" i="14"/>
  <c r="P145" i="14"/>
  <c r="Q145" i="14"/>
  <c r="R145" i="14"/>
  <c r="S145" i="14"/>
  <c r="D35" i="14"/>
  <c r="D49" i="14" s="1"/>
  <c r="D36" i="14"/>
  <c r="D37" i="14"/>
  <c r="D38" i="14"/>
  <c r="D39" i="14"/>
  <c r="D40" i="14"/>
  <c r="D41" i="14"/>
  <c r="D42" i="14"/>
  <c r="D46" i="14"/>
  <c r="F49" i="14"/>
  <c r="G49" i="14"/>
  <c r="H49" i="14"/>
  <c r="I49" i="14"/>
  <c r="J49" i="14"/>
  <c r="K49" i="14"/>
  <c r="L49" i="14"/>
  <c r="M49" i="14"/>
  <c r="N49" i="14"/>
  <c r="O49" i="14"/>
  <c r="P49" i="14"/>
  <c r="Q49" i="14"/>
  <c r="R49" i="14"/>
  <c r="S49" i="14"/>
  <c r="E49" i="14"/>
  <c r="V1" i="11"/>
  <c r="F69" i="7"/>
  <c r="E67" i="7"/>
  <c r="F68" i="7"/>
  <c r="E66" i="7"/>
  <c r="B102" i="7"/>
  <c r="B52" i="7"/>
  <c r="B3" i="12"/>
  <c r="L1" i="12"/>
  <c r="M1" i="9"/>
  <c r="I52" i="7"/>
  <c r="H1" i="5"/>
  <c r="AF1" i="1"/>
  <c r="H2" i="8"/>
  <c r="A102" i="7"/>
  <c r="A52" i="7"/>
  <c r="F129" i="7"/>
  <c r="E21" i="7"/>
  <c r="O1" i="4"/>
  <c r="H128" i="14"/>
  <c r="L128" i="14"/>
  <c r="P128" i="14"/>
  <c r="G129" i="14"/>
  <c r="K129" i="14"/>
  <c r="O129" i="14"/>
  <c r="S129" i="14"/>
  <c r="F130" i="14"/>
  <c r="J130" i="14"/>
  <c r="N130" i="14"/>
  <c r="R130" i="14"/>
  <c r="I110" i="14"/>
  <c r="M110" i="14"/>
  <c r="Q110" i="14"/>
  <c r="F111" i="14"/>
  <c r="I111" i="14"/>
  <c r="K111" i="14"/>
  <c r="M111" i="14"/>
  <c r="O111" i="14"/>
  <c r="Q111" i="14"/>
  <c r="S111" i="14"/>
  <c r="F112" i="14"/>
  <c r="H112" i="14"/>
  <c r="J112" i="14"/>
  <c r="L112" i="14"/>
  <c r="N112" i="14"/>
  <c r="P112" i="14"/>
  <c r="R112" i="14"/>
  <c r="E56" i="14"/>
  <c r="G56" i="14"/>
  <c r="I56" i="14"/>
  <c r="K56" i="14"/>
  <c r="M56" i="14"/>
  <c r="O56" i="14"/>
  <c r="Q56" i="14"/>
  <c r="S56" i="14"/>
  <c r="F57" i="14"/>
  <c r="H57" i="14"/>
  <c r="J57" i="14"/>
  <c r="L57" i="14"/>
  <c r="N57" i="14"/>
  <c r="P57" i="14"/>
  <c r="R57" i="14"/>
  <c r="E58" i="14"/>
  <c r="G58" i="14"/>
  <c r="I58" i="14"/>
  <c r="K58" i="14"/>
  <c r="M58" i="14"/>
  <c r="O58" i="14"/>
  <c r="Q58" i="14"/>
  <c r="S58" i="14"/>
  <c r="O6" i="11"/>
  <c r="E21" i="12"/>
  <c r="AA21" i="1"/>
  <c r="AD21" i="1"/>
  <c r="M21" i="2"/>
  <c r="Q21" i="2" s="1"/>
  <c r="P6" i="11"/>
  <c r="E76" i="7"/>
  <c r="F78" i="7"/>
  <c r="Z21" i="1"/>
  <c r="AC21" i="1" s="1"/>
  <c r="D21" i="2" s="1"/>
  <c r="AB6" i="1"/>
  <c r="J21" i="12"/>
  <c r="D18" i="7"/>
  <c r="J33" i="10"/>
  <c r="J87" i="10"/>
  <c r="H26" i="7"/>
  <c r="F76" i="7"/>
  <c r="E78" i="7"/>
  <c r="S93" i="14"/>
  <c r="O93" i="14"/>
  <c r="M93" i="14"/>
  <c r="K93" i="14"/>
  <c r="I93" i="14"/>
  <c r="E93" i="14"/>
  <c r="R90" i="14"/>
  <c r="P90" i="14"/>
  <c r="N90" i="14"/>
  <c r="L90" i="14"/>
  <c r="J90" i="14"/>
  <c r="H90" i="14"/>
  <c r="F90" i="14"/>
  <c r="S89" i="14"/>
  <c r="Q89" i="14"/>
  <c r="M89" i="14"/>
  <c r="K89" i="14"/>
  <c r="I89" i="14"/>
  <c r="G89" i="14"/>
  <c r="S82" i="14"/>
  <c r="Q82" i="14"/>
  <c r="M82" i="14"/>
  <c r="K82" i="14"/>
  <c r="I82" i="14"/>
  <c r="G82" i="14"/>
  <c r="S79" i="14"/>
  <c r="Q79" i="14"/>
  <c r="O79" i="14"/>
  <c r="M79" i="14"/>
  <c r="K79" i="14"/>
  <c r="I79" i="14"/>
  <c r="G79" i="14"/>
  <c r="E79" i="14"/>
  <c r="S78" i="14"/>
  <c r="Q78" i="14"/>
  <c r="M78" i="14"/>
  <c r="K78" i="14"/>
  <c r="I78" i="14"/>
  <c r="G78" i="14"/>
  <c r="R71" i="14"/>
  <c r="P71" i="14"/>
  <c r="L71" i="14"/>
  <c r="J71" i="14"/>
  <c r="H71" i="14"/>
  <c r="F71" i="14"/>
  <c r="Q68" i="14"/>
  <c r="M68" i="14"/>
  <c r="I68" i="14"/>
  <c r="E68" i="14"/>
  <c r="R67" i="14"/>
  <c r="P67" i="14"/>
  <c r="N67" i="14"/>
  <c r="L67" i="14"/>
  <c r="J67" i="14"/>
  <c r="H67" i="14"/>
  <c r="F67" i="14"/>
  <c r="J38" i="10"/>
  <c r="J92" i="10"/>
  <c r="K37" i="10"/>
  <c r="K91" i="10" s="1"/>
  <c r="K33" i="10"/>
  <c r="K87" i="10"/>
  <c r="D23" i="7"/>
  <c r="O6" i="4"/>
  <c r="D6" i="11"/>
  <c r="I95" i="10"/>
  <c r="F128" i="7"/>
  <c r="M80" i="10"/>
  <c r="L37" i="10"/>
  <c r="L91" i="10"/>
  <c r="G104" i="14"/>
  <c r="I104" i="14"/>
  <c r="L38" i="10"/>
  <c r="L92" i="10" s="1"/>
  <c r="L35" i="10"/>
  <c r="L89" i="10" s="1"/>
  <c r="I102" i="14"/>
  <c r="M102" i="14"/>
  <c r="Q102" i="14"/>
  <c r="F102" i="14"/>
  <c r="J102" i="14"/>
  <c r="N102" i="14"/>
  <c r="R102" i="14"/>
  <c r="L33" i="10"/>
  <c r="L87" i="10" s="1"/>
  <c r="G100" i="14"/>
  <c r="I100" i="14"/>
  <c r="K100" i="14"/>
  <c r="M100" i="14"/>
  <c r="O100" i="14"/>
  <c r="Q100" i="14"/>
  <c r="D100" i="14" s="1"/>
  <c r="S100" i="14"/>
  <c r="F100" i="14"/>
  <c r="H100" i="14"/>
  <c r="J100" i="14"/>
  <c r="L100" i="14"/>
  <c r="N100" i="14"/>
  <c r="P100" i="14"/>
  <c r="R100" i="14"/>
  <c r="L31" i="10"/>
  <c r="L85" i="10" s="1"/>
  <c r="G140" i="14"/>
  <c r="I140" i="14"/>
  <c r="K140" i="14"/>
  <c r="M140" i="14"/>
  <c r="O140" i="14"/>
  <c r="Q140" i="14"/>
  <c r="S140" i="14"/>
  <c r="G122" i="14"/>
  <c r="I122" i="14"/>
  <c r="K122" i="14"/>
  <c r="M122" i="14"/>
  <c r="O122" i="14"/>
  <c r="Q122" i="14"/>
  <c r="S122" i="14"/>
  <c r="G98" i="14"/>
  <c r="I98" i="14"/>
  <c r="K98" i="14"/>
  <c r="M98" i="14"/>
  <c r="O98" i="14"/>
  <c r="Q98" i="14"/>
  <c r="S98" i="14"/>
  <c r="L30" i="10"/>
  <c r="L84" i="10" s="1"/>
  <c r="F140" i="14"/>
  <c r="H140" i="14"/>
  <c r="J140" i="14"/>
  <c r="L140" i="14"/>
  <c r="N140" i="14"/>
  <c r="P140" i="14"/>
  <c r="R140" i="14"/>
  <c r="E140" i="14"/>
  <c r="F122" i="14"/>
  <c r="H122" i="14"/>
  <c r="J122" i="14"/>
  <c r="L122" i="14"/>
  <c r="N122" i="14"/>
  <c r="P122" i="14"/>
  <c r="R122" i="14"/>
  <c r="E122" i="14"/>
  <c r="D122" i="14" s="1"/>
  <c r="F98" i="14"/>
  <c r="H98" i="14"/>
  <c r="J98" i="14"/>
  <c r="L98" i="14"/>
  <c r="N98" i="14"/>
  <c r="P98" i="14"/>
  <c r="R98" i="14"/>
  <c r="R70" i="14"/>
  <c r="J70" i="14"/>
  <c r="R68" i="14"/>
  <c r="P68" i="14"/>
  <c r="N68" i="14"/>
  <c r="L68" i="14"/>
  <c r="J68" i="14"/>
  <c r="H68" i="14"/>
  <c r="F68" i="14"/>
  <c r="P66" i="14"/>
  <c r="N66" i="14"/>
  <c r="H66" i="14"/>
  <c r="F66" i="14"/>
  <c r="K34" i="10"/>
  <c r="K88" i="10"/>
  <c r="J34" i="10"/>
  <c r="J88" i="10" s="1"/>
  <c r="J32" i="10"/>
  <c r="E98" i="14"/>
  <c r="D98" i="14"/>
  <c r="E100" i="14"/>
  <c r="E104" i="14"/>
  <c r="R104" i="14"/>
  <c r="P104" i="14"/>
  <c r="N104" i="14"/>
  <c r="L104" i="14"/>
  <c r="J104" i="14"/>
  <c r="F104" i="14"/>
  <c r="G103" i="14"/>
  <c r="O103" i="14"/>
  <c r="L103" i="14"/>
  <c r="G101" i="14"/>
  <c r="I101" i="14"/>
  <c r="K101" i="14"/>
  <c r="M101" i="14"/>
  <c r="O101" i="14"/>
  <c r="Q101" i="14"/>
  <c r="S101" i="14"/>
  <c r="L34" i="10"/>
  <c r="L88" i="10"/>
  <c r="F101" i="14"/>
  <c r="H101" i="14"/>
  <c r="J101" i="14"/>
  <c r="L101" i="14"/>
  <c r="N101" i="14"/>
  <c r="P101" i="14"/>
  <c r="R101" i="14"/>
  <c r="G99" i="14"/>
  <c r="K99" i="14"/>
  <c r="O99" i="14"/>
  <c r="S99" i="14"/>
  <c r="H99" i="14"/>
  <c r="L99" i="14"/>
  <c r="P99" i="14"/>
  <c r="G131" i="14"/>
  <c r="I131" i="14"/>
  <c r="K131" i="14"/>
  <c r="M131" i="14"/>
  <c r="O131" i="14"/>
  <c r="Q131" i="14"/>
  <c r="S131" i="14"/>
  <c r="G113" i="14"/>
  <c r="I113" i="14"/>
  <c r="K113" i="14"/>
  <c r="M113" i="14"/>
  <c r="O113" i="14"/>
  <c r="Q113" i="14"/>
  <c r="S113" i="14"/>
  <c r="F131" i="14"/>
  <c r="H131" i="14"/>
  <c r="J131" i="14"/>
  <c r="L131" i="14"/>
  <c r="N131" i="14"/>
  <c r="P131" i="14"/>
  <c r="R131" i="14"/>
  <c r="E131" i="14"/>
  <c r="E101" i="14"/>
  <c r="S104" i="14"/>
  <c r="Q104" i="14"/>
  <c r="O104" i="14"/>
  <c r="M104" i="14"/>
  <c r="K104" i="14"/>
  <c r="H104" i="14"/>
  <c r="Z23" i="1"/>
  <c r="AC23" i="1" s="1"/>
  <c r="D23" i="2" s="1"/>
  <c r="P23" i="2" s="1"/>
  <c r="E39" i="12"/>
  <c r="Z55" i="1"/>
  <c r="AC55" i="1"/>
  <c r="D55" i="2" s="1"/>
  <c r="E71" i="12"/>
  <c r="Z87" i="1"/>
  <c r="AC87" i="1"/>
  <c r="D87" i="2"/>
  <c r="Z103" i="1"/>
  <c r="AC103" i="1"/>
  <c r="D103" i="2"/>
  <c r="E119" i="12"/>
  <c r="Z135" i="1"/>
  <c r="AC135" i="1" s="1"/>
  <c r="D135" i="2" s="1"/>
  <c r="E151" i="12"/>
  <c r="Z167" i="1"/>
  <c r="AC167" i="1"/>
  <c r="D167" i="2"/>
  <c r="E183" i="12"/>
  <c r="Z199" i="1"/>
  <c r="AC199" i="1" s="1"/>
  <c r="D199" i="2" s="1"/>
  <c r="E215" i="12"/>
  <c r="Z231" i="1"/>
  <c r="AC231" i="1"/>
  <c r="D231" i="2"/>
  <c r="E247" i="12"/>
  <c r="Z263" i="1"/>
  <c r="AC263" i="1" s="1"/>
  <c r="D263" i="2" s="1"/>
  <c r="E279" i="12"/>
  <c r="Z295" i="1"/>
  <c r="AC295" i="1"/>
  <c r="D295" i="2" s="1"/>
  <c r="E311" i="12"/>
  <c r="Z327" i="1"/>
  <c r="AC327" i="1" s="1"/>
  <c r="D327" i="2" s="1"/>
  <c r="E343" i="12"/>
  <c r="Z22" i="1"/>
  <c r="AC22" i="1"/>
  <c r="D22" i="2"/>
  <c r="E38" i="12"/>
  <c r="Z54" i="1"/>
  <c r="AC54" i="1" s="1"/>
  <c r="D54" i="2" s="1"/>
  <c r="D54" i="5"/>
  <c r="E70" i="12"/>
  <c r="Z86" i="1"/>
  <c r="AC86" i="1"/>
  <c r="D86" i="2"/>
  <c r="D86" i="5" s="1"/>
  <c r="E102" i="12"/>
  <c r="Z118" i="1"/>
  <c r="AC118" i="1"/>
  <c r="D118" i="2" s="1"/>
  <c r="D118" i="5"/>
  <c r="E134" i="12"/>
  <c r="Z150" i="1"/>
  <c r="AC150" i="1" s="1"/>
  <c r="D150" i="2" s="1"/>
  <c r="E166" i="12"/>
  <c r="Z182" i="1"/>
  <c r="AC182" i="1" s="1"/>
  <c r="D182" i="2" s="1"/>
  <c r="E198" i="12"/>
  <c r="Z214" i="1"/>
  <c r="AC214" i="1" s="1"/>
  <c r="D214" i="2" s="1"/>
  <c r="E230" i="12"/>
  <c r="Z246" i="1"/>
  <c r="AC246" i="1" s="1"/>
  <c r="D246" i="2" s="1"/>
  <c r="E262" i="12"/>
  <c r="Z278" i="1"/>
  <c r="AC278" i="1" s="1"/>
  <c r="D278" i="2" s="1"/>
  <c r="E294" i="12"/>
  <c r="Z310" i="1"/>
  <c r="AC310" i="1" s="1"/>
  <c r="D310" i="2"/>
  <c r="E326" i="12"/>
  <c r="Z342" i="1"/>
  <c r="AC342" i="1"/>
  <c r="D342" i="2" s="1"/>
  <c r="P320" i="12"/>
  <c r="Q320" i="12" s="1"/>
  <c r="P260" i="12"/>
  <c r="Q260" i="12"/>
  <c r="P142" i="12"/>
  <c r="Q142" i="12"/>
  <c r="P82" i="12"/>
  <c r="Q82" i="12" s="1"/>
  <c r="P74" i="12"/>
  <c r="Q74" i="12"/>
  <c r="P34" i="12"/>
  <c r="Q34" i="12"/>
  <c r="P26" i="12"/>
  <c r="Q26" i="12"/>
  <c r="P18" i="12"/>
  <c r="Q18" i="12" s="1"/>
  <c r="P14" i="12"/>
  <c r="Q14" i="12"/>
  <c r="P10" i="12"/>
  <c r="Q10" i="12"/>
  <c r="P339" i="12"/>
  <c r="Q339" i="12" s="1"/>
  <c r="P331" i="12"/>
  <c r="Q331" i="12" s="1"/>
  <c r="P323" i="12"/>
  <c r="Q323" i="12" s="1"/>
  <c r="P319" i="12"/>
  <c r="Q319" i="12"/>
  <c r="P315" i="12"/>
  <c r="Q315" i="12" s="1"/>
  <c r="P307" i="12"/>
  <c r="Q307" i="12" s="1"/>
  <c r="P299" i="12"/>
  <c r="Q299" i="12"/>
  <c r="P291" i="12"/>
  <c r="Q291" i="12"/>
  <c r="P287" i="12"/>
  <c r="Q287" i="12" s="1"/>
  <c r="P283" i="12"/>
  <c r="Q283" i="12" s="1"/>
  <c r="P275" i="12"/>
  <c r="Q275" i="12"/>
  <c r="P267" i="12"/>
  <c r="Q267" i="12"/>
  <c r="P259" i="12"/>
  <c r="Q259" i="12"/>
  <c r="P255" i="12"/>
  <c r="Q255" i="12" s="1"/>
  <c r="P251" i="12"/>
  <c r="Q251" i="12" s="1"/>
  <c r="P243" i="12"/>
  <c r="Q243" i="12"/>
  <c r="P235" i="12"/>
  <c r="Q235" i="12"/>
  <c r="P227" i="12"/>
  <c r="Q227" i="12" s="1"/>
  <c r="P223" i="12"/>
  <c r="Q223" i="12" s="1"/>
  <c r="P219" i="12"/>
  <c r="Q219" i="12"/>
  <c r="P211" i="12"/>
  <c r="Q211" i="12" s="1"/>
  <c r="P203" i="12"/>
  <c r="Q203" i="12" s="1"/>
  <c r="P195" i="12"/>
  <c r="Q195" i="12" s="1"/>
  <c r="P191" i="12"/>
  <c r="Q191" i="12"/>
  <c r="P187" i="12"/>
  <c r="Q187" i="12"/>
  <c r="P179" i="12"/>
  <c r="Q179" i="12" s="1"/>
  <c r="P171" i="12"/>
  <c r="Q171" i="12"/>
  <c r="P163" i="12"/>
  <c r="Q163" i="12"/>
  <c r="P159" i="12"/>
  <c r="Q159" i="12"/>
  <c r="P155" i="12"/>
  <c r="Q155" i="12" s="1"/>
  <c r="P147" i="12"/>
  <c r="Q147" i="12"/>
  <c r="P139" i="12"/>
  <c r="Q139" i="12"/>
  <c r="P131" i="12"/>
  <c r="Q131" i="12" s="1"/>
  <c r="P127" i="12"/>
  <c r="Q127" i="12" s="1"/>
  <c r="P123" i="12"/>
  <c r="Q123" i="12" s="1"/>
  <c r="P115" i="12"/>
  <c r="Q115" i="12"/>
  <c r="P111" i="12"/>
  <c r="Q111" i="12" s="1"/>
  <c r="P107" i="12"/>
  <c r="Q107" i="12" s="1"/>
  <c r="P47" i="12"/>
  <c r="Q47" i="12"/>
  <c r="P244" i="12"/>
  <c r="Q244" i="12"/>
  <c r="P208" i="12"/>
  <c r="Q208" i="12" s="1"/>
  <c r="P176" i="12"/>
  <c r="Q176" i="12"/>
  <c r="P144" i="12"/>
  <c r="Q144" i="12" s="1"/>
  <c r="P112" i="12"/>
  <c r="Q112" i="12" s="1"/>
  <c r="P80" i="12"/>
  <c r="Q80" i="12"/>
  <c r="P64" i="12"/>
  <c r="Q64" i="12"/>
  <c r="P48" i="12"/>
  <c r="Q48" i="12" s="1"/>
  <c r="P32" i="12"/>
  <c r="Q32" i="12"/>
  <c r="P16" i="12"/>
  <c r="Q16" i="12"/>
  <c r="P341" i="12"/>
  <c r="Q341" i="12"/>
  <c r="P333" i="12"/>
  <c r="Q333" i="12" s="1"/>
  <c r="P325" i="12"/>
  <c r="Q325" i="12"/>
  <c r="P317" i="12"/>
  <c r="Q317" i="12" s="1"/>
  <c r="P309" i="12"/>
  <c r="Q309" i="12"/>
  <c r="P301" i="12"/>
  <c r="Q301" i="12" s="1"/>
  <c r="P293" i="12"/>
  <c r="Q293" i="12" s="1"/>
  <c r="P285" i="12"/>
  <c r="Q285" i="12"/>
  <c r="P277" i="12"/>
  <c r="Q277" i="12"/>
  <c r="P269" i="12"/>
  <c r="Q269" i="12" s="1"/>
  <c r="P261" i="12"/>
  <c r="Q261" i="12" s="1"/>
  <c r="P253" i="12"/>
  <c r="Q253" i="12"/>
  <c r="P245" i="12"/>
  <c r="Q245" i="12"/>
  <c r="P237" i="12"/>
  <c r="Q237" i="12" s="1"/>
  <c r="P229" i="12"/>
  <c r="Q229" i="12" s="1"/>
  <c r="P221" i="12"/>
  <c r="Q221" i="12" s="1"/>
  <c r="P213" i="12"/>
  <c r="Q213" i="12"/>
  <c r="P205" i="12"/>
  <c r="Q205" i="12" s="1"/>
  <c r="P197" i="12"/>
  <c r="Q197" i="12"/>
  <c r="P189" i="12"/>
  <c r="Q189" i="12" s="1"/>
  <c r="P181" i="12"/>
  <c r="Q181" i="12"/>
  <c r="P173" i="12"/>
  <c r="Q173" i="12" s="1"/>
  <c r="P165" i="12"/>
  <c r="Q165" i="12"/>
  <c r="P157" i="12"/>
  <c r="Q157" i="12" s="1"/>
  <c r="P149" i="12"/>
  <c r="Q149" i="12"/>
  <c r="P141" i="12"/>
  <c r="Q141" i="12" s="1"/>
  <c r="P133" i="12"/>
  <c r="Q133" i="12" s="1"/>
  <c r="P125" i="12"/>
  <c r="Q125" i="12"/>
  <c r="P117" i="12"/>
  <c r="Q117" i="12"/>
  <c r="P109" i="12"/>
  <c r="Q109" i="12" s="1"/>
  <c r="P101" i="12"/>
  <c r="Q101" i="12"/>
  <c r="P93" i="12"/>
  <c r="Q93" i="12"/>
  <c r="P85" i="12"/>
  <c r="Q85" i="12"/>
  <c r="P77" i="12"/>
  <c r="Q77" i="12" s="1"/>
  <c r="P69" i="12"/>
  <c r="Q69" i="12"/>
  <c r="P61" i="12"/>
  <c r="Q61" i="12" s="1"/>
  <c r="P53" i="12"/>
  <c r="Q53" i="12"/>
  <c r="P45" i="12"/>
  <c r="Q45" i="12" s="1"/>
  <c r="P37" i="12"/>
  <c r="Q37" i="12"/>
  <c r="P29" i="12"/>
  <c r="Q29" i="12" s="1"/>
  <c r="AA17" i="1"/>
  <c r="AD17" i="1"/>
  <c r="M17" i="2" s="1"/>
  <c r="AA9" i="1"/>
  <c r="AD9" i="1" s="1"/>
  <c r="M9" i="2" s="1"/>
  <c r="D131" i="14"/>
  <c r="L15" i="10" s="1"/>
  <c r="J86" i="10"/>
  <c r="E6" i="11"/>
  <c r="P329" i="12"/>
  <c r="Q329" i="12" s="1"/>
  <c r="P321" i="12"/>
  <c r="Q321" i="12"/>
  <c r="P313" i="12"/>
  <c r="Q313" i="12" s="1"/>
  <c r="P305" i="12"/>
  <c r="Q305" i="12"/>
  <c r="P297" i="12"/>
  <c r="Q297" i="12" s="1"/>
  <c r="P289" i="12"/>
  <c r="Q289" i="12"/>
  <c r="P281" i="12"/>
  <c r="Q281" i="12" s="1"/>
  <c r="P273" i="12"/>
  <c r="Q273" i="12"/>
  <c r="P265" i="12"/>
  <c r="Q265" i="12" s="1"/>
  <c r="P257" i="12"/>
  <c r="Q257" i="12"/>
  <c r="P249" i="12"/>
  <c r="Q249" i="12" s="1"/>
  <c r="P241" i="12"/>
  <c r="Q241" i="12"/>
  <c r="P233" i="12"/>
  <c r="Q233" i="12" s="1"/>
  <c r="P225" i="12"/>
  <c r="Q225" i="12"/>
  <c r="P217" i="12"/>
  <c r="Q217" i="12" s="1"/>
  <c r="P209" i="12"/>
  <c r="Q209" i="12"/>
  <c r="P201" i="12"/>
  <c r="Q201" i="12" s="1"/>
  <c r="P193" i="12"/>
  <c r="Q193" i="12"/>
  <c r="P185" i="12"/>
  <c r="Q185" i="12" s="1"/>
  <c r="P177" i="12"/>
  <c r="Q177" i="12"/>
  <c r="P169" i="12"/>
  <c r="Q169" i="12" s="1"/>
  <c r="P161" i="12"/>
  <c r="Q161" i="12"/>
  <c r="P153" i="12"/>
  <c r="Q153" i="12" s="1"/>
  <c r="P145" i="12"/>
  <c r="Q145" i="12"/>
  <c r="P137" i="12"/>
  <c r="Q137" i="12" s="1"/>
  <c r="P129" i="12"/>
  <c r="Q129" i="12"/>
  <c r="P121" i="12"/>
  <c r="Q121" i="12" s="1"/>
  <c r="P113" i="12"/>
  <c r="Q113" i="12"/>
  <c r="P105" i="12"/>
  <c r="Q105" i="12" s="1"/>
  <c r="P97" i="12"/>
  <c r="Q97" i="12"/>
  <c r="P89" i="12"/>
  <c r="Q89" i="12" s="1"/>
  <c r="P81" i="12"/>
  <c r="Q81" i="12"/>
  <c r="P73" i="12"/>
  <c r="Q73" i="12" s="1"/>
  <c r="P65" i="12"/>
  <c r="Q65" i="12"/>
  <c r="P57" i="12"/>
  <c r="Q57" i="12" s="1"/>
  <c r="P49" i="12"/>
  <c r="Q49" i="12"/>
  <c r="P41" i="12"/>
  <c r="Q41" i="12" s="1"/>
  <c r="P33" i="12"/>
  <c r="Q33" i="12"/>
  <c r="P25" i="12"/>
  <c r="Q25" i="12" s="1"/>
  <c r="P336" i="12"/>
  <c r="Q336" i="12"/>
  <c r="P304" i="12"/>
  <c r="Q304" i="12" s="1"/>
  <c r="P276" i="12"/>
  <c r="Q276" i="12"/>
  <c r="P240" i="12"/>
  <c r="Q240" i="12" s="1"/>
  <c r="P337" i="12"/>
  <c r="Q337" i="12"/>
  <c r="P8" i="12"/>
  <c r="Q8" i="12" s="1"/>
  <c r="P28" i="12"/>
  <c r="Q28" i="12"/>
  <c r="P36" i="12"/>
  <c r="Q36" i="12" s="1"/>
  <c r="P60" i="12"/>
  <c r="Q60" i="12"/>
  <c r="P92" i="12"/>
  <c r="Q92" i="12" s="1"/>
  <c r="P100" i="12"/>
  <c r="Q100" i="12"/>
  <c r="P116" i="12"/>
  <c r="Q116" i="12" s="1"/>
  <c r="P124" i="12"/>
  <c r="Q124" i="12"/>
  <c r="P156" i="12"/>
  <c r="Q156" i="12" s="1"/>
  <c r="P180" i="12"/>
  <c r="Q180" i="12"/>
  <c r="P188" i="12"/>
  <c r="Q188" i="12" s="1"/>
  <c r="P220" i="12"/>
  <c r="Q220" i="12"/>
  <c r="P264" i="12"/>
  <c r="Q264" i="12" s="1"/>
  <c r="P332" i="12"/>
  <c r="Q332" i="12"/>
  <c r="P268" i="12"/>
  <c r="Q268" i="12" s="1"/>
  <c r="P296" i="12"/>
  <c r="Q296" i="12"/>
  <c r="P312" i="12"/>
  <c r="Q312" i="12" s="1"/>
  <c r="P328" i="12"/>
  <c r="Q328" i="12"/>
  <c r="P344" i="12"/>
  <c r="Q344" i="12" s="1"/>
  <c r="P11" i="12"/>
  <c r="Q11" i="12"/>
  <c r="P15" i="12"/>
  <c r="Q15" i="12" s="1"/>
  <c r="P19" i="12"/>
  <c r="Q19" i="12"/>
  <c r="P23" i="12"/>
  <c r="Q23" i="12" s="1"/>
  <c r="P39" i="12"/>
  <c r="Q39" i="12"/>
  <c r="P55" i="12"/>
  <c r="Q55" i="12" s="1"/>
  <c r="P71" i="12"/>
  <c r="Q71" i="12"/>
  <c r="P87" i="12"/>
  <c r="Q87" i="12" s="1"/>
  <c r="P103" i="12"/>
  <c r="Q103" i="12"/>
  <c r="P119" i="12"/>
  <c r="Q119" i="12" s="1"/>
  <c r="P135" i="12"/>
  <c r="Q135" i="12"/>
  <c r="P151" i="12"/>
  <c r="Q151" i="12" s="1"/>
  <c r="P167" i="12"/>
  <c r="Q167" i="12"/>
  <c r="P183" i="12"/>
  <c r="Q183" i="12" s="1"/>
  <c r="P199" i="12"/>
  <c r="Q199" i="12"/>
  <c r="P215" i="12"/>
  <c r="Q215" i="12" s="1"/>
  <c r="P231" i="12"/>
  <c r="Q231" i="12"/>
  <c r="P247" i="12"/>
  <c r="Q247" i="12" s="1"/>
  <c r="P263" i="12"/>
  <c r="Q263" i="12"/>
  <c r="P279" i="12"/>
  <c r="Q279" i="12" s="1"/>
  <c r="P295" i="12"/>
  <c r="Q295" i="12"/>
  <c r="P311" i="12"/>
  <c r="Q311" i="12" s="1"/>
  <c r="P327" i="12"/>
  <c r="Q327" i="12"/>
  <c r="P343" i="12"/>
  <c r="Q343" i="12" s="1"/>
  <c r="P22" i="12"/>
  <c r="Q22" i="12"/>
  <c r="P38" i="12"/>
  <c r="Q38" i="12" s="1"/>
  <c r="P54" i="12"/>
  <c r="Q54" i="12"/>
  <c r="P70" i="12"/>
  <c r="Q70" i="12" s="1"/>
  <c r="P102" i="12"/>
  <c r="Q102" i="12"/>
  <c r="P134" i="12"/>
  <c r="Q134" i="12" s="1"/>
  <c r="P166" i="12"/>
  <c r="Q166" i="12"/>
  <c r="P198" i="12"/>
  <c r="Q198" i="12" s="1"/>
  <c r="P230" i="12"/>
  <c r="Q230" i="12"/>
  <c r="P262" i="12"/>
  <c r="Q262" i="12" s="1"/>
  <c r="P294" i="12"/>
  <c r="Q294" i="12"/>
  <c r="P326" i="12"/>
  <c r="Q326" i="12" s="1"/>
  <c r="P12" i="12"/>
  <c r="Q12" i="12"/>
  <c r="P24" i="12"/>
  <c r="Q24" i="12" s="1"/>
  <c r="P40" i="12"/>
  <c r="Q40" i="12"/>
  <c r="P44" i="12"/>
  <c r="Q44" i="12" s="1"/>
  <c r="P56" i="12"/>
  <c r="Q56" i="12"/>
  <c r="P72" i="12"/>
  <c r="Q72" i="12" s="1"/>
  <c r="P76" i="12"/>
  <c r="Q76" i="12"/>
  <c r="P88" i="12"/>
  <c r="Q88" i="12" s="1"/>
  <c r="P96" i="12"/>
  <c r="Q96" i="12"/>
  <c r="P104" i="12"/>
  <c r="Q104" i="12" s="1"/>
  <c r="P108" i="12"/>
  <c r="Q108" i="12"/>
  <c r="P120" i="12"/>
  <c r="Q120" i="12" s="1"/>
  <c r="P128" i="12"/>
  <c r="Q128" i="12"/>
  <c r="P136" i="12"/>
  <c r="Q136" i="12" s="1"/>
  <c r="P140" i="12"/>
  <c r="Q140" i="12"/>
  <c r="P152" i="12"/>
  <c r="Q152" i="12" s="1"/>
  <c r="P160" i="12"/>
  <c r="Q160" i="12"/>
  <c r="P168" i="12"/>
  <c r="Q168" i="12" s="1"/>
  <c r="P172" i="12"/>
  <c r="Q172" i="12"/>
  <c r="P184" i="12"/>
  <c r="Q184" i="12" s="1"/>
  <c r="P192" i="12"/>
  <c r="Q192" i="12"/>
  <c r="P200" i="12"/>
  <c r="Q200" i="12" s="1"/>
  <c r="P204" i="12"/>
  <c r="Q204" i="12"/>
  <c r="P216" i="12"/>
  <c r="Q216" i="12" s="1"/>
  <c r="P224" i="12"/>
  <c r="Q224" i="12"/>
  <c r="P232" i="12"/>
  <c r="Q232" i="12" s="1"/>
  <c r="P236" i="12"/>
  <c r="Q236" i="12"/>
  <c r="P256" i="12"/>
  <c r="Q256" i="12" s="1"/>
  <c r="P272" i="12"/>
  <c r="Q272" i="12"/>
  <c r="P292" i="12"/>
  <c r="Q292" i="12" s="1"/>
  <c r="P300" i="12"/>
  <c r="Q300" i="12"/>
  <c r="P308" i="12"/>
  <c r="Q308" i="12" s="1"/>
  <c r="P324" i="12"/>
  <c r="Q324" i="12"/>
  <c r="P340" i="12"/>
  <c r="Q340" i="12" s="1"/>
  <c r="J17" i="12"/>
  <c r="AA25" i="1"/>
  <c r="AD25" i="1"/>
  <c r="M25" i="2" s="1"/>
  <c r="J25" i="12"/>
  <c r="J37" i="12"/>
  <c r="AA41" i="1"/>
  <c r="AD41" i="1" s="1"/>
  <c r="M41" i="2" s="1"/>
  <c r="J41" i="12"/>
  <c r="J53" i="12"/>
  <c r="AA57" i="1"/>
  <c r="AD57" i="1"/>
  <c r="M57" i="2"/>
  <c r="J57" i="12"/>
  <c r="J69" i="12"/>
  <c r="AA73" i="1"/>
  <c r="AD73" i="1"/>
  <c r="M73" i="2"/>
  <c r="J73" i="12"/>
  <c r="J85" i="12"/>
  <c r="AA89" i="1"/>
  <c r="AD89" i="1" s="1"/>
  <c r="M89" i="2" s="1"/>
  <c r="J89" i="12"/>
  <c r="J101" i="12"/>
  <c r="AA105" i="1"/>
  <c r="AD105" i="1" s="1"/>
  <c r="M105" i="2" s="1"/>
  <c r="J105" i="12"/>
  <c r="J117" i="12"/>
  <c r="AA121" i="1"/>
  <c r="AD121" i="1" s="1"/>
  <c r="M121" i="2" s="1"/>
  <c r="J121" i="12"/>
  <c r="J133" i="12"/>
  <c r="AA137" i="1"/>
  <c r="AD137" i="1"/>
  <c r="M137" i="2" s="1"/>
  <c r="J137" i="12"/>
  <c r="J149" i="12"/>
  <c r="AA153" i="1"/>
  <c r="AD153" i="1"/>
  <c r="M153" i="2" s="1"/>
  <c r="J153" i="12"/>
  <c r="J165" i="12"/>
  <c r="AA169" i="1"/>
  <c r="AD169" i="1" s="1"/>
  <c r="M169" i="2" s="1"/>
  <c r="J169" i="12"/>
  <c r="AA173" i="1"/>
  <c r="AD173" i="1" s="1"/>
  <c r="M173" i="2" s="1"/>
  <c r="Q173" i="2" s="1"/>
  <c r="J173" i="12"/>
  <c r="AA181" i="1"/>
  <c r="AD181" i="1" s="1"/>
  <c r="M181" i="2" s="1"/>
  <c r="J181" i="12"/>
  <c r="AA185" i="1"/>
  <c r="AD185" i="1"/>
  <c r="M185" i="2"/>
  <c r="J185" i="12"/>
  <c r="AA189" i="1"/>
  <c r="AD189" i="1" s="1"/>
  <c r="M189" i="2" s="1"/>
  <c r="J189" i="12"/>
  <c r="AA197" i="1"/>
  <c r="AD197" i="1"/>
  <c r="M197" i="2"/>
  <c r="J197" i="12"/>
  <c r="AA201" i="1"/>
  <c r="AD201" i="1" s="1"/>
  <c r="M201" i="2" s="1"/>
  <c r="J201" i="12"/>
  <c r="AA205" i="1"/>
  <c r="AD205" i="1"/>
  <c r="M205" i="2"/>
  <c r="J205" i="12"/>
  <c r="AA213" i="1"/>
  <c r="AD213" i="1" s="1"/>
  <c r="M213" i="2" s="1"/>
  <c r="J213" i="12"/>
  <c r="AA217" i="1"/>
  <c r="AD217" i="1"/>
  <c r="M217" i="2"/>
  <c r="J217" i="12"/>
  <c r="AA221" i="1"/>
  <c r="AD221" i="1" s="1"/>
  <c r="M221" i="2" s="1"/>
  <c r="J221" i="12"/>
  <c r="AA229" i="1"/>
  <c r="AD229" i="1"/>
  <c r="M229" i="2"/>
  <c r="J229" i="12"/>
  <c r="AA233" i="1"/>
  <c r="AD233" i="1" s="1"/>
  <c r="M233" i="2" s="1"/>
  <c r="J233" i="12"/>
  <c r="AA237" i="1"/>
  <c r="AD237" i="1"/>
  <c r="M237" i="2"/>
  <c r="J237" i="12"/>
  <c r="AA245" i="1"/>
  <c r="AD245" i="1" s="1"/>
  <c r="M245" i="2" s="1"/>
  <c r="J245" i="12"/>
  <c r="AA249" i="1"/>
  <c r="AD249" i="1"/>
  <c r="M249" i="2"/>
  <c r="J249" i="12"/>
  <c r="AA253" i="1"/>
  <c r="AD253" i="1" s="1"/>
  <c r="M253" i="2" s="1"/>
  <c r="J253" i="12"/>
  <c r="AA261" i="1"/>
  <c r="AD261" i="1"/>
  <c r="M261" i="2"/>
  <c r="J261" i="12"/>
  <c r="AA265" i="1"/>
  <c r="AD265" i="1" s="1"/>
  <c r="M265" i="2" s="1"/>
  <c r="J265" i="12"/>
  <c r="AA269" i="1"/>
  <c r="AD269" i="1"/>
  <c r="M269" i="2"/>
  <c r="J269" i="12"/>
  <c r="AA277" i="1"/>
  <c r="AD277" i="1" s="1"/>
  <c r="M277" i="2" s="1"/>
  <c r="J277" i="12"/>
  <c r="AA281" i="1"/>
  <c r="AD281" i="1"/>
  <c r="M281" i="2"/>
  <c r="J281" i="12"/>
  <c r="AA285" i="1"/>
  <c r="AD285" i="1" s="1"/>
  <c r="M285" i="2" s="1"/>
  <c r="J285" i="12"/>
  <c r="AA293" i="1"/>
  <c r="AD293" i="1"/>
  <c r="M293" i="2"/>
  <c r="J293" i="12"/>
  <c r="AA297" i="1"/>
  <c r="AD297" i="1" s="1"/>
  <c r="M297" i="2" s="1"/>
  <c r="J297" i="12"/>
  <c r="AA301" i="1"/>
  <c r="AD301" i="1"/>
  <c r="M301" i="2"/>
  <c r="J301" i="12"/>
  <c r="AA309" i="1"/>
  <c r="AD309" i="1" s="1"/>
  <c r="M309" i="2" s="1"/>
  <c r="J309" i="12"/>
  <c r="AA313" i="1"/>
  <c r="AD313" i="1"/>
  <c r="M313" i="2"/>
  <c r="G313" i="5" s="1"/>
  <c r="J313" i="12"/>
  <c r="AA317" i="1"/>
  <c r="AD317" i="1"/>
  <c r="M317" i="2"/>
  <c r="J317" i="12"/>
  <c r="AA325" i="1"/>
  <c r="AD325" i="1"/>
  <c r="M325" i="2" s="1"/>
  <c r="J325" i="12"/>
  <c r="AA329" i="1"/>
  <c r="AD329" i="1"/>
  <c r="M329" i="2"/>
  <c r="J329" i="12"/>
  <c r="AA333" i="1"/>
  <c r="AD333" i="1"/>
  <c r="M333" i="2" s="1"/>
  <c r="G333" i="5" s="1"/>
  <c r="J333" i="12"/>
  <c r="AA337" i="1"/>
  <c r="AD337" i="1"/>
  <c r="M337" i="2" s="1"/>
  <c r="J337" i="12"/>
  <c r="Z25" i="1"/>
  <c r="AC25" i="1" s="1"/>
  <c r="D25" i="2" s="1"/>
  <c r="E25" i="12"/>
  <c r="Z29" i="1"/>
  <c r="AC29" i="1"/>
  <c r="D29" i="2" s="1"/>
  <c r="E29" i="12"/>
  <c r="Z33" i="1"/>
  <c r="AC33" i="1" s="1"/>
  <c r="D33" i="2" s="1"/>
  <c r="E33" i="12"/>
  <c r="Z37" i="1"/>
  <c r="AC37" i="1"/>
  <c r="D37" i="2" s="1"/>
  <c r="E37" i="12"/>
  <c r="Z41" i="1"/>
  <c r="AC41" i="1" s="1"/>
  <c r="D41" i="2" s="1"/>
  <c r="E41" i="12"/>
  <c r="Z45" i="1"/>
  <c r="AC45" i="1"/>
  <c r="D45" i="2" s="1"/>
  <c r="E45" i="12"/>
  <c r="Z49" i="1"/>
  <c r="E49" i="12"/>
  <c r="Z53" i="1"/>
  <c r="AC53" i="1" s="1"/>
  <c r="D53" i="2" s="1"/>
  <c r="E53" i="12"/>
  <c r="Z57" i="1"/>
  <c r="AC57" i="1"/>
  <c r="D57" i="2"/>
  <c r="E57" i="12"/>
  <c r="Z61" i="1"/>
  <c r="AC61" i="1" s="1"/>
  <c r="D61" i="2" s="1"/>
  <c r="E61" i="12"/>
  <c r="Z65" i="1"/>
  <c r="E65" i="12"/>
  <c r="Z69" i="1"/>
  <c r="AC69" i="1" s="1"/>
  <c r="D69" i="2" s="1"/>
  <c r="E69" i="12"/>
  <c r="Z73" i="1"/>
  <c r="AC73" i="1"/>
  <c r="D73" i="2" s="1"/>
  <c r="E73" i="12"/>
  <c r="Z77" i="1"/>
  <c r="AC77" i="1" s="1"/>
  <c r="D77" i="2" s="1"/>
  <c r="E77" i="12"/>
  <c r="Z81" i="1"/>
  <c r="E81" i="12"/>
  <c r="Z85" i="1"/>
  <c r="AC85" i="1"/>
  <c r="D85" i="2"/>
  <c r="P85" i="2" s="1"/>
  <c r="E85" i="12"/>
  <c r="Z89" i="1"/>
  <c r="AC89" i="1"/>
  <c r="D89" i="2"/>
  <c r="P89" i="2" s="1"/>
  <c r="E89" i="12"/>
  <c r="Z93" i="1"/>
  <c r="AC93" i="1" s="1"/>
  <c r="D93" i="2" s="1"/>
  <c r="E93" i="12"/>
  <c r="Z97" i="1"/>
  <c r="AC97" i="1"/>
  <c r="D97" i="2" s="1"/>
  <c r="P97" i="2" s="1"/>
  <c r="E97" i="12"/>
  <c r="Z101" i="1"/>
  <c r="AC101" i="1" s="1"/>
  <c r="D101" i="2" s="1"/>
  <c r="E101" i="12"/>
  <c r="Z105" i="1"/>
  <c r="AC105" i="1" s="1"/>
  <c r="D105" i="2" s="1"/>
  <c r="P105" i="2" s="1"/>
  <c r="E105" i="12"/>
  <c r="Z109" i="1"/>
  <c r="AC109" i="1" s="1"/>
  <c r="D109" i="2" s="1"/>
  <c r="E109" i="12"/>
  <c r="Z113" i="1"/>
  <c r="E113" i="12"/>
  <c r="Z117" i="1"/>
  <c r="AC117" i="1" s="1"/>
  <c r="D117" i="2" s="1"/>
  <c r="E117" i="12"/>
  <c r="Z121" i="1"/>
  <c r="AC121" i="1"/>
  <c r="D121" i="2" s="1"/>
  <c r="E121" i="12"/>
  <c r="Z125" i="1"/>
  <c r="AC125" i="1" s="1"/>
  <c r="D125" i="2" s="1"/>
  <c r="E125" i="12"/>
  <c r="Z129" i="1"/>
  <c r="E129" i="12"/>
  <c r="Z133" i="1"/>
  <c r="AC133" i="1"/>
  <c r="D133" i="2" s="1"/>
  <c r="E133" i="12"/>
  <c r="Z137" i="1"/>
  <c r="AC137" i="1"/>
  <c r="D137" i="2"/>
  <c r="E137" i="12"/>
  <c r="Z141" i="1"/>
  <c r="E141" i="12"/>
  <c r="Z145" i="1"/>
  <c r="AC145" i="1" s="1"/>
  <c r="D145" i="2" s="1"/>
  <c r="P145" i="2" s="1"/>
  <c r="E145" i="12"/>
  <c r="Z149" i="1"/>
  <c r="AC149" i="1" s="1"/>
  <c r="D149" i="2" s="1"/>
  <c r="E149" i="12"/>
  <c r="Z153" i="1"/>
  <c r="AC153" i="1" s="1"/>
  <c r="D153" i="2" s="1"/>
  <c r="E153" i="12"/>
  <c r="Z157" i="1"/>
  <c r="AC157" i="1" s="1"/>
  <c r="D157" i="2" s="1"/>
  <c r="E157" i="12"/>
  <c r="Z161" i="1"/>
  <c r="AC161" i="1" s="1"/>
  <c r="D161" i="2" s="1"/>
  <c r="D161" i="5" s="1"/>
  <c r="E161" i="12"/>
  <c r="Z165" i="1"/>
  <c r="AC165" i="1"/>
  <c r="D165" i="2" s="1"/>
  <c r="E165" i="12"/>
  <c r="Z169" i="1"/>
  <c r="AC169" i="1"/>
  <c r="D169" i="2"/>
  <c r="E169" i="12"/>
  <c r="Z173" i="1"/>
  <c r="E173" i="12"/>
  <c r="Z177" i="1"/>
  <c r="AC177" i="1" s="1"/>
  <c r="D177" i="2" s="1"/>
  <c r="E177" i="12"/>
  <c r="Z181" i="1"/>
  <c r="AC181" i="1"/>
  <c r="D181" i="2" s="1"/>
  <c r="E181" i="12"/>
  <c r="Z185" i="1"/>
  <c r="AC185" i="1" s="1"/>
  <c r="D185" i="2" s="1"/>
  <c r="E185" i="12"/>
  <c r="Z189" i="1"/>
  <c r="E189" i="12"/>
  <c r="Z193" i="1"/>
  <c r="AC193" i="1"/>
  <c r="D193" i="2" s="1"/>
  <c r="E193" i="12"/>
  <c r="Z197" i="1"/>
  <c r="AC197" i="1"/>
  <c r="D197" i="2" s="1"/>
  <c r="E197" i="12"/>
  <c r="Z201" i="1"/>
  <c r="AC201" i="1"/>
  <c r="D201" i="2" s="1"/>
  <c r="E201" i="12"/>
  <c r="Z205" i="1"/>
  <c r="E205" i="12"/>
  <c r="Z209" i="1"/>
  <c r="AC209" i="1"/>
  <c r="D209" i="2" s="1"/>
  <c r="E209" i="12"/>
  <c r="Z213" i="1"/>
  <c r="AC213" i="1"/>
  <c r="D213" i="2" s="1"/>
  <c r="P213" i="2" s="1"/>
  <c r="E213" i="12"/>
  <c r="Z217" i="1"/>
  <c r="AC217" i="1" s="1"/>
  <c r="D217" i="2" s="1"/>
  <c r="P217" i="2" s="1"/>
  <c r="E217" i="12"/>
  <c r="Z221" i="1"/>
  <c r="AC221" i="1"/>
  <c r="D221" i="2" s="1"/>
  <c r="E221" i="12"/>
  <c r="Z225" i="1"/>
  <c r="AC225" i="1"/>
  <c r="D225" i="2" s="1"/>
  <c r="P225" i="2" s="1"/>
  <c r="E225" i="12"/>
  <c r="Z229" i="1"/>
  <c r="AC229" i="1" s="1"/>
  <c r="D229" i="2"/>
  <c r="E229" i="12"/>
  <c r="Z233" i="1"/>
  <c r="AC233" i="1" s="1"/>
  <c r="D233" i="2" s="1"/>
  <c r="P233" i="2" s="1"/>
  <c r="E233" i="12"/>
  <c r="Z237" i="1"/>
  <c r="E237" i="12"/>
  <c r="Z241" i="1"/>
  <c r="AC241" i="1"/>
  <c r="D241" i="2" s="1"/>
  <c r="E241" i="12"/>
  <c r="Z245" i="1"/>
  <c r="AC245" i="1"/>
  <c r="D245" i="2" s="1"/>
  <c r="E245" i="12"/>
  <c r="Z249" i="1"/>
  <c r="AC249" i="1"/>
  <c r="D249" i="2" s="1"/>
  <c r="E249" i="12"/>
  <c r="Z253" i="1"/>
  <c r="E253" i="12"/>
  <c r="Z257" i="1"/>
  <c r="AC257" i="1"/>
  <c r="D257" i="2" s="1"/>
  <c r="E257" i="12"/>
  <c r="Z261" i="1"/>
  <c r="AC261" i="1"/>
  <c r="D261" i="2" s="1"/>
  <c r="E261" i="12"/>
  <c r="Z265" i="1"/>
  <c r="AC265" i="1"/>
  <c r="D265" i="2" s="1"/>
  <c r="E265" i="12"/>
  <c r="Z269" i="1"/>
  <c r="E269" i="12"/>
  <c r="Z273" i="1"/>
  <c r="AC273" i="1"/>
  <c r="D273" i="2" s="1"/>
  <c r="E273" i="12"/>
  <c r="Z277" i="1"/>
  <c r="AC277" i="1"/>
  <c r="D277" i="2" s="1"/>
  <c r="E277" i="12"/>
  <c r="Z281" i="1"/>
  <c r="AC281" i="1"/>
  <c r="D281" i="2" s="1"/>
  <c r="E281" i="12"/>
  <c r="Z285" i="1"/>
  <c r="AC285" i="1"/>
  <c r="D285" i="2" s="1"/>
  <c r="E285" i="12"/>
  <c r="Z289" i="1"/>
  <c r="AC289" i="1"/>
  <c r="D289" i="2" s="1"/>
  <c r="E289" i="12"/>
  <c r="Z293" i="1"/>
  <c r="AC293" i="1"/>
  <c r="D293" i="2" s="1"/>
  <c r="P293" i="2"/>
  <c r="E293" i="12"/>
  <c r="Z297" i="1"/>
  <c r="AC297" i="1" s="1"/>
  <c r="D297" i="2"/>
  <c r="E297" i="12"/>
  <c r="Z301" i="1"/>
  <c r="E301" i="12"/>
  <c r="Z305" i="1"/>
  <c r="AC305" i="1" s="1"/>
  <c r="D305" i="2" s="1"/>
  <c r="E305" i="12"/>
  <c r="Z309" i="1"/>
  <c r="AC309" i="1" s="1"/>
  <c r="D309" i="2" s="1"/>
  <c r="E309" i="12"/>
  <c r="Z313" i="1"/>
  <c r="AC313" i="1" s="1"/>
  <c r="D313" i="2" s="1"/>
  <c r="E313" i="12"/>
  <c r="Z317" i="1"/>
  <c r="AC317" i="1" s="1"/>
  <c r="D317" i="2"/>
  <c r="E317" i="12"/>
  <c r="Z321" i="1"/>
  <c r="AC321" i="1" s="1"/>
  <c r="D321" i="2" s="1"/>
  <c r="E321" i="12"/>
  <c r="Z325" i="1"/>
  <c r="AC325" i="1" s="1"/>
  <c r="D325" i="2" s="1"/>
  <c r="P325" i="2" s="1"/>
  <c r="E325" i="12"/>
  <c r="Z329" i="1"/>
  <c r="AC329" i="1"/>
  <c r="D329" i="2" s="1"/>
  <c r="E329" i="12"/>
  <c r="Z333" i="1"/>
  <c r="AC333" i="1"/>
  <c r="D333" i="2" s="1"/>
  <c r="E333" i="12"/>
  <c r="Z337" i="1"/>
  <c r="AC337" i="1"/>
  <c r="D337" i="2" s="1"/>
  <c r="E337" i="12"/>
  <c r="Z341" i="1"/>
  <c r="AC341" i="1"/>
  <c r="D341" i="2" s="1"/>
  <c r="E341" i="12"/>
  <c r="E8" i="12"/>
  <c r="Z8" i="1"/>
  <c r="AA12" i="1"/>
  <c r="AD12" i="1"/>
  <c r="M12" i="2" s="1"/>
  <c r="J12" i="12"/>
  <c r="AA16" i="1"/>
  <c r="AD16" i="1"/>
  <c r="M16" i="2" s="1"/>
  <c r="J16" i="12"/>
  <c r="AA20" i="1"/>
  <c r="AD20" i="1"/>
  <c r="M20" i="2" s="1"/>
  <c r="G20" i="5" s="1"/>
  <c r="J20" i="12"/>
  <c r="AA24" i="1"/>
  <c r="AD24" i="1" s="1"/>
  <c r="M24" i="2" s="1"/>
  <c r="Q24" i="2" s="1"/>
  <c r="J24" i="12"/>
  <c r="AA28" i="1"/>
  <c r="AD28" i="1"/>
  <c r="M28" i="2" s="1"/>
  <c r="Q28" i="2" s="1"/>
  <c r="J28" i="12"/>
  <c r="AA32" i="1"/>
  <c r="AD32" i="1" s="1"/>
  <c r="M32" i="2" s="1"/>
  <c r="J32" i="12"/>
  <c r="AA36" i="1"/>
  <c r="AD36" i="1"/>
  <c r="M36" i="2" s="1"/>
  <c r="J36" i="12"/>
  <c r="AA40" i="1"/>
  <c r="AD40" i="1" s="1"/>
  <c r="M40" i="2"/>
  <c r="J40" i="12"/>
  <c r="AA44" i="1"/>
  <c r="AD44" i="1"/>
  <c r="M44" i="2"/>
  <c r="Q44" i="2" s="1"/>
  <c r="J44" i="12"/>
  <c r="AA48" i="1"/>
  <c r="AD48" i="1"/>
  <c r="M48" i="2" s="1"/>
  <c r="Q48" i="2"/>
  <c r="J48" i="12"/>
  <c r="AA52" i="1"/>
  <c r="AD52" i="1" s="1"/>
  <c r="M52" i="2" s="1"/>
  <c r="J52" i="12"/>
  <c r="AA56" i="1"/>
  <c r="AD56" i="1" s="1"/>
  <c r="M56" i="2" s="1"/>
  <c r="J56" i="12"/>
  <c r="AA60" i="1"/>
  <c r="AD60" i="1" s="1"/>
  <c r="M60" i="2" s="1"/>
  <c r="J60" i="12"/>
  <c r="AA64" i="1"/>
  <c r="AD64" i="1" s="1"/>
  <c r="M64" i="2" s="1"/>
  <c r="Q64" i="2" s="1"/>
  <c r="J64" i="12"/>
  <c r="AA68" i="1"/>
  <c r="AD68" i="1"/>
  <c r="M68" i="2" s="1"/>
  <c r="Q68" i="2" s="1"/>
  <c r="J68" i="12"/>
  <c r="AA72" i="1"/>
  <c r="AD72" i="1" s="1"/>
  <c r="M72" i="2" s="1"/>
  <c r="J72" i="12"/>
  <c r="AA76" i="1"/>
  <c r="AD76" i="1" s="1"/>
  <c r="M76" i="2"/>
  <c r="J76" i="12"/>
  <c r="AA80" i="1"/>
  <c r="AD80" i="1" s="1"/>
  <c r="M80" i="2" s="1"/>
  <c r="J80" i="12"/>
  <c r="AA84" i="1"/>
  <c r="AD84" i="1" s="1"/>
  <c r="M84" i="2" s="1"/>
  <c r="G84" i="5" s="1"/>
  <c r="J84" i="12"/>
  <c r="AA88" i="1"/>
  <c r="AD88" i="1"/>
  <c r="M88" i="2" s="1"/>
  <c r="Q88" i="2" s="1"/>
  <c r="J88" i="12"/>
  <c r="AA92" i="1"/>
  <c r="AD92" i="1" s="1"/>
  <c r="M92" i="2" s="1"/>
  <c r="Q92" i="2" s="1"/>
  <c r="J92" i="12"/>
  <c r="AA96" i="1"/>
  <c r="AD96" i="1"/>
  <c r="M96" i="2" s="1"/>
  <c r="J96" i="12"/>
  <c r="AA100" i="1"/>
  <c r="AD100" i="1"/>
  <c r="M100" i="2" s="1"/>
  <c r="Q100" i="2" s="1"/>
  <c r="J100" i="12"/>
  <c r="AA104" i="1"/>
  <c r="AD104" i="1" s="1"/>
  <c r="M104" i="2" s="1"/>
  <c r="J104" i="12"/>
  <c r="AA108" i="1"/>
  <c r="AD108" i="1"/>
  <c r="M108" i="2" s="1"/>
  <c r="Q108" i="2" s="1"/>
  <c r="J108" i="12"/>
  <c r="AA112" i="1"/>
  <c r="AD112" i="1"/>
  <c r="M112" i="2" s="1"/>
  <c r="Q112" i="2" s="1"/>
  <c r="J112" i="12"/>
  <c r="AA116" i="1"/>
  <c r="AD116" i="1" s="1"/>
  <c r="M116" i="2"/>
  <c r="J116" i="12"/>
  <c r="AA120" i="1"/>
  <c r="AD120" i="1" s="1"/>
  <c r="M120" i="2" s="1"/>
  <c r="J120" i="12"/>
  <c r="AA124" i="1"/>
  <c r="AD124" i="1" s="1"/>
  <c r="M124" i="2"/>
  <c r="J124" i="12"/>
  <c r="AA128" i="1"/>
  <c r="AD128" i="1" s="1"/>
  <c r="M128" i="2" s="1"/>
  <c r="Q128" i="2" s="1"/>
  <c r="J128" i="12"/>
  <c r="AA132" i="1"/>
  <c r="AD132" i="1"/>
  <c r="M132" i="2" s="1"/>
  <c r="Q132" i="2"/>
  <c r="J132" i="12"/>
  <c r="AA136" i="1"/>
  <c r="AD136" i="1" s="1"/>
  <c r="M136" i="2" s="1"/>
  <c r="J136" i="12"/>
  <c r="AA140" i="1"/>
  <c r="AD140" i="1" s="1"/>
  <c r="M140" i="2" s="1"/>
  <c r="J140" i="12"/>
  <c r="AA144" i="1"/>
  <c r="AD144" i="1"/>
  <c r="M144" i="2" s="1"/>
  <c r="J144" i="12"/>
  <c r="AA148" i="1"/>
  <c r="AD148" i="1" s="1"/>
  <c r="M148" i="2"/>
  <c r="G148" i="5" s="1"/>
  <c r="J148" i="12"/>
  <c r="AA152" i="1"/>
  <c r="AD152" i="1" s="1"/>
  <c r="M152" i="2" s="1"/>
  <c r="Q152" i="2" s="1"/>
  <c r="J152" i="12"/>
  <c r="AA156" i="1"/>
  <c r="AD156" i="1" s="1"/>
  <c r="M156" i="2" s="1"/>
  <c r="Q156" i="2" s="1"/>
  <c r="J156" i="12"/>
  <c r="AA160" i="1"/>
  <c r="AD160" i="1"/>
  <c r="M160" i="2" s="1"/>
  <c r="J160" i="12"/>
  <c r="AA164" i="1"/>
  <c r="AD164" i="1"/>
  <c r="M164" i="2" s="1"/>
  <c r="J164" i="12"/>
  <c r="AA168" i="1"/>
  <c r="AD168" i="1"/>
  <c r="M168" i="2" s="1"/>
  <c r="J168" i="12"/>
  <c r="AA172" i="1"/>
  <c r="AD172" i="1"/>
  <c r="M172" i="2"/>
  <c r="Q172" i="2" s="1"/>
  <c r="J172" i="12"/>
  <c r="AA176" i="1"/>
  <c r="AD176" i="1" s="1"/>
  <c r="M176" i="2"/>
  <c r="Q176" i="2" s="1"/>
  <c r="J176" i="12"/>
  <c r="AA180" i="1"/>
  <c r="AD180" i="1" s="1"/>
  <c r="M180" i="2" s="1"/>
  <c r="J180" i="12"/>
  <c r="AA184" i="1"/>
  <c r="AD184" i="1"/>
  <c r="M184" i="2" s="1"/>
  <c r="J184" i="12"/>
  <c r="AA188" i="1"/>
  <c r="AD188" i="1" s="1"/>
  <c r="M188" i="2" s="1"/>
  <c r="J188" i="12"/>
  <c r="AA192" i="1"/>
  <c r="AD192" i="1"/>
  <c r="M192" i="2" s="1"/>
  <c r="Q192" i="2" s="1"/>
  <c r="J192" i="12"/>
  <c r="AA196" i="1"/>
  <c r="AD196" i="1" s="1"/>
  <c r="M196" i="2"/>
  <c r="J196" i="12"/>
  <c r="AA200" i="1"/>
  <c r="AD200" i="1" s="1"/>
  <c r="M200" i="2" s="1"/>
  <c r="J200" i="12"/>
  <c r="AA204" i="1"/>
  <c r="AD204" i="1" s="1"/>
  <c r="M204" i="2"/>
  <c r="J204" i="12"/>
  <c r="AA208" i="1"/>
  <c r="AD208" i="1" s="1"/>
  <c r="M208" i="2" s="1"/>
  <c r="J208" i="12"/>
  <c r="AA212" i="1"/>
  <c r="AD212" i="1" s="1"/>
  <c r="M212" i="2"/>
  <c r="G212" i="5" s="1"/>
  <c r="J212" i="12"/>
  <c r="AA216" i="1"/>
  <c r="AD216" i="1"/>
  <c r="M216" i="2" s="1"/>
  <c r="Q216" i="2" s="1"/>
  <c r="J216" i="12"/>
  <c r="AA220" i="1"/>
  <c r="AD220" i="1" s="1"/>
  <c r="M220" i="2" s="1"/>
  <c r="Q220" i="2" s="1"/>
  <c r="J220" i="12"/>
  <c r="AA224" i="1"/>
  <c r="AD224" i="1" s="1"/>
  <c r="M224" i="2" s="1"/>
  <c r="J224" i="12"/>
  <c r="AA228" i="1"/>
  <c r="AD228" i="1"/>
  <c r="M228" i="2" s="1"/>
  <c r="Q228" i="2" s="1"/>
  <c r="J228" i="12"/>
  <c r="AA232" i="1"/>
  <c r="AD232" i="1" s="1"/>
  <c r="M232" i="2"/>
  <c r="J232" i="12"/>
  <c r="AA236" i="1"/>
  <c r="AD236" i="1" s="1"/>
  <c r="M236" i="2" s="1"/>
  <c r="Q236" i="2" s="1"/>
  <c r="J236" i="12"/>
  <c r="AA244" i="1"/>
  <c r="AD244" i="1"/>
  <c r="M244" i="2"/>
  <c r="Q244" i="2" s="1"/>
  <c r="J244" i="12"/>
  <c r="AA248" i="1"/>
  <c r="AD248" i="1"/>
  <c r="M248" i="2" s="1"/>
  <c r="J248" i="12"/>
  <c r="AA256" i="1"/>
  <c r="AD256" i="1"/>
  <c r="M256" i="2" s="1"/>
  <c r="J256" i="12"/>
  <c r="AA264" i="1"/>
  <c r="AD264" i="1"/>
  <c r="M264" i="2" s="1"/>
  <c r="J264" i="12"/>
  <c r="AA272" i="1"/>
  <c r="AD272" i="1"/>
  <c r="M272" i="2" s="1"/>
  <c r="Q272" i="2" s="1"/>
  <c r="J272" i="12"/>
  <c r="AA284" i="1"/>
  <c r="AD284" i="1"/>
  <c r="M284" i="2" s="1"/>
  <c r="Q284" i="2" s="1"/>
  <c r="J284" i="12"/>
  <c r="AA292" i="1"/>
  <c r="AD292" i="1" s="1"/>
  <c r="M292" i="2"/>
  <c r="Q292" i="2" s="1"/>
  <c r="J292" i="12"/>
  <c r="AA300" i="1"/>
  <c r="AD300" i="1"/>
  <c r="M300" i="2" s="1"/>
  <c r="J300" i="12"/>
  <c r="AA308" i="1"/>
  <c r="AD308" i="1"/>
  <c r="M308" i="2" s="1"/>
  <c r="Q308" i="2" s="1"/>
  <c r="J308" i="12"/>
  <c r="AA316" i="1"/>
  <c r="AD316" i="1" s="1"/>
  <c r="M316" i="2" s="1"/>
  <c r="G316" i="5" s="1"/>
  <c r="J316" i="12"/>
  <c r="AA324" i="1"/>
  <c r="AD324" i="1" s="1"/>
  <c r="M324" i="2" s="1"/>
  <c r="I324" i="12" s="1"/>
  <c r="J324" i="12"/>
  <c r="AA332" i="1"/>
  <c r="AD332" i="1" s="1"/>
  <c r="M332" i="2"/>
  <c r="Q332" i="2" s="1"/>
  <c r="J332" i="12"/>
  <c r="AA340" i="1"/>
  <c r="AD340" i="1"/>
  <c r="M340" i="2" s="1"/>
  <c r="Q340" i="2" s="1"/>
  <c r="J340" i="12"/>
  <c r="L40" i="10"/>
  <c r="Z11" i="1"/>
  <c r="AC11" i="1" s="1"/>
  <c r="D11" i="2" s="1"/>
  <c r="E11" i="12"/>
  <c r="Z15" i="1"/>
  <c r="AC15" i="1" s="1"/>
  <c r="D15" i="2" s="1"/>
  <c r="E15" i="12"/>
  <c r="Z19" i="1"/>
  <c r="AC19" i="1"/>
  <c r="D19" i="2" s="1"/>
  <c r="E19" i="12"/>
  <c r="E27" i="12"/>
  <c r="Z35" i="1"/>
  <c r="AC35" i="1"/>
  <c r="D35" i="2"/>
  <c r="Z43" i="1"/>
  <c r="AC43" i="1"/>
  <c r="D43" i="2" s="1"/>
  <c r="E47" i="12"/>
  <c r="E55" i="12"/>
  <c r="Z71" i="1"/>
  <c r="AC71" i="1"/>
  <c r="D71" i="2"/>
  <c r="P71" i="2" s="1"/>
  <c r="Z79" i="1"/>
  <c r="AC79" i="1" s="1"/>
  <c r="D79" i="2" s="1"/>
  <c r="D79" i="12" s="1"/>
  <c r="E83" i="12"/>
  <c r="E91" i="12"/>
  <c r="Z99" i="1"/>
  <c r="AC99" i="1" s="1"/>
  <c r="D99" i="2" s="1"/>
  <c r="E103" i="12"/>
  <c r="E107" i="12"/>
  <c r="Z115" i="1"/>
  <c r="AC115" i="1" s="1"/>
  <c r="D115" i="2"/>
  <c r="Z119" i="1"/>
  <c r="AC119" i="1"/>
  <c r="D119" i="2" s="1"/>
  <c r="P119" i="2" s="1"/>
  <c r="Z123" i="1"/>
  <c r="AC123" i="1"/>
  <c r="D123" i="2" s="1"/>
  <c r="Z127" i="1"/>
  <c r="AC127" i="1"/>
  <c r="D127" i="2" s="1"/>
  <c r="E127" i="12"/>
  <c r="E131" i="12"/>
  <c r="E135" i="12"/>
  <c r="E139" i="12"/>
  <c r="Z147" i="1"/>
  <c r="AC147" i="1"/>
  <c r="D147" i="2"/>
  <c r="Z151" i="1"/>
  <c r="AC151" i="1"/>
  <c r="D151" i="2" s="1"/>
  <c r="D151" i="12" s="1"/>
  <c r="G151" i="12" s="1"/>
  <c r="Z155" i="1"/>
  <c r="AC155" i="1"/>
  <c r="D155" i="2"/>
  <c r="Z159" i="1"/>
  <c r="AC159" i="1"/>
  <c r="D159" i="2" s="1"/>
  <c r="D159" i="5" s="1"/>
  <c r="F159" i="5" s="1"/>
  <c r="E159" i="12"/>
  <c r="E163" i="12"/>
  <c r="E167" i="12"/>
  <c r="E171" i="12"/>
  <c r="Z179" i="1"/>
  <c r="AC179" i="1" s="1"/>
  <c r="D179" i="2" s="1"/>
  <c r="Z183" i="1"/>
  <c r="AC183" i="1" s="1"/>
  <c r="D183" i="2"/>
  <c r="Z187" i="1"/>
  <c r="AC187" i="1"/>
  <c r="D187" i="2" s="1"/>
  <c r="Z191" i="1"/>
  <c r="AC191" i="1" s="1"/>
  <c r="D191" i="2" s="1"/>
  <c r="P191" i="2" s="1"/>
  <c r="E191" i="12"/>
  <c r="E195" i="12"/>
  <c r="E199" i="12"/>
  <c r="E203" i="12"/>
  <c r="Z211" i="1"/>
  <c r="AC211" i="1"/>
  <c r="D211" i="2" s="1"/>
  <c r="Z215" i="1"/>
  <c r="AC215" i="1"/>
  <c r="D215" i="2"/>
  <c r="D215" i="12" s="1"/>
  <c r="G215" i="12" s="1"/>
  <c r="Z219" i="1"/>
  <c r="AC219" i="1"/>
  <c r="D219" i="2" s="1"/>
  <c r="Z223" i="1"/>
  <c r="AC223" i="1"/>
  <c r="D223" i="2"/>
  <c r="E223" i="12"/>
  <c r="E227" i="12"/>
  <c r="E231" i="12"/>
  <c r="E235" i="12"/>
  <c r="Z243" i="1"/>
  <c r="AC243" i="1" s="1"/>
  <c r="D243" i="2"/>
  <c r="Z247" i="1"/>
  <c r="AC247" i="1"/>
  <c r="D247" i="2" s="1"/>
  <c r="Z251" i="1"/>
  <c r="AC251" i="1" s="1"/>
  <c r="D251" i="2" s="1"/>
  <c r="Z255" i="1"/>
  <c r="AC255" i="1"/>
  <c r="D255" i="2" s="1"/>
  <c r="E255" i="12"/>
  <c r="E259" i="12"/>
  <c r="E263" i="12"/>
  <c r="E267" i="12"/>
  <c r="Z275" i="1"/>
  <c r="AC275" i="1" s="1"/>
  <c r="D275" i="2" s="1"/>
  <c r="Z279" i="1"/>
  <c r="AC279" i="1" s="1"/>
  <c r="D279" i="2" s="1"/>
  <c r="Z283" i="1"/>
  <c r="AC283" i="1"/>
  <c r="D283" i="2" s="1"/>
  <c r="Z287" i="1"/>
  <c r="AC287" i="1"/>
  <c r="D287" i="2"/>
  <c r="E287" i="12"/>
  <c r="E291" i="12"/>
  <c r="E295" i="12"/>
  <c r="E299" i="12"/>
  <c r="Z307" i="1"/>
  <c r="AC307" i="1" s="1"/>
  <c r="D307" i="2"/>
  <c r="Z311" i="1"/>
  <c r="AC311" i="1"/>
  <c r="D311" i="2" s="1"/>
  <c r="Z315" i="1"/>
  <c r="AC315" i="1" s="1"/>
  <c r="D315" i="2" s="1"/>
  <c r="Z319" i="1"/>
  <c r="AC319" i="1"/>
  <c r="D319" i="2" s="1"/>
  <c r="E319" i="12"/>
  <c r="E323" i="12"/>
  <c r="E327" i="12"/>
  <c r="E331" i="12"/>
  <c r="Z339" i="1"/>
  <c r="AC339" i="1" s="1"/>
  <c r="D339" i="2" s="1"/>
  <c r="Z343" i="1"/>
  <c r="AC343" i="1"/>
  <c r="D343" i="2" s="1"/>
  <c r="Z10" i="1"/>
  <c r="AC10" i="1" s="1"/>
  <c r="D10" i="2" s="1"/>
  <c r="Z14" i="1"/>
  <c r="AC14" i="1"/>
  <c r="D14" i="2" s="1"/>
  <c r="E14" i="12"/>
  <c r="E18" i="12"/>
  <c r="E22" i="12"/>
  <c r="E26" i="12"/>
  <c r="Z34" i="1"/>
  <c r="AC34" i="1" s="1"/>
  <c r="D34" i="2" s="1"/>
  <c r="Z38" i="1"/>
  <c r="AC38" i="1"/>
  <c r="D38" i="2" s="1"/>
  <c r="Z42" i="1"/>
  <c r="AC42" i="1" s="1"/>
  <c r="D42" i="2" s="1"/>
  <c r="Z46" i="1"/>
  <c r="AC46" i="1"/>
  <c r="D46" i="2" s="1"/>
  <c r="E46" i="12"/>
  <c r="E50" i="12"/>
  <c r="E54" i="12"/>
  <c r="E58" i="12"/>
  <c r="Z66" i="1"/>
  <c r="AC66" i="1" s="1"/>
  <c r="D66" i="2" s="1"/>
  <c r="Z70" i="1"/>
  <c r="AC70" i="1"/>
  <c r="D70" i="2" s="1"/>
  <c r="Z74" i="1"/>
  <c r="AC74" i="1" s="1"/>
  <c r="D74" i="2" s="1"/>
  <c r="Z78" i="1"/>
  <c r="AC78" i="1"/>
  <c r="D78" i="2" s="1"/>
  <c r="E78" i="12"/>
  <c r="E82" i="12"/>
  <c r="E86" i="12"/>
  <c r="E90" i="12"/>
  <c r="Z98" i="1"/>
  <c r="AC98" i="1" s="1"/>
  <c r="D98" i="2" s="1"/>
  <c r="Z102" i="1"/>
  <c r="AC102" i="1"/>
  <c r="D102" i="2" s="1"/>
  <c r="Z106" i="1"/>
  <c r="AC106" i="1" s="1"/>
  <c r="D106" i="2" s="1"/>
  <c r="Z110" i="1"/>
  <c r="AC110" i="1"/>
  <c r="D110" i="2" s="1"/>
  <c r="E110" i="12"/>
  <c r="E114" i="12"/>
  <c r="E118" i="12"/>
  <c r="E122" i="12"/>
  <c r="Z130" i="1"/>
  <c r="AC130" i="1" s="1"/>
  <c r="D130" i="2" s="1"/>
  <c r="Z134" i="1"/>
  <c r="AC134" i="1"/>
  <c r="D134" i="2" s="1"/>
  <c r="Z138" i="1"/>
  <c r="AC138" i="1" s="1"/>
  <c r="D138" i="2" s="1"/>
  <c r="Z142" i="1"/>
  <c r="AC142" i="1"/>
  <c r="D142" i="2" s="1"/>
  <c r="E142" i="12"/>
  <c r="E146" i="12"/>
  <c r="E150" i="12"/>
  <c r="E154" i="12"/>
  <c r="Z162" i="1"/>
  <c r="AC162" i="1" s="1"/>
  <c r="D162" i="2" s="1"/>
  <c r="Z166" i="1"/>
  <c r="AC166" i="1"/>
  <c r="D166" i="2" s="1"/>
  <c r="P166" i="2" s="1"/>
  <c r="Z170" i="1"/>
  <c r="AC170" i="1"/>
  <c r="D170" i="2" s="1"/>
  <c r="Z174" i="1"/>
  <c r="AC174" i="1" s="1"/>
  <c r="D174" i="2" s="1"/>
  <c r="E174" i="12"/>
  <c r="E178" i="12"/>
  <c r="E182" i="12"/>
  <c r="E186" i="12"/>
  <c r="Z194" i="1"/>
  <c r="AC194" i="1"/>
  <c r="D194" i="2" s="1"/>
  <c r="Z198" i="1"/>
  <c r="AC198" i="1" s="1"/>
  <c r="D198" i="2" s="1"/>
  <c r="Z202" i="1"/>
  <c r="AC202" i="1"/>
  <c r="D202" i="2" s="1"/>
  <c r="Z206" i="1"/>
  <c r="AC206" i="1" s="1"/>
  <c r="D206" i="2" s="1"/>
  <c r="E206" i="12"/>
  <c r="E210" i="12"/>
  <c r="E214" i="12"/>
  <c r="E218" i="12"/>
  <c r="Z226" i="1"/>
  <c r="AC226" i="1"/>
  <c r="D226" i="2" s="1"/>
  <c r="Z230" i="1"/>
  <c r="AC230" i="1" s="1"/>
  <c r="D230" i="2" s="1"/>
  <c r="P230" i="2" s="1"/>
  <c r="Z234" i="1"/>
  <c r="AC234" i="1" s="1"/>
  <c r="D234" i="2" s="1"/>
  <c r="Z238" i="1"/>
  <c r="AC238" i="1"/>
  <c r="D238" i="2" s="1"/>
  <c r="E238" i="12"/>
  <c r="E242" i="12"/>
  <c r="E246" i="12"/>
  <c r="E250" i="12"/>
  <c r="Z258" i="1"/>
  <c r="AC258" i="1" s="1"/>
  <c r="D258" i="2" s="1"/>
  <c r="Z262" i="1"/>
  <c r="AC262" i="1"/>
  <c r="D262" i="2" s="1"/>
  <c r="Z266" i="1"/>
  <c r="AC266" i="1" s="1"/>
  <c r="D266" i="2" s="1"/>
  <c r="Z270" i="1"/>
  <c r="AC270" i="1"/>
  <c r="D270" i="2" s="1"/>
  <c r="E270" i="12"/>
  <c r="E274" i="12"/>
  <c r="E278" i="12"/>
  <c r="E282" i="12"/>
  <c r="Z290" i="1"/>
  <c r="AC290" i="1" s="1"/>
  <c r="D290" i="2" s="1"/>
  <c r="Z294" i="1"/>
  <c r="AC294" i="1"/>
  <c r="D294" i="2" s="1"/>
  <c r="Z298" i="1"/>
  <c r="AC298" i="1" s="1"/>
  <c r="D298" i="2" s="1"/>
  <c r="Z302" i="1"/>
  <c r="AC302" i="1"/>
  <c r="D302" i="2" s="1"/>
  <c r="P302" i="2" s="1"/>
  <c r="E302" i="12"/>
  <c r="E306" i="12"/>
  <c r="E310" i="12"/>
  <c r="E314" i="12"/>
  <c r="Z322" i="1"/>
  <c r="AC322" i="1"/>
  <c r="D322" i="2" s="1"/>
  <c r="Z326" i="1"/>
  <c r="AC326" i="1" s="1"/>
  <c r="D326" i="2" s="1"/>
  <c r="Z330" i="1"/>
  <c r="AC330" i="1"/>
  <c r="D330" i="2" s="1"/>
  <c r="Z334" i="1"/>
  <c r="AC334" i="1" s="1"/>
  <c r="D334" i="2" s="1"/>
  <c r="D334" i="5" s="1"/>
  <c r="F334" i="5" s="1"/>
  <c r="E334" i="12"/>
  <c r="E338" i="12"/>
  <c r="E342" i="12"/>
  <c r="Z240" i="1"/>
  <c r="AC240" i="1" s="1"/>
  <c r="D240" i="2" s="1"/>
  <c r="P240" i="2" s="1"/>
  <c r="E240" i="12"/>
  <c r="Z252" i="1"/>
  <c r="E252" i="12"/>
  <c r="Z260" i="1"/>
  <c r="AC260" i="1"/>
  <c r="D260" i="2" s="1"/>
  <c r="E260" i="12"/>
  <c r="Z268" i="1"/>
  <c r="AC268" i="1"/>
  <c r="D268" i="2" s="1"/>
  <c r="E268" i="12"/>
  <c r="Z276" i="1"/>
  <c r="AC276" i="1"/>
  <c r="D276" i="2" s="1"/>
  <c r="E276" i="12"/>
  <c r="Z280" i="1"/>
  <c r="AC280" i="1"/>
  <c r="D280" i="2" s="1"/>
  <c r="E280" i="12"/>
  <c r="Z288" i="1"/>
  <c r="AC288" i="1"/>
  <c r="D288" i="2" s="1"/>
  <c r="E288" i="12"/>
  <c r="E91" i="7" s="1"/>
  <c r="E97" i="7" s="1"/>
  <c r="Z296" i="1"/>
  <c r="AC296" i="1"/>
  <c r="D296" i="2" s="1"/>
  <c r="E296" i="12"/>
  <c r="Z304" i="1"/>
  <c r="AC304" i="1"/>
  <c r="D304" i="2" s="1"/>
  <c r="E304" i="12"/>
  <c r="Z312" i="1"/>
  <c r="AC312" i="1"/>
  <c r="D312" i="2" s="1"/>
  <c r="E312" i="12"/>
  <c r="Z320" i="1"/>
  <c r="AC320" i="1"/>
  <c r="D320" i="2" s="1"/>
  <c r="E320" i="12"/>
  <c r="Z328" i="1"/>
  <c r="AC328" i="1"/>
  <c r="D328" i="2" s="1"/>
  <c r="E328" i="12"/>
  <c r="Z336" i="1"/>
  <c r="AC336" i="1"/>
  <c r="D336" i="2" s="1"/>
  <c r="D336" i="12" s="1"/>
  <c r="E336" i="12"/>
  <c r="Z344" i="1"/>
  <c r="AC344" i="1" s="1"/>
  <c r="D344" i="2" s="1"/>
  <c r="E344" i="12"/>
  <c r="AA341" i="1"/>
  <c r="AD341" i="1" s="1"/>
  <c r="M341" i="2" s="1"/>
  <c r="J341" i="12"/>
  <c r="AA8" i="1"/>
  <c r="J8" i="12"/>
  <c r="Z12" i="1"/>
  <c r="AC12" i="1" s="1"/>
  <c r="D12" i="2" s="1"/>
  <c r="E12" i="12"/>
  <c r="Z16" i="1"/>
  <c r="AC16" i="1" s="1"/>
  <c r="D16" i="2" s="1"/>
  <c r="D16" i="5" s="1"/>
  <c r="F16" i="5" s="1"/>
  <c r="E16" i="12"/>
  <c r="E20" i="12"/>
  <c r="Z24" i="1"/>
  <c r="AC24" i="1"/>
  <c r="D24" i="2" s="1"/>
  <c r="O24" i="2" s="1"/>
  <c r="E24" i="12"/>
  <c r="Z28" i="1"/>
  <c r="AC28" i="1" s="1"/>
  <c r="D28" i="2" s="1"/>
  <c r="O28" i="2" s="1"/>
  <c r="E28" i="12"/>
  <c r="Z32" i="1"/>
  <c r="AC32" i="1"/>
  <c r="D32" i="2" s="1"/>
  <c r="E32" i="12"/>
  <c r="Z36" i="1"/>
  <c r="AC36" i="1"/>
  <c r="D36" i="2" s="1"/>
  <c r="E36" i="12"/>
  <c r="Z40" i="1"/>
  <c r="AC40" i="1"/>
  <c r="D40" i="2" s="1"/>
  <c r="O40" i="2" s="1"/>
  <c r="E40" i="12"/>
  <c r="Z44" i="1"/>
  <c r="AC44" i="1" s="1"/>
  <c r="D44" i="2" s="1"/>
  <c r="E44" i="12"/>
  <c r="Z48" i="1"/>
  <c r="AC48" i="1" s="1"/>
  <c r="D48" i="2" s="1"/>
  <c r="E48" i="12"/>
  <c r="Z56" i="1"/>
  <c r="AC56" i="1" s="1"/>
  <c r="D56" i="2" s="1"/>
  <c r="O56" i="2" s="1"/>
  <c r="E56" i="12"/>
  <c r="Z60" i="1"/>
  <c r="AC60" i="1"/>
  <c r="D60" i="2" s="1"/>
  <c r="P60" i="2" s="1"/>
  <c r="E60" i="12"/>
  <c r="Z64" i="1"/>
  <c r="AC64" i="1" s="1"/>
  <c r="D64" i="2" s="1"/>
  <c r="E64" i="12"/>
  <c r="E68" i="12"/>
  <c r="Z72" i="1"/>
  <c r="AC72" i="1"/>
  <c r="D72" i="2" s="1"/>
  <c r="E72" i="12"/>
  <c r="Z76" i="1"/>
  <c r="AC76" i="1"/>
  <c r="D76" i="2" s="1"/>
  <c r="E76" i="12"/>
  <c r="Z80" i="1"/>
  <c r="AC80" i="1"/>
  <c r="D80" i="2" s="1"/>
  <c r="E80" i="12"/>
  <c r="E84" i="12"/>
  <c r="Z88" i="1"/>
  <c r="AC88" i="1" s="1"/>
  <c r="D88" i="2"/>
  <c r="E88" i="12"/>
  <c r="Z92" i="1"/>
  <c r="AC92" i="1" s="1"/>
  <c r="D92" i="2" s="1"/>
  <c r="E92" i="12"/>
  <c r="Z96" i="1"/>
  <c r="AC96" i="1" s="1"/>
  <c r="D96" i="2"/>
  <c r="E96" i="12"/>
  <c r="Z100" i="1"/>
  <c r="AC100" i="1" s="1"/>
  <c r="D100" i="2" s="1"/>
  <c r="E100" i="12"/>
  <c r="Z104" i="1"/>
  <c r="AC104" i="1" s="1"/>
  <c r="D104" i="2"/>
  <c r="O104" i="2" s="1"/>
  <c r="E104" i="12"/>
  <c r="Z108" i="1"/>
  <c r="AC108" i="1"/>
  <c r="D108" i="2" s="1"/>
  <c r="P108" i="2" s="1"/>
  <c r="E108" i="12"/>
  <c r="Z112" i="1"/>
  <c r="AC112" i="1" s="1"/>
  <c r="D112" i="2" s="1"/>
  <c r="O112" i="2" s="1"/>
  <c r="E112" i="12"/>
  <c r="Z116" i="1"/>
  <c r="AC116" i="1"/>
  <c r="D116" i="2" s="1"/>
  <c r="E116" i="12"/>
  <c r="Z120" i="1"/>
  <c r="AC120" i="1"/>
  <c r="D120" i="2" s="1"/>
  <c r="E120" i="12"/>
  <c r="Z124" i="1"/>
  <c r="AC124" i="1"/>
  <c r="D124" i="2" s="1"/>
  <c r="E124" i="12"/>
  <c r="Z128" i="1"/>
  <c r="AC128" i="1"/>
  <c r="D128" i="2" s="1"/>
  <c r="E128" i="12"/>
  <c r="Z132" i="1"/>
  <c r="AC132" i="1"/>
  <c r="D132" i="2" s="1"/>
  <c r="D132" i="12"/>
  <c r="Z136" i="1"/>
  <c r="AC136" i="1"/>
  <c r="D136" i="2" s="1"/>
  <c r="O136" i="2"/>
  <c r="E136" i="12"/>
  <c r="Z140" i="1"/>
  <c r="AC140" i="1" s="1"/>
  <c r="D140" i="2"/>
  <c r="E140" i="12"/>
  <c r="Z144" i="1"/>
  <c r="AC144" i="1" s="1"/>
  <c r="D144" i="2"/>
  <c r="D144" i="5" s="1"/>
  <c r="F144" i="5" s="1"/>
  <c r="E144" i="12"/>
  <c r="Z148" i="1"/>
  <c r="AC148" i="1" s="1"/>
  <c r="D148" i="2" s="1"/>
  <c r="Z152" i="1"/>
  <c r="AC152" i="1"/>
  <c r="D152" i="2" s="1"/>
  <c r="O152" i="2"/>
  <c r="E152" i="12"/>
  <c r="Z156" i="1"/>
  <c r="AC156" i="1" s="1"/>
  <c r="D156" i="2"/>
  <c r="D156" i="5" s="1"/>
  <c r="F156" i="5" s="1"/>
  <c r="E156" i="12"/>
  <c r="Z160" i="1"/>
  <c r="AC160" i="1" s="1"/>
  <c r="D160" i="2" s="1"/>
  <c r="E160" i="12"/>
  <c r="Z168" i="1"/>
  <c r="AC168" i="1" s="1"/>
  <c r="D168" i="2" s="1"/>
  <c r="E168" i="12"/>
  <c r="Z172" i="1"/>
  <c r="AC172" i="1"/>
  <c r="D172" i="2" s="1"/>
  <c r="E172" i="12"/>
  <c r="Z176" i="1"/>
  <c r="AC176" i="1"/>
  <c r="D176" i="2" s="1"/>
  <c r="O176" i="2"/>
  <c r="E176" i="12"/>
  <c r="Z180" i="1"/>
  <c r="AC180" i="1" s="1"/>
  <c r="D180" i="2" s="1"/>
  <c r="D180" i="12" s="1"/>
  <c r="E180" i="12"/>
  <c r="Z184" i="1"/>
  <c r="AC184" i="1"/>
  <c r="D184" i="2" s="1"/>
  <c r="O184" i="2"/>
  <c r="E184" i="12"/>
  <c r="Z188" i="1"/>
  <c r="AC188" i="1" s="1"/>
  <c r="D188" i="2"/>
  <c r="E188" i="12"/>
  <c r="Z192" i="1"/>
  <c r="AC192" i="1" s="1"/>
  <c r="D192" i="2"/>
  <c r="E192" i="12"/>
  <c r="Z196" i="1"/>
  <c r="AC196" i="1" s="1"/>
  <c r="D196" i="2"/>
  <c r="Z200" i="1"/>
  <c r="AC200" i="1"/>
  <c r="D200" i="2" s="1"/>
  <c r="E200" i="12"/>
  <c r="Z204" i="1"/>
  <c r="AC204" i="1"/>
  <c r="D204" i="2" s="1"/>
  <c r="E204" i="12"/>
  <c r="Z208" i="1"/>
  <c r="AC208" i="1"/>
  <c r="D208" i="2" s="1"/>
  <c r="E208" i="12"/>
  <c r="Z212" i="1"/>
  <c r="AC212" i="1"/>
  <c r="D212" i="2" s="1"/>
  <c r="Z216" i="1"/>
  <c r="AC216" i="1" s="1"/>
  <c r="D216" i="2"/>
  <c r="E216" i="12"/>
  <c r="Z220" i="1"/>
  <c r="AC220" i="1" s="1"/>
  <c r="D220" i="2"/>
  <c r="E220" i="12"/>
  <c r="Z224" i="1"/>
  <c r="AC224" i="1" s="1"/>
  <c r="D224" i="2" s="1"/>
  <c r="D224" i="5" s="1"/>
  <c r="E224" i="12"/>
  <c r="Z232" i="1"/>
  <c r="AC232" i="1" s="1"/>
  <c r="D232" i="2" s="1"/>
  <c r="E232" i="12"/>
  <c r="Z236" i="1"/>
  <c r="AC236" i="1" s="1"/>
  <c r="D236" i="2" s="1"/>
  <c r="E236" i="12"/>
  <c r="Z244" i="1"/>
  <c r="AC244" i="1" s="1"/>
  <c r="D244" i="2" s="1"/>
  <c r="E244" i="12"/>
  <c r="Z256" i="1"/>
  <c r="AC256" i="1" s="1"/>
  <c r="D256" i="2"/>
  <c r="E256" i="12"/>
  <c r="Z264" i="1"/>
  <c r="AC264" i="1" s="1"/>
  <c r="D264" i="2"/>
  <c r="E264" i="12"/>
  <c r="Z272" i="1"/>
  <c r="AC272" i="1" s="1"/>
  <c r="D272" i="2"/>
  <c r="E272" i="12"/>
  <c r="E284" i="12"/>
  <c r="Z292" i="1"/>
  <c r="AC292" i="1"/>
  <c r="D292" i="2" s="1"/>
  <c r="E292" i="12"/>
  <c r="Z300" i="1"/>
  <c r="AC300" i="1"/>
  <c r="D300" i="2" s="1"/>
  <c r="E300" i="12"/>
  <c r="Z308" i="1"/>
  <c r="AC308" i="1"/>
  <c r="D308" i="2" s="1"/>
  <c r="E308" i="12"/>
  <c r="E316" i="12"/>
  <c r="Z324" i="1"/>
  <c r="AC324" i="1" s="1"/>
  <c r="D324" i="2" s="1"/>
  <c r="E324" i="12"/>
  <c r="Z332" i="1"/>
  <c r="AC332" i="1" s="1"/>
  <c r="D332" i="2" s="1"/>
  <c r="E332" i="12"/>
  <c r="Z340" i="1"/>
  <c r="AC340" i="1" s="1"/>
  <c r="D340" i="2" s="1"/>
  <c r="D340" i="5" s="1"/>
  <c r="E340" i="12"/>
  <c r="AA11" i="1"/>
  <c r="AD11" i="1" s="1"/>
  <c r="M11" i="2"/>
  <c r="I11" i="12" s="1"/>
  <c r="K11" i="12"/>
  <c r="J11" i="12"/>
  <c r="AA15" i="1"/>
  <c r="AD15" i="1" s="1"/>
  <c r="M15" i="2"/>
  <c r="G15" i="5" s="1"/>
  <c r="J15" i="12"/>
  <c r="AA19" i="1"/>
  <c r="AD19" i="1"/>
  <c r="M19" i="2" s="1"/>
  <c r="J19" i="12"/>
  <c r="AA23" i="1"/>
  <c r="AD23" i="1"/>
  <c r="M23" i="2" s="1"/>
  <c r="G23" i="5"/>
  <c r="J23" i="12"/>
  <c r="AA27" i="1"/>
  <c r="AD27" i="1" s="1"/>
  <c r="M27" i="2"/>
  <c r="I27" i="12" s="1"/>
  <c r="J27" i="12"/>
  <c r="AA31" i="1"/>
  <c r="AD31" i="1"/>
  <c r="M31" i="2" s="1"/>
  <c r="J31" i="12"/>
  <c r="AA35" i="1"/>
  <c r="AD35" i="1"/>
  <c r="M35" i="2" s="1"/>
  <c r="J35" i="12"/>
  <c r="AA39" i="1"/>
  <c r="AD39" i="1"/>
  <c r="M39" i="2" s="1"/>
  <c r="G39" i="5" s="1"/>
  <c r="J39" i="12"/>
  <c r="AA43" i="1"/>
  <c r="AD43" i="1" s="1"/>
  <c r="M43" i="2"/>
  <c r="J43" i="12"/>
  <c r="AA47" i="1"/>
  <c r="AD47" i="1" s="1"/>
  <c r="M47" i="2"/>
  <c r="J47" i="12"/>
  <c r="AA51" i="1"/>
  <c r="AD51" i="1" s="1"/>
  <c r="M51" i="2"/>
  <c r="G51" i="5" s="1"/>
  <c r="J51" i="12"/>
  <c r="AA55" i="1"/>
  <c r="AD55" i="1"/>
  <c r="M55" i="2" s="1"/>
  <c r="G55" i="5" s="1"/>
  <c r="J55" i="12"/>
  <c r="AA59" i="1"/>
  <c r="AD59" i="1" s="1"/>
  <c r="M59" i="2" s="1"/>
  <c r="J59" i="12"/>
  <c r="AA63" i="1"/>
  <c r="AD63" i="1" s="1"/>
  <c r="M63" i="2"/>
  <c r="J63" i="12"/>
  <c r="AA67" i="1"/>
  <c r="AD67" i="1" s="1"/>
  <c r="M67" i="2"/>
  <c r="J67" i="12"/>
  <c r="AA71" i="1"/>
  <c r="AD71" i="1" s="1"/>
  <c r="M71" i="2"/>
  <c r="J71" i="12"/>
  <c r="AA75" i="1"/>
  <c r="AD75" i="1" s="1"/>
  <c r="M75" i="2"/>
  <c r="I75" i="12" s="1"/>
  <c r="K75" i="12" s="1"/>
  <c r="J75" i="12"/>
  <c r="AA79" i="1"/>
  <c r="AD79" i="1" s="1"/>
  <c r="M79" i="2" s="1"/>
  <c r="J79" i="12"/>
  <c r="AA83" i="1"/>
  <c r="AD83" i="1"/>
  <c r="M83" i="2"/>
  <c r="I83" i="12" s="1"/>
  <c r="J83" i="12"/>
  <c r="AA87" i="1"/>
  <c r="AD87" i="1" s="1"/>
  <c r="M87" i="2" s="1"/>
  <c r="J87" i="12"/>
  <c r="AA91" i="1"/>
  <c r="AD91" i="1"/>
  <c r="M91" i="2"/>
  <c r="Q91" i="2" s="1"/>
  <c r="J91" i="12"/>
  <c r="AA95" i="1"/>
  <c r="AD95" i="1"/>
  <c r="M95" i="2" s="1"/>
  <c r="J95" i="12"/>
  <c r="AA99" i="1"/>
  <c r="AD99" i="1"/>
  <c r="M99" i="2"/>
  <c r="I99" i="12" s="1"/>
  <c r="L99" i="12" s="1"/>
  <c r="J99" i="12"/>
  <c r="AA103" i="1"/>
  <c r="AD103" i="1"/>
  <c r="M103" i="2"/>
  <c r="G103" i="5" s="1"/>
  <c r="J103" i="12"/>
  <c r="AA107" i="1"/>
  <c r="AD107" i="1" s="1"/>
  <c r="M107" i="2" s="1"/>
  <c r="J107" i="12"/>
  <c r="AA111" i="1"/>
  <c r="AD111" i="1"/>
  <c r="M111" i="2"/>
  <c r="G111" i="5" s="1"/>
  <c r="J111" i="12"/>
  <c r="AA115" i="1"/>
  <c r="AD115" i="1"/>
  <c r="M115" i="2" s="1"/>
  <c r="J115" i="12"/>
  <c r="AA119" i="1"/>
  <c r="AD119" i="1"/>
  <c r="M119" i="2"/>
  <c r="G119" i="5" s="1"/>
  <c r="J119" i="12"/>
  <c r="AA123" i="1"/>
  <c r="AD123" i="1" s="1"/>
  <c r="M123" i="2" s="1"/>
  <c r="G123" i="5" s="1"/>
  <c r="J123" i="12"/>
  <c r="AA127" i="1"/>
  <c r="AD127" i="1"/>
  <c r="M127" i="2" s="1"/>
  <c r="J127" i="12"/>
  <c r="AA131" i="1"/>
  <c r="AD131" i="1"/>
  <c r="M131" i="2" s="1"/>
  <c r="G131" i="5" s="1"/>
  <c r="J131" i="12"/>
  <c r="AA135" i="1"/>
  <c r="AD135" i="1" s="1"/>
  <c r="M135" i="2"/>
  <c r="J135" i="12"/>
  <c r="AA139" i="1"/>
  <c r="AD139" i="1"/>
  <c r="M139" i="2" s="1"/>
  <c r="G139" i="5" s="1"/>
  <c r="J139" i="12"/>
  <c r="AA143" i="1"/>
  <c r="AD143" i="1"/>
  <c r="M143" i="2" s="1"/>
  <c r="G143" i="5" s="1"/>
  <c r="J143" i="12"/>
  <c r="AA147" i="1"/>
  <c r="AD147" i="1" s="1"/>
  <c r="M147" i="2" s="1"/>
  <c r="I147" i="12" s="1"/>
  <c r="L147" i="12" s="1"/>
  <c r="J147" i="12"/>
  <c r="AA151" i="1"/>
  <c r="AD151" i="1" s="1"/>
  <c r="M151" i="2" s="1"/>
  <c r="Q151" i="2" s="1"/>
  <c r="J151" i="12"/>
  <c r="AA155" i="1"/>
  <c r="AD155" i="1" s="1"/>
  <c r="M155" i="2"/>
  <c r="J155" i="12"/>
  <c r="AA159" i="1"/>
  <c r="AD159" i="1"/>
  <c r="M159" i="2" s="1"/>
  <c r="Q159" i="2" s="1"/>
  <c r="J159" i="12"/>
  <c r="AA163" i="1"/>
  <c r="AD163" i="1" s="1"/>
  <c r="M163" i="2" s="1"/>
  <c r="Q163" i="2" s="1"/>
  <c r="J163" i="12"/>
  <c r="AA167" i="1"/>
  <c r="AD167" i="1"/>
  <c r="M167" i="2"/>
  <c r="J167" i="12"/>
  <c r="AA171" i="1"/>
  <c r="AD171" i="1"/>
  <c r="M171" i="2" s="1"/>
  <c r="Q171" i="2" s="1"/>
  <c r="J171" i="12"/>
  <c r="AA175" i="1"/>
  <c r="AD175" i="1"/>
  <c r="M175" i="2"/>
  <c r="J175" i="12"/>
  <c r="AA179" i="1"/>
  <c r="AD179" i="1" s="1"/>
  <c r="M179" i="2"/>
  <c r="I179" i="12" s="1"/>
  <c r="K179" i="12" s="1"/>
  <c r="J179" i="12"/>
  <c r="AA183" i="1"/>
  <c r="AD183" i="1" s="1"/>
  <c r="M183" i="2"/>
  <c r="G183" i="5" s="1"/>
  <c r="J183" i="12"/>
  <c r="AA187" i="1"/>
  <c r="AD187" i="1"/>
  <c r="M187" i="2" s="1"/>
  <c r="J187" i="12"/>
  <c r="AA191" i="1"/>
  <c r="AD191" i="1"/>
  <c r="M191" i="2" s="1"/>
  <c r="J191" i="12"/>
  <c r="AA195" i="1"/>
  <c r="AD195" i="1"/>
  <c r="M195" i="2"/>
  <c r="J195" i="12"/>
  <c r="AA199" i="1"/>
  <c r="AD199" i="1"/>
  <c r="M199" i="2" s="1"/>
  <c r="J199" i="12"/>
  <c r="AA203" i="1"/>
  <c r="AD203" i="1" s="1"/>
  <c r="M203" i="2" s="1"/>
  <c r="J203" i="12"/>
  <c r="AA207" i="1"/>
  <c r="AD207" i="1"/>
  <c r="M207" i="2" s="1"/>
  <c r="G207" i="5" s="1"/>
  <c r="J207" i="12"/>
  <c r="AA211" i="1"/>
  <c r="AD211" i="1" s="1"/>
  <c r="M211" i="2" s="1"/>
  <c r="J211" i="12"/>
  <c r="AA215" i="1"/>
  <c r="AD215" i="1" s="1"/>
  <c r="M215" i="2"/>
  <c r="J215" i="12"/>
  <c r="AA219" i="1"/>
  <c r="AD219" i="1"/>
  <c r="M219" i="2" s="1"/>
  <c r="J219" i="12"/>
  <c r="AA223" i="1"/>
  <c r="AD223" i="1" s="1"/>
  <c r="M223" i="2" s="1"/>
  <c r="Q223" i="2" s="1"/>
  <c r="J223" i="12"/>
  <c r="AA227" i="1"/>
  <c r="AD227" i="1"/>
  <c r="M227" i="2"/>
  <c r="I227" i="12" s="1"/>
  <c r="K227" i="12" s="1"/>
  <c r="J227" i="12"/>
  <c r="AA231" i="1"/>
  <c r="AD231" i="1" s="1"/>
  <c r="M231" i="2" s="1"/>
  <c r="J231" i="12"/>
  <c r="AA235" i="1"/>
  <c r="AD235" i="1" s="1"/>
  <c r="M235" i="2"/>
  <c r="J235" i="12"/>
  <c r="AA239" i="1"/>
  <c r="AD239" i="1"/>
  <c r="M239" i="2" s="1"/>
  <c r="J239" i="12"/>
  <c r="AA243" i="1"/>
  <c r="AD243" i="1" s="1"/>
  <c r="M243" i="2"/>
  <c r="I243" i="12" s="1"/>
  <c r="L243" i="12"/>
  <c r="J243" i="12"/>
  <c r="AA247" i="1"/>
  <c r="AD247" i="1"/>
  <c r="M247" i="2" s="1"/>
  <c r="J247" i="12"/>
  <c r="AA251" i="1"/>
  <c r="AD251" i="1" s="1"/>
  <c r="M251" i="2"/>
  <c r="Q251" i="2"/>
  <c r="J251" i="12"/>
  <c r="AA255" i="1"/>
  <c r="AD255" i="1"/>
  <c r="M255" i="2" s="1"/>
  <c r="Q255" i="2" s="1"/>
  <c r="J255" i="12"/>
  <c r="AA259" i="1"/>
  <c r="AD259" i="1"/>
  <c r="M259" i="2"/>
  <c r="J259" i="12"/>
  <c r="AA263" i="1"/>
  <c r="AD263" i="1"/>
  <c r="M263" i="2" s="1"/>
  <c r="J263" i="12"/>
  <c r="AA267" i="1"/>
  <c r="AD267" i="1"/>
  <c r="M267" i="2" s="1"/>
  <c r="J267" i="12"/>
  <c r="AA271" i="1"/>
  <c r="AD271" i="1"/>
  <c r="M271" i="2" s="1"/>
  <c r="J271" i="12"/>
  <c r="AA275" i="1"/>
  <c r="AD275" i="1" s="1"/>
  <c r="M275" i="2" s="1"/>
  <c r="Q275" i="2" s="1"/>
  <c r="J275" i="12"/>
  <c r="AA279" i="1"/>
  <c r="AD279" i="1" s="1"/>
  <c r="M279" i="2" s="1"/>
  <c r="G279" i="5" s="1"/>
  <c r="J279" i="12"/>
  <c r="AA283" i="1"/>
  <c r="AD283" i="1"/>
  <c r="M283" i="2"/>
  <c r="J283" i="12"/>
  <c r="AA287" i="1"/>
  <c r="AD287" i="1" s="1"/>
  <c r="M287" i="2" s="1"/>
  <c r="J287" i="12"/>
  <c r="AA291" i="1"/>
  <c r="AD291" i="1"/>
  <c r="M291" i="2" s="1"/>
  <c r="J291" i="12"/>
  <c r="AA295" i="1"/>
  <c r="AD295" i="1" s="1"/>
  <c r="M295" i="2" s="1"/>
  <c r="Q295" i="2" s="1"/>
  <c r="J295" i="12"/>
  <c r="AA299" i="1"/>
  <c r="AD299" i="1"/>
  <c r="M299" i="2" s="1"/>
  <c r="J299" i="12"/>
  <c r="AA303" i="1"/>
  <c r="AD303" i="1"/>
  <c r="M303" i="2" s="1"/>
  <c r="J303" i="12"/>
  <c r="AA307" i="1"/>
  <c r="AD307" i="1" s="1"/>
  <c r="M307" i="2" s="1"/>
  <c r="Q307" i="2" s="1"/>
  <c r="J307" i="12"/>
  <c r="AA311" i="1"/>
  <c r="AD311" i="1"/>
  <c r="M311" i="2" s="1"/>
  <c r="J311" i="12"/>
  <c r="AA315" i="1"/>
  <c r="AD315" i="1"/>
  <c r="M315" i="2" s="1"/>
  <c r="Q315" i="2" s="1"/>
  <c r="J315" i="12"/>
  <c r="AA319" i="1"/>
  <c r="AD319" i="1"/>
  <c r="M319" i="2" s="1"/>
  <c r="G319" i="5" s="1"/>
  <c r="J319" i="12"/>
  <c r="AA323" i="1"/>
  <c r="AD323" i="1" s="1"/>
  <c r="M323" i="2" s="1"/>
  <c r="J323" i="12"/>
  <c r="AA327" i="1"/>
  <c r="AD327" i="1" s="1"/>
  <c r="M327" i="2"/>
  <c r="O327" i="2" s="1"/>
  <c r="J327" i="12"/>
  <c r="AA331" i="1"/>
  <c r="AD331" i="1" s="1"/>
  <c r="M331" i="2" s="1"/>
  <c r="J331" i="12"/>
  <c r="AA335" i="1"/>
  <c r="AD335" i="1"/>
  <c r="M335" i="2" s="1"/>
  <c r="J335" i="12"/>
  <c r="AA339" i="1"/>
  <c r="AD339" i="1"/>
  <c r="M339" i="2" s="1"/>
  <c r="J339" i="12"/>
  <c r="AA343" i="1"/>
  <c r="AD343" i="1" s="1"/>
  <c r="M343" i="2" s="1"/>
  <c r="J343" i="12"/>
  <c r="AA10" i="1"/>
  <c r="AD10" i="1"/>
  <c r="M10" i="2" s="1"/>
  <c r="Q10" i="2" s="1"/>
  <c r="J10" i="12"/>
  <c r="AA14" i="1"/>
  <c r="AD14" i="1" s="1"/>
  <c r="M14" i="2" s="1"/>
  <c r="J14" i="12"/>
  <c r="AA18" i="1"/>
  <c r="AD18" i="1"/>
  <c r="M18" i="2" s="1"/>
  <c r="J18" i="12"/>
  <c r="AA22" i="1"/>
  <c r="AD22" i="1"/>
  <c r="M22" i="2" s="1"/>
  <c r="J22" i="12"/>
  <c r="AA26" i="1"/>
  <c r="AD26" i="1" s="1"/>
  <c r="M26" i="2" s="1"/>
  <c r="J26" i="12"/>
  <c r="AA30" i="1"/>
  <c r="AD30" i="1"/>
  <c r="M30" i="2"/>
  <c r="J30" i="12"/>
  <c r="AA34" i="1"/>
  <c r="AD34" i="1"/>
  <c r="M34" i="2" s="1"/>
  <c r="J34" i="12"/>
  <c r="AA38" i="1"/>
  <c r="AD38" i="1" s="1"/>
  <c r="M38" i="2" s="1"/>
  <c r="J38" i="12"/>
  <c r="AA42" i="1"/>
  <c r="AD42" i="1"/>
  <c r="M42" i="2"/>
  <c r="J42" i="12"/>
  <c r="AA46" i="1"/>
  <c r="AD46" i="1" s="1"/>
  <c r="M46" i="2" s="1"/>
  <c r="J46" i="12"/>
  <c r="AA50" i="1"/>
  <c r="AD50" i="1"/>
  <c r="M50" i="2"/>
  <c r="J50" i="12"/>
  <c r="AA54" i="1"/>
  <c r="AD54" i="1" s="1"/>
  <c r="M54" i="2" s="1"/>
  <c r="J54" i="12"/>
  <c r="AA58" i="1"/>
  <c r="AD58" i="1"/>
  <c r="M58" i="2"/>
  <c r="J58" i="12"/>
  <c r="AA62" i="1"/>
  <c r="AD62" i="1" s="1"/>
  <c r="M62" i="2" s="1"/>
  <c r="J62" i="12"/>
  <c r="AA66" i="1"/>
  <c r="AD66" i="1"/>
  <c r="M66" i="2"/>
  <c r="J66" i="12"/>
  <c r="AA70" i="1"/>
  <c r="AD70" i="1" s="1"/>
  <c r="M70" i="2" s="1"/>
  <c r="J70" i="12"/>
  <c r="AA74" i="1"/>
  <c r="AD74" i="1"/>
  <c r="M74" i="2"/>
  <c r="J74" i="12"/>
  <c r="AA78" i="1"/>
  <c r="AD78" i="1" s="1"/>
  <c r="M78" i="2" s="1"/>
  <c r="J78" i="12"/>
  <c r="AA82" i="1"/>
  <c r="AD82" i="1"/>
  <c r="M82" i="2"/>
  <c r="J82" i="12"/>
  <c r="AA86" i="1"/>
  <c r="AD86" i="1" s="1"/>
  <c r="M86" i="2" s="1"/>
  <c r="J86" i="12"/>
  <c r="AA90" i="1"/>
  <c r="AD90" i="1"/>
  <c r="M90" i="2"/>
  <c r="J90" i="12"/>
  <c r="AA94" i="1"/>
  <c r="AD94" i="1" s="1"/>
  <c r="M94" i="2" s="1"/>
  <c r="J94" i="12"/>
  <c r="AA98" i="1"/>
  <c r="AD98" i="1" s="1"/>
  <c r="M98" i="2" s="1"/>
  <c r="J98" i="12"/>
  <c r="AA102" i="1"/>
  <c r="AD102" i="1"/>
  <c r="M102" i="2" s="1"/>
  <c r="O102" i="2" s="1"/>
  <c r="J102" i="12"/>
  <c r="AA106" i="1"/>
  <c r="AD106" i="1" s="1"/>
  <c r="M106" i="2" s="1"/>
  <c r="J106" i="12"/>
  <c r="AA110" i="1"/>
  <c r="AD110" i="1"/>
  <c r="M110" i="2" s="1"/>
  <c r="G110" i="5" s="1"/>
  <c r="J110" i="12"/>
  <c r="AA114" i="1"/>
  <c r="AD114" i="1" s="1"/>
  <c r="M114" i="2" s="1"/>
  <c r="J114" i="12"/>
  <c r="AA118" i="1"/>
  <c r="AD118" i="1"/>
  <c r="M118" i="2" s="1"/>
  <c r="O118" i="2" s="1"/>
  <c r="J118" i="12"/>
  <c r="AA122" i="1"/>
  <c r="AD122" i="1"/>
  <c r="M122" i="2"/>
  <c r="J122" i="12"/>
  <c r="AA126" i="1"/>
  <c r="AD126" i="1" s="1"/>
  <c r="M126" i="2" s="1"/>
  <c r="J126" i="12"/>
  <c r="AA130" i="1"/>
  <c r="AD130" i="1"/>
  <c r="M130" i="2"/>
  <c r="J130" i="12"/>
  <c r="AA134" i="1"/>
  <c r="AD134" i="1" s="1"/>
  <c r="M134" i="2" s="1"/>
  <c r="I134" i="12" s="1"/>
  <c r="J134" i="12"/>
  <c r="AA138" i="1"/>
  <c r="AD138" i="1"/>
  <c r="M138" i="2"/>
  <c r="J138" i="12"/>
  <c r="AA142" i="1"/>
  <c r="AD142" i="1" s="1"/>
  <c r="M142" i="2" s="1"/>
  <c r="J142" i="12"/>
  <c r="AA146" i="1"/>
  <c r="AD146" i="1"/>
  <c r="M146" i="2"/>
  <c r="J146" i="12"/>
  <c r="AA150" i="1"/>
  <c r="AD150" i="1" s="1"/>
  <c r="M150" i="2" s="1"/>
  <c r="J150" i="12"/>
  <c r="AA154" i="1"/>
  <c r="AD154" i="1"/>
  <c r="M154" i="2"/>
  <c r="J154" i="12"/>
  <c r="AA158" i="1"/>
  <c r="AD158" i="1" s="1"/>
  <c r="M158" i="2" s="1"/>
  <c r="J158" i="12"/>
  <c r="AA162" i="1"/>
  <c r="AD162" i="1"/>
  <c r="M162" i="2"/>
  <c r="J162" i="12"/>
  <c r="AA166" i="1"/>
  <c r="AD166" i="1" s="1"/>
  <c r="M166" i="2" s="1"/>
  <c r="Q166" i="2" s="1"/>
  <c r="J166" i="12"/>
  <c r="AA170" i="1"/>
  <c r="AD170" i="1"/>
  <c r="M170" i="2"/>
  <c r="G170" i="5" s="1"/>
  <c r="J170" i="12"/>
  <c r="AA174" i="1"/>
  <c r="AD174" i="1"/>
  <c r="M174" i="2"/>
  <c r="J174" i="12"/>
  <c r="AA178" i="1"/>
  <c r="AD178" i="1"/>
  <c r="M178" i="2" s="1"/>
  <c r="J178" i="12"/>
  <c r="AA182" i="1"/>
  <c r="AD182" i="1"/>
  <c r="M182" i="2"/>
  <c r="J182" i="12"/>
  <c r="AA186" i="1"/>
  <c r="AD186" i="1"/>
  <c r="M186" i="2" s="1"/>
  <c r="J186" i="12"/>
  <c r="AA190" i="1"/>
  <c r="AD190" i="1"/>
  <c r="M190" i="2"/>
  <c r="J190" i="12"/>
  <c r="AA194" i="1"/>
  <c r="AD194" i="1"/>
  <c r="M194" i="2" s="1"/>
  <c r="J194" i="12"/>
  <c r="AA198" i="1"/>
  <c r="AD198" i="1"/>
  <c r="M198" i="2"/>
  <c r="J198" i="12"/>
  <c r="AA202" i="1"/>
  <c r="AD202" i="1"/>
  <c r="M202" i="2" s="1"/>
  <c r="Q202" i="2" s="1"/>
  <c r="J202" i="12"/>
  <c r="AA206" i="1"/>
  <c r="AD206" i="1"/>
  <c r="M206" i="2"/>
  <c r="J206" i="12"/>
  <c r="AA210" i="1"/>
  <c r="AD210" i="1"/>
  <c r="M210" i="2" s="1"/>
  <c r="J210" i="12"/>
  <c r="AA214" i="1"/>
  <c r="AD214" i="1"/>
  <c r="M214" i="2"/>
  <c r="J214" i="12"/>
  <c r="AA218" i="1"/>
  <c r="AD218" i="1"/>
  <c r="M218" i="2" s="1"/>
  <c r="J218" i="12"/>
  <c r="AA222" i="1"/>
  <c r="AD222" i="1"/>
  <c r="M222" i="2"/>
  <c r="J222" i="12"/>
  <c r="AA226" i="1"/>
  <c r="AD226" i="1"/>
  <c r="M226" i="2" s="1"/>
  <c r="J226" i="12"/>
  <c r="AA230" i="1"/>
  <c r="AD230" i="1"/>
  <c r="M230" i="2"/>
  <c r="J230" i="12"/>
  <c r="AA234" i="1"/>
  <c r="AD234" i="1"/>
  <c r="M234" i="2" s="1"/>
  <c r="Q234" i="2" s="1"/>
  <c r="J234" i="12"/>
  <c r="AA238" i="1"/>
  <c r="AD238" i="1"/>
  <c r="M238" i="2" s="1"/>
  <c r="J238" i="12"/>
  <c r="AA242" i="1"/>
  <c r="AD242" i="1" s="1"/>
  <c r="M242" i="2" s="1"/>
  <c r="J242" i="12"/>
  <c r="AA246" i="1"/>
  <c r="AD246" i="1"/>
  <c r="M246" i="2" s="1"/>
  <c r="O246" i="2" s="1"/>
  <c r="J246" i="12"/>
  <c r="AA250" i="1"/>
  <c r="AD250" i="1"/>
  <c r="M250" i="2" s="1"/>
  <c r="J250" i="12"/>
  <c r="AA254" i="1"/>
  <c r="AD254" i="1" s="1"/>
  <c r="M254" i="2" s="1"/>
  <c r="I254" i="12" s="1"/>
  <c r="J254" i="12"/>
  <c r="AA258" i="1"/>
  <c r="AD258" i="1" s="1"/>
  <c r="M258" i="2" s="1"/>
  <c r="G258" i="5" s="1"/>
  <c r="J258" i="12"/>
  <c r="AA262" i="1"/>
  <c r="AD262" i="1"/>
  <c r="M262" i="2" s="1"/>
  <c r="J262" i="12"/>
  <c r="AA266" i="1"/>
  <c r="AD266" i="1"/>
  <c r="M266" i="2"/>
  <c r="G266" i="5" s="1"/>
  <c r="J266" i="12"/>
  <c r="AA270" i="1"/>
  <c r="AD270" i="1" s="1"/>
  <c r="M270" i="2" s="1"/>
  <c r="J270" i="12"/>
  <c r="AA274" i="1"/>
  <c r="AD274" i="1"/>
  <c r="M274" i="2" s="1"/>
  <c r="J274" i="12"/>
  <c r="AA278" i="1"/>
  <c r="AD278" i="1" s="1"/>
  <c r="M278" i="2" s="1"/>
  <c r="O278" i="2" s="1"/>
  <c r="J278" i="12"/>
  <c r="AA282" i="1"/>
  <c r="AD282" i="1" s="1"/>
  <c r="M282" i="2" s="1"/>
  <c r="J282" i="12"/>
  <c r="AA286" i="1"/>
  <c r="AD286" i="1"/>
  <c r="M286" i="2" s="1"/>
  <c r="J286" i="12"/>
  <c r="AA290" i="1"/>
  <c r="AD290" i="1" s="1"/>
  <c r="M290" i="2" s="1"/>
  <c r="J290" i="12"/>
  <c r="AA294" i="1"/>
  <c r="AD294" i="1"/>
  <c r="M294" i="2" s="1"/>
  <c r="I294" i="12" s="1"/>
  <c r="J294" i="12"/>
  <c r="AA298" i="1"/>
  <c r="AD298" i="1"/>
  <c r="M298" i="2"/>
  <c r="J298" i="12"/>
  <c r="AA302" i="1"/>
  <c r="AD302" i="1" s="1"/>
  <c r="M302" i="2" s="1"/>
  <c r="Q302" i="2" s="1"/>
  <c r="J302" i="12"/>
  <c r="AA306" i="1"/>
  <c r="AD306" i="1"/>
  <c r="M306" i="2" s="1"/>
  <c r="I306" i="12" s="1"/>
  <c r="K306" i="12" s="1"/>
  <c r="J306" i="12"/>
  <c r="AA310" i="1"/>
  <c r="AD310" i="1" s="1"/>
  <c r="M310" i="2" s="1"/>
  <c r="G310" i="5" s="1"/>
  <c r="J310" i="12"/>
  <c r="AA314" i="1"/>
  <c r="AD314" i="1" s="1"/>
  <c r="M314" i="2" s="1"/>
  <c r="J314" i="12"/>
  <c r="AA318" i="1"/>
  <c r="AD318" i="1"/>
  <c r="M318" i="2"/>
  <c r="Q318" i="2" s="1"/>
  <c r="J318" i="12"/>
  <c r="AA322" i="1"/>
  <c r="AD322" i="1"/>
  <c r="M322" i="2"/>
  <c r="J322" i="12"/>
  <c r="AA326" i="1"/>
  <c r="AD326" i="1"/>
  <c r="M326" i="2" s="1"/>
  <c r="Q326" i="2" s="1"/>
  <c r="J326" i="12"/>
  <c r="AA330" i="1"/>
  <c r="AD330" i="1"/>
  <c r="M330" i="2" s="1"/>
  <c r="J330" i="12"/>
  <c r="AA334" i="1"/>
  <c r="AD334" i="1" s="1"/>
  <c r="M334" i="2" s="1"/>
  <c r="Q334" i="2" s="1"/>
  <c r="J334" i="12"/>
  <c r="AA338" i="1"/>
  <c r="AD338" i="1" s="1"/>
  <c r="M338" i="2" s="1"/>
  <c r="Q338" i="2" s="1"/>
  <c r="J338" i="12"/>
  <c r="AA342" i="1"/>
  <c r="AD342" i="1" s="1"/>
  <c r="M342" i="2" s="1"/>
  <c r="G342" i="5" s="1"/>
  <c r="J342" i="12"/>
  <c r="AA240" i="1"/>
  <c r="AD240" i="1"/>
  <c r="M240" i="2" s="1"/>
  <c r="J240" i="12"/>
  <c r="J252" i="12"/>
  <c r="AA260" i="1"/>
  <c r="AD260" i="1"/>
  <c r="M260" i="2" s="1"/>
  <c r="J260" i="12"/>
  <c r="AA268" i="1"/>
  <c r="AD268" i="1" s="1"/>
  <c r="M268" i="2" s="1"/>
  <c r="J268" i="12"/>
  <c r="AA276" i="1"/>
  <c r="AD276" i="1"/>
  <c r="M276" i="2" s="1"/>
  <c r="J276" i="12"/>
  <c r="AA280" i="1"/>
  <c r="AD280" i="1" s="1"/>
  <c r="M280" i="2" s="1"/>
  <c r="Q280" i="2" s="1"/>
  <c r="AA288" i="1"/>
  <c r="AD288" i="1"/>
  <c r="M288" i="2"/>
  <c r="G288" i="5" s="1"/>
  <c r="J288" i="12"/>
  <c r="AA296" i="1"/>
  <c r="AD296" i="1" s="1"/>
  <c r="M296" i="2" s="1"/>
  <c r="Q296" i="2" s="1"/>
  <c r="J296" i="12"/>
  <c r="AA304" i="1"/>
  <c r="AD304" i="1" s="1"/>
  <c r="M304" i="2" s="1"/>
  <c r="J304" i="12"/>
  <c r="AA312" i="1"/>
  <c r="AD312" i="1"/>
  <c r="M312" i="2" s="1"/>
  <c r="J312" i="12"/>
  <c r="AA320" i="1"/>
  <c r="AD320" i="1" s="1"/>
  <c r="M320" i="2" s="1"/>
  <c r="J320" i="12"/>
  <c r="AA328" i="1"/>
  <c r="AD328" i="1"/>
  <c r="M328" i="2" s="1"/>
  <c r="I328" i="12" s="1"/>
  <c r="J328" i="12"/>
  <c r="AA336" i="1"/>
  <c r="AD336" i="1"/>
  <c r="M336" i="2"/>
  <c r="J336" i="12"/>
  <c r="AA344" i="1"/>
  <c r="AD344" i="1" s="1"/>
  <c r="M344" i="2" s="1"/>
  <c r="Q344" i="2" s="1"/>
  <c r="J344" i="12"/>
  <c r="D278" i="5"/>
  <c r="F278" i="5"/>
  <c r="P278" i="2"/>
  <c r="D246" i="12"/>
  <c r="D214" i="5"/>
  <c r="F214" i="5"/>
  <c r="D214" i="12"/>
  <c r="P150" i="2"/>
  <c r="D118" i="12"/>
  <c r="D86" i="12"/>
  <c r="G86" i="12" s="1"/>
  <c r="D54" i="12"/>
  <c r="G54" i="12" s="1"/>
  <c r="D135" i="12"/>
  <c r="F135" i="12"/>
  <c r="D103" i="5"/>
  <c r="F103" i="5"/>
  <c r="P103" i="2"/>
  <c r="P55" i="2"/>
  <c r="D23" i="5"/>
  <c r="F23" i="5" s="1"/>
  <c r="D23" i="12"/>
  <c r="Q316" i="2"/>
  <c r="I308" i="12"/>
  <c r="G284" i="5"/>
  <c r="Q264" i="2"/>
  <c r="G244" i="5"/>
  <c r="G216" i="5"/>
  <c r="Q212" i="2"/>
  <c r="Q204" i="2"/>
  <c r="I196" i="12"/>
  <c r="L196" i="12" s="1"/>
  <c r="Q188" i="2"/>
  <c r="G184" i="5"/>
  <c r="Q184" i="2"/>
  <c r="I184" i="12"/>
  <c r="L184" i="12" s="1"/>
  <c r="G180" i="5"/>
  <c r="Q180" i="2"/>
  <c r="I180" i="12"/>
  <c r="G176" i="5"/>
  <c r="I176" i="12"/>
  <c r="L176" i="12" s="1"/>
  <c r="Q168" i="2"/>
  <c r="G152" i="5"/>
  <c r="I152" i="12"/>
  <c r="L152" i="12"/>
  <c r="Q148" i="2"/>
  <c r="Q136" i="2"/>
  <c r="G132" i="5"/>
  <c r="I132" i="12"/>
  <c r="Q124" i="2"/>
  <c r="G116" i="5"/>
  <c r="Q116" i="2"/>
  <c r="I116" i="12"/>
  <c r="L116" i="12" s="1"/>
  <c r="G112" i="5"/>
  <c r="I112" i="12"/>
  <c r="L112" i="12"/>
  <c r="Q104" i="2"/>
  <c r="I100" i="12"/>
  <c r="K100" i="12" s="1"/>
  <c r="G88" i="5"/>
  <c r="I88" i="12"/>
  <c r="K88" i="12" s="1"/>
  <c r="Q84" i="2"/>
  <c r="Q76" i="2"/>
  <c r="Q72" i="2"/>
  <c r="G68" i="5"/>
  <c r="I68" i="12"/>
  <c r="K68" i="12"/>
  <c r="Q60" i="2"/>
  <c r="G56" i="5"/>
  <c r="Q56" i="2"/>
  <c r="I56" i="12"/>
  <c r="K56" i="12" s="1"/>
  <c r="G52" i="5"/>
  <c r="Q52" i="2"/>
  <c r="I52" i="12"/>
  <c r="L52" i="12"/>
  <c r="G48" i="5"/>
  <c r="I48" i="12"/>
  <c r="K48" i="12"/>
  <c r="Q40" i="2"/>
  <c r="G24" i="5"/>
  <c r="I24" i="12"/>
  <c r="Q20" i="2"/>
  <c r="Q12" i="2"/>
  <c r="AC8" i="1"/>
  <c r="D8" i="2"/>
  <c r="Q329" i="2"/>
  <c r="G329" i="5"/>
  <c r="I329" i="12"/>
  <c r="L329" i="12" s="1"/>
  <c r="Q325" i="2"/>
  <c r="G325" i="5"/>
  <c r="I325" i="12"/>
  <c r="K325" i="12"/>
  <c r="G317" i="5"/>
  <c r="Q313" i="2"/>
  <c r="I313" i="12"/>
  <c r="L313" i="12" s="1"/>
  <c r="G309" i="5"/>
  <c r="G301" i="5"/>
  <c r="Q297" i="2"/>
  <c r="G297" i="5"/>
  <c r="I297" i="12"/>
  <c r="Q293" i="2"/>
  <c r="G293" i="5"/>
  <c r="I293" i="12"/>
  <c r="L293" i="12"/>
  <c r="G285" i="5"/>
  <c r="G277" i="5"/>
  <c r="G269" i="5"/>
  <c r="Q265" i="2"/>
  <c r="G265" i="5"/>
  <c r="I265" i="12"/>
  <c r="Q253" i="2"/>
  <c r="G249" i="5"/>
  <c r="I249" i="12"/>
  <c r="L249" i="12" s="1"/>
  <c r="Q245" i="2"/>
  <c r="G233" i="5"/>
  <c r="Q233" i="2"/>
  <c r="I233" i="12"/>
  <c r="G229" i="5"/>
  <c r="Q229" i="2"/>
  <c r="I229" i="12"/>
  <c r="L229" i="12" s="1"/>
  <c r="Q221" i="2"/>
  <c r="Q213" i="2"/>
  <c r="Q205" i="2"/>
  <c r="G201" i="5"/>
  <c r="Q201" i="2"/>
  <c r="I201" i="12"/>
  <c r="L201" i="12"/>
  <c r="Q189" i="2"/>
  <c r="G185" i="5"/>
  <c r="I185" i="12"/>
  <c r="L185" i="12" s="1"/>
  <c r="Q181" i="2"/>
  <c r="G169" i="5"/>
  <c r="Q169" i="2"/>
  <c r="I169" i="12"/>
  <c r="K169" i="12" s="1"/>
  <c r="G153" i="5"/>
  <c r="I153" i="12"/>
  <c r="K153" i="12" s="1"/>
  <c r="G137" i="5"/>
  <c r="Q137" i="2"/>
  <c r="I137" i="12"/>
  <c r="G121" i="5"/>
  <c r="I121" i="12"/>
  <c r="L121" i="12"/>
  <c r="G105" i="5"/>
  <c r="Q105" i="2"/>
  <c r="I105" i="12"/>
  <c r="L105" i="12" s="1"/>
  <c r="G89" i="5"/>
  <c r="I89" i="12"/>
  <c r="G73" i="5"/>
  <c r="Q73" i="2"/>
  <c r="I73" i="12"/>
  <c r="L73" i="12"/>
  <c r="G57" i="5"/>
  <c r="I57" i="12"/>
  <c r="L57" i="12" s="1"/>
  <c r="G41" i="5"/>
  <c r="Q41" i="2"/>
  <c r="I41" i="12"/>
  <c r="G25" i="5"/>
  <c r="I25" i="12"/>
  <c r="L25" i="12" s="1"/>
  <c r="Q17" i="2"/>
  <c r="Q9" i="2"/>
  <c r="D293" i="5"/>
  <c r="F293" i="5"/>
  <c r="O293" i="2"/>
  <c r="D293" i="12"/>
  <c r="D285" i="5"/>
  <c r="F285" i="5"/>
  <c r="P285" i="2"/>
  <c r="D281" i="5"/>
  <c r="D281" i="12"/>
  <c r="O277" i="2"/>
  <c r="D277" i="12"/>
  <c r="F277" i="12" s="1"/>
  <c r="O265" i="2"/>
  <c r="D265" i="12"/>
  <c r="G265" i="12" s="1"/>
  <c r="D261" i="5"/>
  <c r="F261" i="5" s="1"/>
  <c r="P261" i="2"/>
  <c r="D261" i="12"/>
  <c r="F261" i="12" s="1"/>
  <c r="D257" i="5"/>
  <c r="D257" i="12"/>
  <c r="F257" i="12"/>
  <c r="D249" i="5"/>
  <c r="O249" i="2"/>
  <c r="D249" i="12"/>
  <c r="G249" i="12"/>
  <c r="D245" i="5"/>
  <c r="F245" i="5" s="1"/>
  <c r="P245" i="2"/>
  <c r="D245" i="12"/>
  <c r="G245" i="12" s="1"/>
  <c r="D233" i="5"/>
  <c r="F233" i="5" s="1"/>
  <c r="O233" i="2"/>
  <c r="D233" i="12"/>
  <c r="G233" i="12" s="1"/>
  <c r="D229" i="5"/>
  <c r="F229" i="5"/>
  <c r="O229" i="2"/>
  <c r="P229" i="2"/>
  <c r="D229" i="12"/>
  <c r="F229" i="12"/>
  <c r="D225" i="5"/>
  <c r="D221" i="5"/>
  <c r="F221" i="5"/>
  <c r="P221" i="2"/>
  <c r="D217" i="5"/>
  <c r="D213" i="5"/>
  <c r="F213" i="5" s="1"/>
  <c r="O213" i="2"/>
  <c r="D213" i="12"/>
  <c r="F213" i="12" s="1"/>
  <c r="D197" i="5"/>
  <c r="F197" i="5"/>
  <c r="P197" i="2"/>
  <c r="D197" i="12"/>
  <c r="D193" i="5"/>
  <c r="D193" i="12"/>
  <c r="G193" i="12"/>
  <c r="D185" i="5"/>
  <c r="D185" i="12"/>
  <c r="F185" i="12"/>
  <c r="D169" i="5"/>
  <c r="F169" i="5"/>
  <c r="P169" i="2"/>
  <c r="D165" i="5"/>
  <c r="F165" i="5"/>
  <c r="P165" i="2"/>
  <c r="D165" i="12"/>
  <c r="F165" i="12"/>
  <c r="P161" i="2"/>
  <c r="D157" i="12"/>
  <c r="G157" i="12" s="1"/>
  <c r="P149" i="2"/>
  <c r="D145" i="5"/>
  <c r="D137" i="5"/>
  <c r="F137" i="5"/>
  <c r="P137" i="2"/>
  <c r="D133" i="5"/>
  <c r="F133" i="5"/>
  <c r="P133" i="2"/>
  <c r="D133" i="12"/>
  <c r="D125" i="5"/>
  <c r="F125" i="5" s="1"/>
  <c r="P125" i="2"/>
  <c r="D125" i="12"/>
  <c r="F125" i="12" s="1"/>
  <c r="D121" i="5"/>
  <c r="F121" i="5" s="1"/>
  <c r="H121" i="5" s="1"/>
  <c r="I121" i="5" s="1"/>
  <c r="O121" i="2"/>
  <c r="P121" i="2"/>
  <c r="D121" i="12"/>
  <c r="D117" i="5"/>
  <c r="F117" i="5"/>
  <c r="P117" i="2"/>
  <c r="D117" i="12"/>
  <c r="F117" i="12"/>
  <c r="D109" i="5"/>
  <c r="F109" i="5"/>
  <c r="P109" i="2"/>
  <c r="D109" i="12"/>
  <c r="F109" i="12"/>
  <c r="D105" i="5"/>
  <c r="F105" i="5"/>
  <c r="H105" i="5"/>
  <c r="I105" i="5" s="1"/>
  <c r="O105" i="2"/>
  <c r="D105" i="12"/>
  <c r="G105" i="12" s="1"/>
  <c r="D101" i="5"/>
  <c r="F101" i="5" s="1"/>
  <c r="P101" i="2"/>
  <c r="D101" i="12"/>
  <c r="G101" i="12" s="1"/>
  <c r="D93" i="5"/>
  <c r="F93" i="5"/>
  <c r="P93" i="2"/>
  <c r="D89" i="5"/>
  <c r="F89" i="5" s="1"/>
  <c r="H89" i="5" s="1"/>
  <c r="I89" i="5" s="1"/>
  <c r="O89" i="2"/>
  <c r="D89" i="12"/>
  <c r="G89" i="12"/>
  <c r="D85" i="5"/>
  <c r="F85" i="5"/>
  <c r="D85" i="12"/>
  <c r="D77" i="5"/>
  <c r="F77" i="5"/>
  <c r="P77" i="2"/>
  <c r="D77" i="12"/>
  <c r="F77" i="12"/>
  <c r="D69" i="5"/>
  <c r="F69" i="5"/>
  <c r="P69" i="2"/>
  <c r="D69" i="12"/>
  <c r="F69" i="12"/>
  <c r="D61" i="5"/>
  <c r="F61" i="5"/>
  <c r="P61" i="2"/>
  <c r="D61" i="12"/>
  <c r="D57" i="5"/>
  <c r="F57" i="5" s="1"/>
  <c r="H57" i="5" s="1"/>
  <c r="I57" i="5" s="1"/>
  <c r="P57" i="2"/>
  <c r="D57" i="12"/>
  <c r="P53" i="2"/>
  <c r="D45" i="5"/>
  <c r="F45" i="5"/>
  <c r="P45" i="2"/>
  <c r="D45" i="12"/>
  <c r="F45" i="12"/>
  <c r="D41" i="5"/>
  <c r="F41" i="5"/>
  <c r="P41" i="2"/>
  <c r="D37" i="5"/>
  <c r="F37" i="5"/>
  <c r="P37" i="2"/>
  <c r="D37" i="12"/>
  <c r="G37" i="12"/>
  <c r="P29" i="2"/>
  <c r="D25" i="5"/>
  <c r="F25" i="5"/>
  <c r="P25" i="2"/>
  <c r="P342" i="2"/>
  <c r="I21" i="12"/>
  <c r="G21" i="5"/>
  <c r="E172" i="5"/>
  <c r="D21" i="5"/>
  <c r="F21" i="5"/>
  <c r="H21" i="5"/>
  <c r="I21" i="5" s="1"/>
  <c r="P21" i="2"/>
  <c r="E22" i="7"/>
  <c r="E23" i="7"/>
  <c r="E294" i="2"/>
  <c r="M79" i="10"/>
  <c r="E131" i="5"/>
  <c r="I102" i="7"/>
  <c r="Q144" i="2"/>
  <c r="G144" i="5"/>
  <c r="I144" i="12"/>
  <c r="K144" i="12"/>
  <c r="Q249" i="2"/>
  <c r="Q217" i="2"/>
  <c r="Q153" i="2"/>
  <c r="Q121" i="2"/>
  <c r="Q89" i="2"/>
  <c r="Q25" i="2"/>
  <c r="M82" i="10"/>
  <c r="M81" i="10"/>
  <c r="Q80" i="2"/>
  <c r="G80" i="5"/>
  <c r="I80" i="12"/>
  <c r="L71" i="10"/>
  <c r="M67" i="10"/>
  <c r="E231" i="5"/>
  <c r="E168" i="5"/>
  <c r="E108" i="5"/>
  <c r="E76" i="5"/>
  <c r="E44" i="5"/>
  <c r="L48" i="12"/>
  <c r="K6" i="2"/>
  <c r="M12" i="10"/>
  <c r="L100" i="12"/>
  <c r="G135" i="12"/>
  <c r="E344" i="5"/>
  <c r="C10" i="7"/>
  <c r="F10" i="7"/>
  <c r="E215" i="5"/>
  <c r="I20" i="12"/>
  <c r="K20" i="12" s="1"/>
  <c r="I84" i="12"/>
  <c r="K84" i="12"/>
  <c r="G100" i="5"/>
  <c r="I148" i="12"/>
  <c r="L148" i="12" s="1"/>
  <c r="I212" i="12"/>
  <c r="G228" i="5"/>
  <c r="I316" i="12"/>
  <c r="L316" i="12"/>
  <c r="M87" i="10"/>
  <c r="E15" i="7"/>
  <c r="C13" i="7"/>
  <c r="E13" i="7" s="1"/>
  <c r="O6" i="12"/>
  <c r="D241" i="5"/>
  <c r="D241" i="12"/>
  <c r="G241" i="12"/>
  <c r="G337" i="5"/>
  <c r="Q337" i="2"/>
  <c r="I337" i="12"/>
  <c r="L337" i="12" s="1"/>
  <c r="E327" i="5"/>
  <c r="D327" i="12"/>
  <c r="E319" i="5"/>
  <c r="E315" i="5"/>
  <c r="E311" i="5"/>
  <c r="E295" i="5"/>
  <c r="D295" i="12"/>
  <c r="G295" i="12" s="1"/>
  <c r="E287" i="5"/>
  <c r="E279" i="5"/>
  <c r="E263" i="5"/>
  <c r="D263" i="12"/>
  <c r="G263" i="12" s="1"/>
  <c r="E255" i="5"/>
  <c r="E247" i="5"/>
  <c r="E199" i="5"/>
  <c r="D199" i="12"/>
  <c r="G199" i="12" s="1"/>
  <c r="E191" i="5"/>
  <c r="E116" i="5"/>
  <c r="P177" i="2"/>
  <c r="D177" i="5"/>
  <c r="F177" i="5"/>
  <c r="D177" i="12"/>
  <c r="F177" i="12"/>
  <c r="E223" i="5"/>
  <c r="E100" i="5"/>
  <c r="E36" i="5"/>
  <c r="E8" i="5"/>
  <c r="G77" i="12"/>
  <c r="G6" i="2"/>
  <c r="K116" i="12"/>
  <c r="G257" i="12"/>
  <c r="K185" i="12"/>
  <c r="K152" i="12"/>
  <c r="M77" i="10"/>
  <c r="M95" i="10"/>
  <c r="K25" i="12"/>
  <c r="L89" i="12"/>
  <c r="K89" i="12"/>
  <c r="L153" i="12"/>
  <c r="L41" i="12"/>
  <c r="K41" i="12"/>
  <c r="K105" i="12"/>
  <c r="L233" i="12"/>
  <c r="K233" i="12"/>
  <c r="F157" i="12"/>
  <c r="D71" i="5"/>
  <c r="F71" i="5" s="1"/>
  <c r="D71" i="12"/>
  <c r="F71" i="12" s="1"/>
  <c r="D97" i="5"/>
  <c r="F97" i="5"/>
  <c r="D97" i="12"/>
  <c r="F97" i="12"/>
  <c r="D93" i="12"/>
  <c r="Q277" i="2"/>
  <c r="I277" i="12"/>
  <c r="L277" i="12" s="1"/>
  <c r="G213" i="5"/>
  <c r="I213" i="12"/>
  <c r="L213" i="12" s="1"/>
  <c r="G17" i="5"/>
  <c r="I17" i="12"/>
  <c r="L17" i="12" s="1"/>
  <c r="P342" i="12"/>
  <c r="Q342" i="12" s="1"/>
  <c r="P310" i="12"/>
  <c r="Q310" i="12"/>
  <c r="P278" i="12"/>
  <c r="Q278" i="12"/>
  <c r="P246" i="12"/>
  <c r="Q246" i="12" s="1"/>
  <c r="P214" i="12"/>
  <c r="Q214" i="12" s="1"/>
  <c r="P182" i="12"/>
  <c r="Q182" i="12"/>
  <c r="P150" i="12"/>
  <c r="Q150" i="12"/>
  <c r="P118" i="12"/>
  <c r="Q118" i="12" s="1"/>
  <c r="P86" i="12"/>
  <c r="Q86" i="12" s="1"/>
  <c r="L297" i="12"/>
  <c r="K297" i="12"/>
  <c r="F86" i="12"/>
  <c r="D191" i="5"/>
  <c r="F191" i="5" s="1"/>
  <c r="D191" i="12"/>
  <c r="D79" i="5"/>
  <c r="F79" i="5"/>
  <c r="P79" i="2"/>
  <c r="G340" i="5"/>
  <c r="I340" i="12"/>
  <c r="L340" i="12"/>
  <c r="G292" i="5"/>
  <c r="I292" i="12"/>
  <c r="L292" i="12" s="1"/>
  <c r="G272" i="5"/>
  <c r="I272" i="12"/>
  <c r="L272" i="12" s="1"/>
  <c r="G232" i="5"/>
  <c r="I200" i="12"/>
  <c r="L200" i="12" s="1"/>
  <c r="G192" i="5"/>
  <c r="I192" i="12"/>
  <c r="L192" i="12"/>
  <c r="G168" i="5"/>
  <c r="I168" i="12"/>
  <c r="L168" i="12"/>
  <c r="G160" i="5"/>
  <c r="G136" i="5"/>
  <c r="I136" i="12"/>
  <c r="L136" i="12" s="1"/>
  <c r="G128" i="5"/>
  <c r="I128" i="12"/>
  <c r="L128" i="12" s="1"/>
  <c r="G104" i="5"/>
  <c r="I104" i="12"/>
  <c r="L104" i="12" s="1"/>
  <c r="G72" i="5"/>
  <c r="I72" i="12"/>
  <c r="K72" i="12"/>
  <c r="G64" i="5"/>
  <c r="I64" i="12"/>
  <c r="K64" i="12"/>
  <c r="G40" i="5"/>
  <c r="I40" i="12"/>
  <c r="G32" i="5"/>
  <c r="D289" i="5"/>
  <c r="D289" i="12"/>
  <c r="O285" i="2"/>
  <c r="D285" i="12"/>
  <c r="D277" i="5"/>
  <c r="F277" i="5"/>
  <c r="P277" i="2"/>
  <c r="D273" i="5"/>
  <c r="D273" i="12"/>
  <c r="O221" i="2"/>
  <c r="D221" i="12"/>
  <c r="F221" i="12" s="1"/>
  <c r="D209" i="5"/>
  <c r="D209" i="12"/>
  <c r="D157" i="5"/>
  <c r="F157" i="5"/>
  <c r="P157" i="2"/>
  <c r="D149" i="5"/>
  <c r="F149" i="5"/>
  <c r="D149" i="12"/>
  <c r="G149" i="12"/>
  <c r="D29" i="5"/>
  <c r="F29" i="5" s="1"/>
  <c r="D29" i="12"/>
  <c r="O25" i="2"/>
  <c r="D25" i="12"/>
  <c r="G25" i="12"/>
  <c r="Q309" i="2"/>
  <c r="I309" i="12"/>
  <c r="G245" i="5"/>
  <c r="I245" i="12"/>
  <c r="K245" i="12"/>
  <c r="O245" i="2"/>
  <c r="Q185" i="2"/>
  <c r="O185" i="2"/>
  <c r="G181" i="5"/>
  <c r="I181" i="12"/>
  <c r="O181" i="2"/>
  <c r="Q57" i="2"/>
  <c r="O57" i="2"/>
  <c r="P280" i="12"/>
  <c r="Q280" i="12"/>
  <c r="J280" i="12"/>
  <c r="P252" i="12"/>
  <c r="Q252" i="12"/>
  <c r="AA252" i="1"/>
  <c r="AD252" i="1" s="1"/>
  <c r="M252" i="2" s="1"/>
  <c r="P316" i="12"/>
  <c r="Q316" i="12"/>
  <c r="Z316" i="1"/>
  <c r="AC316" i="1" s="1"/>
  <c r="D316" i="2" s="1"/>
  <c r="O316" i="2" s="1"/>
  <c r="P284" i="12"/>
  <c r="Q284" i="12" s="1"/>
  <c r="Z284" i="1"/>
  <c r="AC284" i="1" s="1"/>
  <c r="D284" i="2" s="1"/>
  <c r="P248" i="12"/>
  <c r="Q248" i="12" s="1"/>
  <c r="Z248" i="1"/>
  <c r="AC248" i="1"/>
  <c r="D248" i="2" s="1"/>
  <c r="E248" i="12"/>
  <c r="P228" i="12"/>
  <c r="Q228" i="12"/>
  <c r="Z228" i="1"/>
  <c r="AC228" i="1" s="1"/>
  <c r="D228" i="2" s="1"/>
  <c r="D228" i="5" s="1"/>
  <c r="F228" i="5" s="1"/>
  <c r="H228" i="5" s="1"/>
  <c r="I228" i="5" s="1"/>
  <c r="E228" i="12"/>
  <c r="P212" i="12"/>
  <c r="Q212" i="12" s="1"/>
  <c r="E212" i="12"/>
  <c r="P196" i="12"/>
  <c r="Q196" i="12" s="1"/>
  <c r="E196" i="12"/>
  <c r="P164" i="12"/>
  <c r="Q164" i="12"/>
  <c r="Z164" i="1"/>
  <c r="AC164" i="1" s="1"/>
  <c r="D164" i="2" s="1"/>
  <c r="O164" i="2" s="1"/>
  <c r="E164" i="12"/>
  <c r="P148" i="12"/>
  <c r="Q148" i="12"/>
  <c r="E148" i="12"/>
  <c r="P132" i="12"/>
  <c r="Q132" i="12"/>
  <c r="E132" i="12"/>
  <c r="P84" i="12"/>
  <c r="Q84" i="12"/>
  <c r="Z84" i="1"/>
  <c r="AC84" i="1"/>
  <c r="D84" i="2" s="1"/>
  <c r="P68" i="12"/>
  <c r="Q68" i="12" s="1"/>
  <c r="Z68" i="1"/>
  <c r="AC68" i="1"/>
  <c r="D68" i="2" s="1"/>
  <c r="P52" i="12"/>
  <c r="Q52" i="12" s="1"/>
  <c r="Z52" i="1"/>
  <c r="AC52" i="1"/>
  <c r="D52" i="2" s="1"/>
  <c r="D52" i="5" s="1"/>
  <c r="F52" i="5" s="1"/>
  <c r="H52" i="5" s="1"/>
  <c r="I52" i="5" s="1"/>
  <c r="E52" i="12"/>
  <c r="P20" i="12"/>
  <c r="Q20" i="12"/>
  <c r="Z20" i="1"/>
  <c r="AC20" i="1"/>
  <c r="P338" i="12"/>
  <c r="Q338" i="12" s="1"/>
  <c r="Z338" i="1"/>
  <c r="AC338" i="1" s="1"/>
  <c r="D338" i="2" s="1"/>
  <c r="P330" i="12"/>
  <c r="Q330" i="12"/>
  <c r="E330" i="12"/>
  <c r="P322" i="12"/>
  <c r="Q322" i="12"/>
  <c r="E322" i="12"/>
  <c r="P318" i="12"/>
  <c r="Q318" i="12"/>
  <c r="Z318" i="1"/>
  <c r="AC318" i="1"/>
  <c r="D318" i="2"/>
  <c r="E318" i="12"/>
  <c r="P314" i="12"/>
  <c r="Q314" i="12" s="1"/>
  <c r="Z314" i="1"/>
  <c r="AC314" i="1"/>
  <c r="D314" i="2" s="1"/>
  <c r="P306" i="12"/>
  <c r="Q306" i="12"/>
  <c r="Z306" i="1"/>
  <c r="AC306" i="1"/>
  <c r="D306" i="2" s="1"/>
  <c r="D306" i="12" s="1"/>
  <c r="F306" i="12" s="1"/>
  <c r="P298" i="12"/>
  <c r="Q298" i="12"/>
  <c r="E298" i="12"/>
  <c r="P290" i="12"/>
  <c r="Q290" i="12"/>
  <c r="E290" i="12"/>
  <c r="P286" i="12"/>
  <c r="Q286" i="12"/>
  <c r="Z286" i="1"/>
  <c r="AC286" i="1"/>
  <c r="D286" i="2"/>
  <c r="E286" i="12"/>
  <c r="P282" i="12"/>
  <c r="Q282" i="12" s="1"/>
  <c r="Z282" i="1"/>
  <c r="AC282" i="1"/>
  <c r="D282" i="2" s="1"/>
  <c r="D282" i="12" s="1"/>
  <c r="P274" i="12"/>
  <c r="Q274" i="12" s="1"/>
  <c r="Z274" i="1"/>
  <c r="AC274" i="1" s="1"/>
  <c r="D274" i="2" s="1"/>
  <c r="P266" i="12"/>
  <c r="Q266" i="12" s="1"/>
  <c r="E266" i="12"/>
  <c r="P258" i="12"/>
  <c r="Q258" i="12" s="1"/>
  <c r="E258" i="12"/>
  <c r="P254" i="12"/>
  <c r="Q254" i="12"/>
  <c r="Z254" i="1"/>
  <c r="AC254" i="1" s="1"/>
  <c r="D254" i="2" s="1"/>
  <c r="E254" i="12"/>
  <c r="P250" i="12"/>
  <c r="Q250" i="12"/>
  <c r="Z250" i="1"/>
  <c r="AC250" i="1"/>
  <c r="D250" i="2"/>
  <c r="D246" i="5"/>
  <c r="F246" i="5"/>
  <c r="P246" i="2"/>
  <c r="P242" i="12"/>
  <c r="Q242" i="12"/>
  <c r="Z242" i="1"/>
  <c r="AC242" i="1"/>
  <c r="D242" i="2"/>
  <c r="D242" i="12" s="1"/>
  <c r="F242" i="12" s="1"/>
  <c r="P234" i="12"/>
  <c r="Q234" i="12" s="1"/>
  <c r="E234" i="12"/>
  <c r="P226" i="12"/>
  <c r="Q226" i="12"/>
  <c r="E226" i="12"/>
  <c r="P222" i="12"/>
  <c r="Q222" i="12"/>
  <c r="Z222" i="1"/>
  <c r="AC222" i="1" s="1"/>
  <c r="D222" i="2" s="1"/>
  <c r="E222" i="12"/>
  <c r="P218" i="12"/>
  <c r="Q218" i="12"/>
  <c r="Z218" i="1"/>
  <c r="AC218" i="1"/>
  <c r="D218" i="2"/>
  <c r="P210" i="12"/>
  <c r="Q210" i="12"/>
  <c r="Z210" i="1"/>
  <c r="AC210" i="1"/>
  <c r="D210" i="2"/>
  <c r="P202" i="12"/>
  <c r="Q202" i="12"/>
  <c r="E202" i="12"/>
  <c r="P194" i="12"/>
  <c r="Q194" i="12"/>
  <c r="E194" i="12"/>
  <c r="P190" i="12"/>
  <c r="Q190" i="12"/>
  <c r="Z190" i="1"/>
  <c r="AC190" i="1"/>
  <c r="D190" i="2"/>
  <c r="E190" i="12"/>
  <c r="P186" i="12"/>
  <c r="Q186" i="12" s="1"/>
  <c r="Z186" i="1"/>
  <c r="AC186" i="1"/>
  <c r="D186" i="2" s="1"/>
  <c r="D186" i="5" s="1"/>
  <c r="F186" i="5" s="1"/>
  <c r="P178" i="12"/>
  <c r="Q178" i="12"/>
  <c r="Z178" i="1"/>
  <c r="AC178" i="1"/>
  <c r="D178" i="2"/>
  <c r="P170" i="12"/>
  <c r="Q170" i="12"/>
  <c r="E170" i="12"/>
  <c r="P162" i="12"/>
  <c r="Q162" i="12"/>
  <c r="E162" i="12"/>
  <c r="P158" i="12"/>
  <c r="Q158" i="12"/>
  <c r="Z158" i="1"/>
  <c r="AC158" i="1"/>
  <c r="D158" i="2"/>
  <c r="D158" i="5" s="1"/>
  <c r="F158" i="5" s="1"/>
  <c r="E158" i="12"/>
  <c r="P154" i="12"/>
  <c r="Q154" i="12"/>
  <c r="Z154" i="1"/>
  <c r="AC154" i="1"/>
  <c r="D154" i="2"/>
  <c r="D150" i="5"/>
  <c r="F150" i="5"/>
  <c r="D150" i="12"/>
  <c r="F150" i="12"/>
  <c r="P146" i="12"/>
  <c r="Q146" i="12" s="1"/>
  <c r="Z146" i="1"/>
  <c r="AC146" i="1"/>
  <c r="D146" i="2" s="1"/>
  <c r="P138" i="12"/>
  <c r="Q138" i="12" s="1"/>
  <c r="E138" i="12"/>
  <c r="P130" i="12"/>
  <c r="Q130" i="12" s="1"/>
  <c r="E130" i="12"/>
  <c r="P126" i="12"/>
  <c r="Q126" i="12" s="1"/>
  <c r="Z126" i="1"/>
  <c r="AC126" i="1" s="1"/>
  <c r="D126" i="2" s="1"/>
  <c r="E126" i="12"/>
  <c r="P122" i="12"/>
  <c r="Q122" i="12"/>
  <c r="Z122" i="1"/>
  <c r="AC122" i="1" s="1"/>
  <c r="D122" i="2" s="1"/>
  <c r="P114" i="12"/>
  <c r="Q114" i="12"/>
  <c r="Z114" i="1"/>
  <c r="AC114" i="1" s="1"/>
  <c r="D114" i="2" s="1"/>
  <c r="P114" i="2" s="1"/>
  <c r="P106" i="12"/>
  <c r="Q106" i="12"/>
  <c r="E106" i="12"/>
  <c r="P98" i="12"/>
  <c r="Q98" i="12"/>
  <c r="E98" i="12"/>
  <c r="P94" i="12"/>
  <c r="Q94" i="12"/>
  <c r="Z94" i="1"/>
  <c r="AC94" i="1"/>
  <c r="D94" i="2" s="1"/>
  <c r="P94" i="2" s="1"/>
  <c r="E94" i="12"/>
  <c r="P90" i="12"/>
  <c r="Q90" i="12"/>
  <c r="Z90" i="1"/>
  <c r="AC90" i="1" s="1"/>
  <c r="D90" i="2" s="1"/>
  <c r="D90" i="12" s="1"/>
  <c r="D327" i="5"/>
  <c r="P327" i="2"/>
  <c r="D295" i="5"/>
  <c r="F295" i="5"/>
  <c r="P295" i="2"/>
  <c r="D263" i="5"/>
  <c r="F263" i="5"/>
  <c r="P263" i="2"/>
  <c r="D199" i="5"/>
  <c r="F199" i="5"/>
  <c r="P199" i="2"/>
  <c r="D167" i="5"/>
  <c r="F167" i="5"/>
  <c r="D167" i="12"/>
  <c r="G167" i="12"/>
  <c r="D135" i="5"/>
  <c r="F135" i="5"/>
  <c r="P135" i="2"/>
  <c r="P99" i="12"/>
  <c r="Q99" i="12"/>
  <c r="E99" i="12"/>
  <c r="Z95" i="1"/>
  <c r="AC95" i="1"/>
  <c r="D95" i="2" s="1"/>
  <c r="E95" i="12"/>
  <c r="P91" i="12"/>
  <c r="Q91" i="12" s="1"/>
  <c r="Z91" i="1"/>
  <c r="AC91" i="1"/>
  <c r="D91" i="2" s="1"/>
  <c r="D91" i="5" s="1"/>
  <c r="F91" i="5" s="1"/>
  <c r="P83" i="12"/>
  <c r="Q83" i="12"/>
  <c r="Z83" i="1"/>
  <c r="AC83" i="1" s="1"/>
  <c r="D83" i="2" s="1"/>
  <c r="P75" i="12"/>
  <c r="Q75" i="12"/>
  <c r="E75" i="12"/>
  <c r="P67" i="12"/>
  <c r="Q67" i="12"/>
  <c r="E67" i="12"/>
  <c r="Z63" i="1"/>
  <c r="AC63" i="1"/>
  <c r="D63" i="2" s="1"/>
  <c r="E63" i="12"/>
  <c r="P59" i="12"/>
  <c r="Q59" i="12" s="1"/>
  <c r="Z59" i="1"/>
  <c r="AC59" i="1"/>
  <c r="D59" i="2" s="1"/>
  <c r="D59" i="12" s="1"/>
  <c r="F59" i="12" s="1"/>
  <c r="P51" i="12"/>
  <c r="Q51" i="12"/>
  <c r="Z51" i="1"/>
  <c r="AC51" i="1"/>
  <c r="D51" i="2"/>
  <c r="D51" i="5" s="1"/>
  <c r="F51" i="5" s="1"/>
  <c r="H51" i="5" s="1"/>
  <c r="I51" i="5" s="1"/>
  <c r="P43" i="12"/>
  <c r="Q43" i="12" s="1"/>
  <c r="E43" i="12"/>
  <c r="P35" i="12"/>
  <c r="Q35" i="12" s="1"/>
  <c r="E35" i="12"/>
  <c r="Z31" i="1"/>
  <c r="AC31" i="1"/>
  <c r="D31" i="2"/>
  <c r="D31" i="5" s="1"/>
  <c r="F31" i="5" s="1"/>
  <c r="E31" i="12"/>
  <c r="P27" i="12"/>
  <c r="Q27" i="12"/>
  <c r="Z27" i="1"/>
  <c r="AC27" i="1" s="1"/>
  <c r="D27" i="2" s="1"/>
  <c r="D27" i="5" s="1"/>
  <c r="F27" i="5" s="1"/>
  <c r="P17" i="12"/>
  <c r="Q17" i="12"/>
  <c r="E17" i="12"/>
  <c r="P9" i="12"/>
  <c r="Q9" i="12"/>
  <c r="Z9" i="1"/>
  <c r="AC9" i="1"/>
  <c r="P103" i="14"/>
  <c r="G70" i="14"/>
  <c r="K70" i="14"/>
  <c r="O70" i="14"/>
  <c r="S70" i="14"/>
  <c r="E81" i="14"/>
  <c r="G81" i="14"/>
  <c r="I81" i="14"/>
  <c r="K81" i="14"/>
  <c r="M81" i="14"/>
  <c r="O81" i="14"/>
  <c r="Q81" i="14"/>
  <c r="S81" i="14"/>
  <c r="F92" i="14"/>
  <c r="H92" i="14"/>
  <c r="J92" i="14"/>
  <c r="L92" i="14"/>
  <c r="N92" i="14"/>
  <c r="P92" i="14"/>
  <c r="R92" i="14"/>
  <c r="E70" i="14"/>
  <c r="M70" i="14"/>
  <c r="H81" i="14"/>
  <c r="L81" i="14"/>
  <c r="P81" i="14"/>
  <c r="G92" i="14"/>
  <c r="K92" i="14"/>
  <c r="O92" i="14"/>
  <c r="S92" i="14"/>
  <c r="P70" i="14"/>
  <c r="L70" i="14"/>
  <c r="H70" i="14"/>
  <c r="K36" i="10"/>
  <c r="K90" i="10"/>
  <c r="J36" i="10"/>
  <c r="J90" i="10" s="1"/>
  <c r="I36" i="10"/>
  <c r="I90" i="10"/>
  <c r="I103" i="14"/>
  <c r="M103" i="14"/>
  <c r="Q103" i="14"/>
  <c r="L36" i="10"/>
  <c r="L90" i="10"/>
  <c r="F103" i="14"/>
  <c r="J103" i="14"/>
  <c r="N103" i="14"/>
  <c r="N106" i="14" s="1"/>
  <c r="R103" i="14"/>
  <c r="N6" i="2"/>
  <c r="I6" i="2"/>
  <c r="F6" i="2"/>
  <c r="L6" i="2"/>
  <c r="J6" i="2"/>
  <c r="G6" i="8"/>
  <c r="H6" i="8"/>
  <c r="AA33" i="1"/>
  <c r="AD33" i="1"/>
  <c r="M33" i="2" s="1"/>
  <c r="J33" i="12"/>
  <c r="AA49" i="1"/>
  <c r="AD49" i="1" s="1"/>
  <c r="M49" i="2" s="1"/>
  <c r="J49" i="12"/>
  <c r="AA65" i="1"/>
  <c r="AD65" i="1"/>
  <c r="M65" i="2" s="1"/>
  <c r="J65" i="12"/>
  <c r="AA81" i="1"/>
  <c r="AD81" i="1" s="1"/>
  <c r="M81" i="2" s="1"/>
  <c r="J81" i="12"/>
  <c r="AA97" i="1"/>
  <c r="AD97" i="1"/>
  <c r="M97" i="2" s="1"/>
  <c r="J97" i="12"/>
  <c r="AA113" i="1"/>
  <c r="AD113" i="1" s="1"/>
  <c r="M113" i="2" s="1"/>
  <c r="J113" i="12"/>
  <c r="AA129" i="1"/>
  <c r="AD129" i="1"/>
  <c r="M129" i="2" s="1"/>
  <c r="J129" i="12"/>
  <c r="AA145" i="1"/>
  <c r="AD145" i="1" s="1"/>
  <c r="M145" i="2" s="1"/>
  <c r="J145" i="12"/>
  <c r="AA161" i="1"/>
  <c r="AD161" i="1"/>
  <c r="M161" i="2" s="1"/>
  <c r="J161" i="12"/>
  <c r="AA177" i="1"/>
  <c r="AD177" i="1" s="1"/>
  <c r="M177" i="2" s="1"/>
  <c r="J177" i="12"/>
  <c r="AA193" i="1"/>
  <c r="AD193" i="1"/>
  <c r="M193" i="2" s="1"/>
  <c r="J193" i="12"/>
  <c r="AA209" i="1"/>
  <c r="AD209" i="1" s="1"/>
  <c r="M209" i="2" s="1"/>
  <c r="J209" i="12"/>
  <c r="AA225" i="1"/>
  <c r="AD225" i="1"/>
  <c r="M225" i="2" s="1"/>
  <c r="J225" i="12"/>
  <c r="AA241" i="1"/>
  <c r="AD241" i="1" s="1"/>
  <c r="M241" i="2" s="1"/>
  <c r="J241" i="12"/>
  <c r="AA257" i="1"/>
  <c r="AD257" i="1"/>
  <c r="M257" i="2" s="1"/>
  <c r="I257" i="12" s="1"/>
  <c r="J257" i="12"/>
  <c r="AA273" i="1"/>
  <c r="AD273" i="1"/>
  <c r="M273" i="2"/>
  <c r="J273" i="12"/>
  <c r="AA289" i="1"/>
  <c r="AD289" i="1" s="1"/>
  <c r="M289" i="2" s="1"/>
  <c r="J289" i="12"/>
  <c r="AA305" i="1"/>
  <c r="AD305" i="1"/>
  <c r="M305" i="2"/>
  <c r="J305" i="12"/>
  <c r="AA321" i="1"/>
  <c r="AD321" i="1" s="1"/>
  <c r="M321" i="2" s="1"/>
  <c r="J321" i="12"/>
  <c r="F91" i="7"/>
  <c r="F97" i="7"/>
  <c r="I35" i="10"/>
  <c r="I89" i="10" s="1"/>
  <c r="K35" i="10"/>
  <c r="K89" i="10" s="1"/>
  <c r="E69" i="14"/>
  <c r="G69" i="14"/>
  <c r="I69" i="14"/>
  <c r="K69" i="14"/>
  <c r="M69" i="14"/>
  <c r="O69" i="14"/>
  <c r="Q69" i="14"/>
  <c r="S69" i="14"/>
  <c r="E80" i="14"/>
  <c r="G80" i="14"/>
  <c r="I80" i="14"/>
  <c r="K80" i="14"/>
  <c r="M80" i="14"/>
  <c r="O80" i="14"/>
  <c r="Q80" i="14"/>
  <c r="S80" i="14"/>
  <c r="E91" i="14"/>
  <c r="G91" i="14"/>
  <c r="I91" i="14"/>
  <c r="K91" i="14"/>
  <c r="M91" i="14"/>
  <c r="O91" i="14"/>
  <c r="Q91" i="14"/>
  <c r="S91" i="14"/>
  <c r="J35" i="10"/>
  <c r="J89" i="10"/>
  <c r="H69" i="14"/>
  <c r="L69" i="14"/>
  <c r="P69" i="14"/>
  <c r="H80" i="14"/>
  <c r="L80" i="14"/>
  <c r="P80" i="14"/>
  <c r="F91" i="14"/>
  <c r="J91" i="14"/>
  <c r="N91" i="14"/>
  <c r="R91" i="14"/>
  <c r="G102" i="14"/>
  <c r="G106" i="14" s="1"/>
  <c r="K102" i="14"/>
  <c r="K106" i="14" s="1"/>
  <c r="O102" i="14"/>
  <c r="O106" i="14"/>
  <c r="S102" i="14"/>
  <c r="H102" i="14"/>
  <c r="L102" i="14"/>
  <c r="L106" i="14"/>
  <c r="P102" i="14"/>
  <c r="P106" i="14"/>
  <c r="E102" i="14"/>
  <c r="I32" i="10"/>
  <c r="I86" i="10"/>
  <c r="E66" i="14"/>
  <c r="I66" i="14"/>
  <c r="M66" i="14"/>
  <c r="Q66" i="14"/>
  <c r="E77" i="14"/>
  <c r="G77" i="14"/>
  <c r="I77" i="14"/>
  <c r="K77" i="14"/>
  <c r="M77" i="14"/>
  <c r="O77" i="14"/>
  <c r="Q77" i="14"/>
  <c r="D77" i="14" s="1"/>
  <c r="S77" i="14"/>
  <c r="E88" i="14"/>
  <c r="G88" i="14"/>
  <c r="I88" i="14"/>
  <c r="K88" i="14"/>
  <c r="M88" i="14"/>
  <c r="O88" i="14"/>
  <c r="Q88" i="14"/>
  <c r="S88" i="14"/>
  <c r="K66" i="14"/>
  <c r="S66" i="14"/>
  <c r="F77" i="14"/>
  <c r="J77" i="14"/>
  <c r="N77" i="14"/>
  <c r="R77" i="14"/>
  <c r="F88" i="14"/>
  <c r="J88" i="14"/>
  <c r="N88" i="14"/>
  <c r="R88" i="14"/>
  <c r="R66" i="14"/>
  <c r="L66" i="14"/>
  <c r="J66" i="14"/>
  <c r="K32" i="10"/>
  <c r="K86" i="10"/>
  <c r="I99" i="14"/>
  <c r="I106" i="14"/>
  <c r="M99" i="14"/>
  <c r="M106" i="14"/>
  <c r="Q99" i="14"/>
  <c r="Q106" i="14" s="1"/>
  <c r="L32" i="10"/>
  <c r="F99" i="14"/>
  <c r="F106" i="14" s="1"/>
  <c r="J99" i="14"/>
  <c r="J106" i="14" s="1"/>
  <c r="N99" i="14"/>
  <c r="R99" i="14"/>
  <c r="R106" i="14"/>
  <c r="E99" i="14"/>
  <c r="J78" i="10"/>
  <c r="M78" i="10"/>
  <c r="E59" i="14"/>
  <c r="E128" i="14"/>
  <c r="G128" i="14"/>
  <c r="I128" i="14"/>
  <c r="K128" i="14"/>
  <c r="K133" i="14" s="1"/>
  <c r="M128" i="14"/>
  <c r="O128" i="14"/>
  <c r="Q128" i="14"/>
  <c r="S128" i="14"/>
  <c r="F129" i="14"/>
  <c r="H129" i="14"/>
  <c r="J129" i="14"/>
  <c r="L129" i="14"/>
  <c r="N129" i="14"/>
  <c r="P129" i="14"/>
  <c r="P133" i="14"/>
  <c r="R129" i="14"/>
  <c r="E130" i="14"/>
  <c r="G130" i="14"/>
  <c r="I130" i="14"/>
  <c r="K130" i="14"/>
  <c r="M130" i="14"/>
  <c r="O130" i="14"/>
  <c r="O133" i="14"/>
  <c r="Q130" i="14"/>
  <c r="S130" i="14"/>
  <c r="F110" i="14"/>
  <c r="H110" i="14"/>
  <c r="J110" i="14"/>
  <c r="L110" i="14"/>
  <c r="N110" i="14"/>
  <c r="P110" i="14"/>
  <c r="R110" i="14"/>
  <c r="E111" i="14"/>
  <c r="G111" i="14"/>
  <c r="F128" i="14"/>
  <c r="J128" i="14"/>
  <c r="N128" i="14"/>
  <c r="N133" i="14"/>
  <c r="R128" i="14"/>
  <c r="R133" i="14"/>
  <c r="E129" i="14"/>
  <c r="I129" i="14"/>
  <c r="M129" i="14"/>
  <c r="Q129" i="14"/>
  <c r="H130" i="14"/>
  <c r="L130" i="14"/>
  <c r="L133" i="14" s="1"/>
  <c r="P130" i="14"/>
  <c r="E110" i="14"/>
  <c r="G110" i="14"/>
  <c r="K110" i="14"/>
  <c r="O110" i="14"/>
  <c r="S110" i="14"/>
  <c r="H111" i="14"/>
  <c r="J111" i="14"/>
  <c r="L111" i="14"/>
  <c r="N111" i="14"/>
  <c r="P111" i="14"/>
  <c r="R111" i="14"/>
  <c r="E112" i="14"/>
  <c r="G112" i="14"/>
  <c r="I112" i="14"/>
  <c r="I115" i="14"/>
  <c r="K112" i="14"/>
  <c r="M112" i="14"/>
  <c r="O112" i="14"/>
  <c r="Q112" i="14"/>
  <c r="Q115" i="14"/>
  <c r="S112" i="14"/>
  <c r="F56" i="14"/>
  <c r="H56" i="14"/>
  <c r="J56" i="14"/>
  <c r="L56" i="14"/>
  <c r="N56" i="14"/>
  <c r="P56" i="14"/>
  <c r="R56" i="14"/>
  <c r="E57" i="14"/>
  <c r="E61" i="14" s="1"/>
  <c r="G57" i="14"/>
  <c r="I57" i="14"/>
  <c r="K57" i="14"/>
  <c r="M57" i="14"/>
  <c r="O57" i="14"/>
  <c r="Q57" i="14"/>
  <c r="S57" i="14"/>
  <c r="F58" i="14"/>
  <c r="H58" i="14"/>
  <c r="J58" i="14"/>
  <c r="L58" i="14"/>
  <c r="N58" i="14"/>
  <c r="P58" i="14"/>
  <c r="P61" i="14"/>
  <c r="R58" i="14"/>
  <c r="S59" i="14"/>
  <c r="Q59" i="14"/>
  <c r="O59" i="14"/>
  <c r="M59" i="14"/>
  <c r="K59" i="14"/>
  <c r="I59" i="14"/>
  <c r="G59" i="14"/>
  <c r="F113" i="14"/>
  <c r="H113" i="14"/>
  <c r="J113" i="14"/>
  <c r="L113" i="14"/>
  <c r="N113" i="14"/>
  <c r="P113" i="14"/>
  <c r="R113" i="14"/>
  <c r="E113" i="14"/>
  <c r="R59" i="14"/>
  <c r="P59" i="14"/>
  <c r="N59" i="14"/>
  <c r="L59" i="14"/>
  <c r="J59" i="14"/>
  <c r="H59" i="14"/>
  <c r="H61" i="14" s="1"/>
  <c r="F59" i="14"/>
  <c r="G261" i="12"/>
  <c r="O23" i="2"/>
  <c r="AC252" i="1"/>
  <c r="D252" i="2" s="1"/>
  <c r="Z82" i="1"/>
  <c r="AC82" i="1"/>
  <c r="D82" i="2" s="1"/>
  <c r="E74" i="12"/>
  <c r="E66" i="12"/>
  <c r="E62" i="12"/>
  <c r="Z62" i="1"/>
  <c r="AC62" i="1" s="1"/>
  <c r="D62" i="2" s="1"/>
  <c r="Z58" i="1"/>
  <c r="AC58" i="1" s="1"/>
  <c r="D58" i="2" s="1"/>
  <c r="Z50" i="1"/>
  <c r="AC50" i="1"/>
  <c r="D50" i="2"/>
  <c r="E42" i="12"/>
  <c r="E34" i="12"/>
  <c r="E30" i="12"/>
  <c r="Z30" i="1"/>
  <c r="AC30" i="1"/>
  <c r="D30" i="2" s="1"/>
  <c r="Z26" i="1"/>
  <c r="AC26" i="1"/>
  <c r="D26" i="2" s="1"/>
  <c r="D26" i="12" s="1"/>
  <c r="G26" i="12"/>
  <c r="Z18" i="1"/>
  <c r="AC18" i="1"/>
  <c r="D18" i="2" s="1"/>
  <c r="E10" i="12"/>
  <c r="E339" i="12"/>
  <c r="E335" i="12"/>
  <c r="Z335" i="1"/>
  <c r="AC335" i="1"/>
  <c r="D335" i="2" s="1"/>
  <c r="Z331" i="1"/>
  <c r="AC331" i="1" s="1"/>
  <c r="D331" i="2" s="1"/>
  <c r="D331" i="5" s="1"/>
  <c r="F331" i="5" s="1"/>
  <c r="Z323" i="1"/>
  <c r="AC323" i="1"/>
  <c r="D323" i="2" s="1"/>
  <c r="E315" i="12"/>
  <c r="E307" i="12"/>
  <c r="E303" i="12"/>
  <c r="Z303" i="1"/>
  <c r="AC303" i="1" s="1"/>
  <c r="D303" i="2" s="1"/>
  <c r="Z299" i="1"/>
  <c r="AC299" i="1" s="1"/>
  <c r="D299" i="2" s="1"/>
  <c r="Z291" i="1"/>
  <c r="AC291" i="1"/>
  <c r="D291" i="2"/>
  <c r="E283" i="12"/>
  <c r="E275" i="12"/>
  <c r="E271" i="12"/>
  <c r="Z271" i="1"/>
  <c r="AC271" i="1"/>
  <c r="D271" i="2" s="1"/>
  <c r="Z267" i="1"/>
  <c r="AC267" i="1"/>
  <c r="D267" i="2" s="1"/>
  <c r="Z259" i="1"/>
  <c r="AC259" i="1"/>
  <c r="D259" i="2" s="1"/>
  <c r="E251" i="12"/>
  <c r="E243" i="12"/>
  <c r="E239" i="12"/>
  <c r="Z239" i="1"/>
  <c r="AC239" i="1" s="1"/>
  <c r="D239" i="2" s="1"/>
  <c r="Z235" i="1"/>
  <c r="AC235" i="1" s="1"/>
  <c r="D235" i="2" s="1"/>
  <c r="Z227" i="1"/>
  <c r="AC227" i="1"/>
  <c r="D227" i="2"/>
  <c r="E219" i="12"/>
  <c r="E211" i="12"/>
  <c r="E207" i="12"/>
  <c r="Z207" i="1"/>
  <c r="AC207" i="1"/>
  <c r="D207" i="2" s="1"/>
  <c r="Z203" i="1"/>
  <c r="AC203" i="1"/>
  <c r="D203" i="2" s="1"/>
  <c r="Z195" i="1"/>
  <c r="AC195" i="1"/>
  <c r="D195" i="2" s="1"/>
  <c r="E187" i="12"/>
  <c r="E179" i="12"/>
  <c r="E175" i="12"/>
  <c r="Z175" i="1"/>
  <c r="AC175" i="1" s="1"/>
  <c r="D175" i="2" s="1"/>
  <c r="Z171" i="1"/>
  <c r="AC171" i="1" s="1"/>
  <c r="D171" i="2" s="1"/>
  <c r="Z163" i="1"/>
  <c r="AC163" i="1"/>
  <c r="D163" i="2"/>
  <c r="E155" i="12"/>
  <c r="E147" i="12"/>
  <c r="E143" i="12"/>
  <c r="Z143" i="1"/>
  <c r="AC143" i="1"/>
  <c r="D143" i="2" s="1"/>
  <c r="Z139" i="1"/>
  <c r="AC139" i="1"/>
  <c r="D139" i="2" s="1"/>
  <c r="Z131" i="1"/>
  <c r="AC131" i="1"/>
  <c r="D131" i="2" s="1"/>
  <c r="E123" i="12"/>
  <c r="E115" i="12"/>
  <c r="E111" i="12"/>
  <c r="Z111" i="1"/>
  <c r="AC111" i="1" s="1"/>
  <c r="D111" i="2" s="1"/>
  <c r="Z107" i="1"/>
  <c r="AC107" i="1" s="1"/>
  <c r="D107" i="2" s="1"/>
  <c r="E87" i="12"/>
  <c r="E79" i="12"/>
  <c r="G79" i="12"/>
  <c r="Z75" i="1"/>
  <c r="AC75" i="1"/>
  <c r="D75" i="2"/>
  <c r="Z67" i="1"/>
  <c r="AC67" i="1"/>
  <c r="D67" i="2" s="1"/>
  <c r="E59" i="12"/>
  <c r="E51" i="12"/>
  <c r="Z47" i="1"/>
  <c r="AC47" i="1"/>
  <c r="D47" i="2"/>
  <c r="Z39" i="1"/>
  <c r="AC39" i="1"/>
  <c r="D39" i="2" s="1"/>
  <c r="E23" i="12"/>
  <c r="AC253" i="1"/>
  <c r="D253" i="2" s="1"/>
  <c r="AC189" i="1"/>
  <c r="D189" i="2"/>
  <c r="AC129" i="1"/>
  <c r="D129" i="2"/>
  <c r="AC65" i="1"/>
  <c r="D65" i="2"/>
  <c r="Z17" i="1"/>
  <c r="AC17" i="1" s="1"/>
  <c r="D17" i="2" s="1"/>
  <c r="E9" i="12"/>
  <c r="P95" i="12"/>
  <c r="Q95" i="12"/>
  <c r="P63" i="12"/>
  <c r="Q63" i="12"/>
  <c r="P31" i="12"/>
  <c r="Q31" i="12" s="1"/>
  <c r="E103" i="14"/>
  <c r="E106" i="14"/>
  <c r="H103" i="14"/>
  <c r="H106" i="14"/>
  <c r="S103" i="14"/>
  <c r="S106" i="14"/>
  <c r="K103" i="14"/>
  <c r="F70" i="14"/>
  <c r="N70" i="14"/>
  <c r="M115" i="14"/>
  <c r="H133" i="14"/>
  <c r="M92" i="14"/>
  <c r="E92" i="14"/>
  <c r="G95" i="14"/>
  <c r="N81" i="14"/>
  <c r="F81" i="14"/>
  <c r="I70" i="14"/>
  <c r="I37" i="10"/>
  <c r="I91" i="10"/>
  <c r="M91" i="10"/>
  <c r="I38" i="10"/>
  <c r="I92" i="10"/>
  <c r="G71" i="14"/>
  <c r="K71" i="14"/>
  <c r="O71" i="14"/>
  <c r="S71" i="14"/>
  <c r="F82" i="14"/>
  <c r="J82" i="14"/>
  <c r="N82" i="14"/>
  <c r="R82" i="14"/>
  <c r="F93" i="14"/>
  <c r="J93" i="14"/>
  <c r="N93" i="14"/>
  <c r="R93" i="14"/>
  <c r="I34" i="10"/>
  <c r="I88" i="10"/>
  <c r="M88" i="10" s="1"/>
  <c r="G68" i="14"/>
  <c r="D68" i="14" s="1"/>
  <c r="O68" i="14"/>
  <c r="H79" i="14"/>
  <c r="L79" i="14"/>
  <c r="P79" i="14"/>
  <c r="E90" i="14"/>
  <c r="I90" i="14"/>
  <c r="M90" i="14"/>
  <c r="Q90" i="14"/>
  <c r="E137" i="14"/>
  <c r="G137" i="14"/>
  <c r="I137" i="14"/>
  <c r="K137" i="14"/>
  <c r="M137" i="14"/>
  <c r="O137" i="14"/>
  <c r="Q137" i="14"/>
  <c r="S137" i="14"/>
  <c r="S142" i="14"/>
  <c r="F138" i="14"/>
  <c r="H138" i="14"/>
  <c r="J138" i="14"/>
  <c r="L138" i="14"/>
  <c r="N138" i="14"/>
  <c r="P138" i="14"/>
  <c r="R138" i="14"/>
  <c r="E139" i="14"/>
  <c r="G139" i="14"/>
  <c r="I139" i="14"/>
  <c r="K139" i="14"/>
  <c r="K142" i="14" s="1"/>
  <c r="M139" i="14"/>
  <c r="O139" i="14"/>
  <c r="Q139" i="14"/>
  <c r="S139" i="14"/>
  <c r="F119" i="14"/>
  <c r="H119" i="14"/>
  <c r="J119" i="14"/>
  <c r="L119" i="14"/>
  <c r="N119" i="14"/>
  <c r="P119" i="14"/>
  <c r="R119" i="14"/>
  <c r="E120" i="14"/>
  <c r="G120" i="14"/>
  <c r="I120" i="14"/>
  <c r="K120" i="14"/>
  <c r="M120" i="14"/>
  <c r="O120" i="14"/>
  <c r="Q120" i="14"/>
  <c r="S120" i="14"/>
  <c r="F121" i="14"/>
  <c r="H121" i="14"/>
  <c r="J121" i="14"/>
  <c r="L121" i="14"/>
  <c r="N121" i="14"/>
  <c r="N124" i="14" s="1"/>
  <c r="P121" i="14"/>
  <c r="R121" i="14"/>
  <c r="I30" i="10"/>
  <c r="I84" i="10" s="1"/>
  <c r="K30" i="10"/>
  <c r="K84" i="10" s="1"/>
  <c r="J31" i="10"/>
  <c r="J85" i="10"/>
  <c r="F65" i="14"/>
  <c r="F73" i="14"/>
  <c r="H65" i="14"/>
  <c r="H73" i="14"/>
  <c r="J65" i="14"/>
  <c r="L65" i="14"/>
  <c r="L73" i="14"/>
  <c r="N65" i="14"/>
  <c r="P65" i="14"/>
  <c r="P73" i="14" s="1"/>
  <c r="R65" i="14"/>
  <c r="F76" i="14"/>
  <c r="H76" i="14"/>
  <c r="I76" i="14"/>
  <c r="I84" i="14"/>
  <c r="K76" i="14"/>
  <c r="N76" i="14"/>
  <c r="P76" i="14"/>
  <c r="Q76" i="14"/>
  <c r="Q84" i="14" s="1"/>
  <c r="S76" i="14"/>
  <c r="F87" i="14"/>
  <c r="H87" i="14"/>
  <c r="J87" i="14"/>
  <c r="L87" i="14"/>
  <c r="N87" i="14"/>
  <c r="P87" i="14"/>
  <c r="R87" i="14"/>
  <c r="AC301" i="1"/>
  <c r="D301" i="2" s="1"/>
  <c r="O301" i="2" s="1"/>
  <c r="AC269" i="1"/>
  <c r="D269" i="2" s="1"/>
  <c r="AC237" i="1"/>
  <c r="D237" i="2"/>
  <c r="D237" i="12" s="1"/>
  <c r="AC205" i="1"/>
  <c r="D205" i="2" s="1"/>
  <c r="D205" i="12" s="1"/>
  <c r="AC173" i="1"/>
  <c r="D173" i="2" s="1"/>
  <c r="AC141" i="1"/>
  <c r="D141" i="2"/>
  <c r="P141" i="2" s="1"/>
  <c r="AC113" i="1"/>
  <c r="D113" i="2" s="1"/>
  <c r="AC81" i="1"/>
  <c r="D81" i="2" s="1"/>
  <c r="AC49" i="1"/>
  <c r="D49" i="2"/>
  <c r="D49" i="12"/>
  <c r="D145" i="14"/>
  <c r="L11" i="12"/>
  <c r="G327" i="5"/>
  <c r="G311" i="5"/>
  <c r="I247" i="12"/>
  <c r="L247" i="12" s="1"/>
  <c r="Q15" i="2"/>
  <c r="I15" i="12"/>
  <c r="K15" i="12"/>
  <c r="O15" i="2"/>
  <c r="D184" i="12"/>
  <c r="G184" i="12"/>
  <c r="N184" i="12"/>
  <c r="D184" i="5"/>
  <c r="F184" i="5"/>
  <c r="H184" i="5" s="1"/>
  <c r="I184" i="5"/>
  <c r="P184" i="2"/>
  <c r="D40" i="5"/>
  <c r="F40" i="5"/>
  <c r="P40" i="2"/>
  <c r="D40" i="12"/>
  <c r="F40" i="12"/>
  <c r="D16" i="12"/>
  <c r="F16" i="12"/>
  <c r="P16" i="2"/>
  <c r="O16" i="2"/>
  <c r="I341" i="12"/>
  <c r="L341" i="12"/>
  <c r="D344" i="12"/>
  <c r="G344" i="12"/>
  <c r="D344" i="5"/>
  <c r="P344" i="2"/>
  <c r="D288" i="5"/>
  <c r="F288" i="5" s="1"/>
  <c r="D288" i="12"/>
  <c r="F288" i="12"/>
  <c r="D334" i="12"/>
  <c r="F334" i="12"/>
  <c r="P334" i="2"/>
  <c r="P310" i="2"/>
  <c r="D310" i="12"/>
  <c r="F310" i="12" s="1"/>
  <c r="D302" i="5"/>
  <c r="F302" i="5"/>
  <c r="D302" i="12"/>
  <c r="F302" i="12"/>
  <c r="G221" i="12"/>
  <c r="Q199" i="2"/>
  <c r="Q175" i="2"/>
  <c r="I175" i="12"/>
  <c r="K175" i="12"/>
  <c r="G175" i="5"/>
  <c r="Q143" i="2"/>
  <c r="I143" i="12"/>
  <c r="L143" i="12" s="1"/>
  <c r="Q119" i="2"/>
  <c r="I119" i="12"/>
  <c r="L119" i="12" s="1"/>
  <c r="Q103" i="2"/>
  <c r="I103" i="12"/>
  <c r="O103" i="2"/>
  <c r="D168" i="5"/>
  <c r="D168" i="12"/>
  <c r="F168" i="12" s="1"/>
  <c r="D144" i="12"/>
  <c r="F144" i="12"/>
  <c r="P144" i="2"/>
  <c r="O144" i="2"/>
  <c r="D112" i="12"/>
  <c r="G112" i="12" s="1"/>
  <c r="N112" i="12" s="1"/>
  <c r="P112" i="2"/>
  <c r="D112" i="5"/>
  <c r="F112" i="5"/>
  <c r="H112" i="5"/>
  <c r="I112" i="5" s="1"/>
  <c r="D88" i="12"/>
  <c r="D88" i="5"/>
  <c r="F88" i="5"/>
  <c r="P88" i="2"/>
  <c r="O88" i="2"/>
  <c r="D72" i="12"/>
  <c r="F72" i="12"/>
  <c r="D72" i="5"/>
  <c r="F72" i="5"/>
  <c r="P72" i="2"/>
  <c r="O72" i="2"/>
  <c r="D56" i="12"/>
  <c r="D56" i="5"/>
  <c r="F56" i="5"/>
  <c r="H56" i="5"/>
  <c r="I56" i="5" s="1"/>
  <c r="P56" i="2"/>
  <c r="P312" i="2"/>
  <c r="P36" i="2"/>
  <c r="P180" i="2"/>
  <c r="O264" i="2"/>
  <c r="P288" i="2"/>
  <c r="Q27" i="2"/>
  <c r="G251" i="5"/>
  <c r="O10" i="2"/>
  <c r="Q51" i="2"/>
  <c r="Q211" i="2"/>
  <c r="K337" i="12"/>
  <c r="H169" i="5"/>
  <c r="I169" i="5" s="1"/>
  <c r="Q341" i="2"/>
  <c r="Q279" i="2"/>
  <c r="D310" i="5"/>
  <c r="F310" i="5" s="1"/>
  <c r="G61" i="12"/>
  <c r="F61" i="12"/>
  <c r="G121" i="12"/>
  <c r="F121" i="12"/>
  <c r="O295" i="2"/>
  <c r="O263" i="2"/>
  <c r="G263" i="5"/>
  <c r="D244" i="12"/>
  <c r="F244" i="12" s="1"/>
  <c r="D244" i="5"/>
  <c r="F244" i="5" s="1"/>
  <c r="H244" i="5" s="1"/>
  <c r="I244" i="5" s="1"/>
  <c r="D216" i="12"/>
  <c r="F216" i="12" s="1"/>
  <c r="D216" i="5"/>
  <c r="F216" i="5"/>
  <c r="H216" i="5"/>
  <c r="I216" i="5" s="1"/>
  <c r="P216" i="2"/>
  <c r="O216" i="2"/>
  <c r="AD8" i="1"/>
  <c r="M8" i="2"/>
  <c r="D280" i="12"/>
  <c r="G280" i="12"/>
  <c r="P280" i="2"/>
  <c r="D280" i="5"/>
  <c r="F280" i="5"/>
  <c r="D342" i="12"/>
  <c r="F342" i="12"/>
  <c r="D342" i="5"/>
  <c r="F342" i="5" s="1"/>
  <c r="O319" i="2"/>
  <c r="Q319" i="2"/>
  <c r="I319" i="12"/>
  <c r="L319" i="12" s="1"/>
  <c r="O287" i="2"/>
  <c r="Q287" i="2"/>
  <c r="O255" i="2"/>
  <c r="G255" i="5"/>
  <c r="I255" i="12"/>
  <c r="L255" i="12" s="1"/>
  <c r="Q207" i="2"/>
  <c r="I207" i="12"/>
  <c r="L207" i="12" s="1"/>
  <c r="Q183" i="2"/>
  <c r="I183" i="12"/>
  <c r="L183" i="12" s="1"/>
  <c r="I151" i="12"/>
  <c r="L151" i="12" s="1"/>
  <c r="N151" i="12" s="1"/>
  <c r="Q111" i="2"/>
  <c r="I111" i="12"/>
  <c r="L111" i="12" s="1"/>
  <c r="Q79" i="2"/>
  <c r="Q55" i="2"/>
  <c r="I55" i="12"/>
  <c r="L55" i="12" s="1"/>
  <c r="Q39" i="2"/>
  <c r="I39" i="12"/>
  <c r="Q23" i="2"/>
  <c r="I23" i="12"/>
  <c r="L23" i="12" s="1"/>
  <c r="D256" i="12"/>
  <c r="F256" i="12" s="1"/>
  <c r="D256" i="5"/>
  <c r="F256" i="5" s="1"/>
  <c r="P256" i="2"/>
  <c r="D176" i="12"/>
  <c r="F176" i="12"/>
  <c r="P176" i="2"/>
  <c r="D152" i="12"/>
  <c r="F152" i="12" s="1"/>
  <c r="D152" i="5"/>
  <c r="F152" i="5"/>
  <c r="H152" i="5" s="1"/>
  <c r="I152" i="5" s="1"/>
  <c r="P152" i="2"/>
  <c r="D136" i="12"/>
  <c r="G136" i="12"/>
  <c r="D136" i="5"/>
  <c r="F136" i="5"/>
  <c r="H136" i="5"/>
  <c r="I136" i="5" s="1"/>
  <c r="P136" i="2"/>
  <c r="D104" i="5"/>
  <c r="F104" i="5" s="1"/>
  <c r="H104" i="5"/>
  <c r="I104" i="5" s="1"/>
  <c r="P104" i="2"/>
  <c r="D80" i="12"/>
  <c r="F80" i="12" s="1"/>
  <c r="P80" i="2"/>
  <c r="D48" i="12"/>
  <c r="F48" i="12" s="1"/>
  <c r="P48" i="2"/>
  <c r="D24" i="12"/>
  <c r="F24" i="12"/>
  <c r="D24" i="5"/>
  <c r="F24" i="5" s="1"/>
  <c r="H24" i="5" s="1"/>
  <c r="I24" i="5" s="1"/>
  <c r="P24" i="2"/>
  <c r="D230" i="5"/>
  <c r="F230" i="5" s="1"/>
  <c r="D230" i="12"/>
  <c r="G230" i="12"/>
  <c r="D166" i="5"/>
  <c r="F166" i="5"/>
  <c r="D166" i="12"/>
  <c r="F166" i="12" s="1"/>
  <c r="D215" i="5"/>
  <c r="P215" i="2"/>
  <c r="O183" i="2"/>
  <c r="D183" i="12"/>
  <c r="G183" i="12" s="1"/>
  <c r="N183" i="12" s="1"/>
  <c r="D151" i="5"/>
  <c r="F151" i="5"/>
  <c r="P151" i="2"/>
  <c r="D119" i="5"/>
  <c r="F119" i="5" s="1"/>
  <c r="H119" i="5" s="1"/>
  <c r="I119" i="5" s="1"/>
  <c r="O119" i="2"/>
  <c r="D119" i="12"/>
  <c r="F119" i="12"/>
  <c r="D55" i="5"/>
  <c r="F55" i="5"/>
  <c r="H55" i="5" s="1"/>
  <c r="I55" i="5"/>
  <c r="O55" i="2"/>
  <c r="D55" i="12"/>
  <c r="G55" i="12"/>
  <c r="N55" i="12"/>
  <c r="G332" i="5"/>
  <c r="I332" i="12"/>
  <c r="K332" i="12" s="1"/>
  <c r="G264" i="5"/>
  <c r="I264" i="12"/>
  <c r="L264" i="12" s="1"/>
  <c r="G236" i="5"/>
  <c r="I236" i="12"/>
  <c r="K236" i="12" s="1"/>
  <c r="G220" i="5"/>
  <c r="I220" i="12"/>
  <c r="G204" i="5"/>
  <c r="I204" i="12"/>
  <c r="K204" i="12" s="1"/>
  <c r="G188" i="5"/>
  <c r="I188" i="12"/>
  <c r="L188" i="12" s="1"/>
  <c r="G172" i="5"/>
  <c r="I172" i="12"/>
  <c r="K172" i="12"/>
  <c r="G156" i="5"/>
  <c r="I156" i="12"/>
  <c r="G124" i="5"/>
  <c r="I124" i="12"/>
  <c r="L124" i="12" s="1"/>
  <c r="G108" i="5"/>
  <c r="I108" i="12"/>
  <c r="L108" i="12"/>
  <c r="G92" i="5"/>
  <c r="I92" i="12"/>
  <c r="K92" i="12"/>
  <c r="G76" i="5"/>
  <c r="I76" i="12"/>
  <c r="G60" i="5"/>
  <c r="I60" i="12"/>
  <c r="K60" i="12"/>
  <c r="G44" i="5"/>
  <c r="I44" i="12"/>
  <c r="L44" i="12"/>
  <c r="G28" i="5"/>
  <c r="I28" i="12"/>
  <c r="K28" i="12"/>
  <c r="G12" i="5"/>
  <c r="I12" i="12"/>
  <c r="D325" i="5"/>
  <c r="F325" i="5" s="1"/>
  <c r="H325" i="5" s="1"/>
  <c r="I325" i="5" s="1"/>
  <c r="O325" i="2"/>
  <c r="D325" i="12"/>
  <c r="G325" i="12" s="1"/>
  <c r="D265" i="5"/>
  <c r="F265" i="5" s="1"/>
  <c r="H265" i="5" s="1"/>
  <c r="I265" i="5" s="1"/>
  <c r="P265" i="2"/>
  <c r="O169" i="2"/>
  <c r="D169" i="12"/>
  <c r="G169" i="12" s="1"/>
  <c r="O137" i="2"/>
  <c r="D137" i="12"/>
  <c r="G137" i="12" s="1"/>
  <c r="O73" i="2"/>
  <c r="D73" i="12"/>
  <c r="F73" i="12"/>
  <c r="O41" i="2"/>
  <c r="D41" i="12"/>
  <c r="G41" i="12" s="1"/>
  <c r="N41" i="12" s="1"/>
  <c r="Q333" i="2"/>
  <c r="I333" i="12"/>
  <c r="K333" i="12" s="1"/>
  <c r="Q317" i="2"/>
  <c r="I317" i="12"/>
  <c r="L317" i="12"/>
  <c r="Q301" i="2"/>
  <c r="I301" i="12"/>
  <c r="L301" i="12"/>
  <c r="Q285" i="2"/>
  <c r="I285" i="12"/>
  <c r="L285" i="12"/>
  <c r="Q269" i="2"/>
  <c r="I269" i="12"/>
  <c r="L269" i="12" s="1"/>
  <c r="G253" i="5"/>
  <c r="I253" i="12"/>
  <c r="K253" i="12"/>
  <c r="G221" i="5"/>
  <c r="I221" i="12"/>
  <c r="K221" i="12" s="1"/>
  <c r="G205" i="5"/>
  <c r="I205" i="12"/>
  <c r="L205" i="12" s="1"/>
  <c r="G189" i="5"/>
  <c r="I189" i="12"/>
  <c r="K189" i="12" s="1"/>
  <c r="G173" i="5"/>
  <c r="I173" i="12"/>
  <c r="L173" i="12"/>
  <c r="G9" i="5"/>
  <c r="I9" i="12"/>
  <c r="E289" i="5"/>
  <c r="P289" i="2"/>
  <c r="E281" i="5"/>
  <c r="F281" i="5"/>
  <c r="P281" i="2"/>
  <c r="E273" i="5"/>
  <c r="P273" i="2"/>
  <c r="E257" i="5"/>
  <c r="P257" i="2"/>
  <c r="E249" i="5"/>
  <c r="P249" i="2"/>
  <c r="E241" i="5"/>
  <c r="F241" i="5" s="1"/>
  <c r="P241" i="2"/>
  <c r="E225" i="5"/>
  <c r="F225" i="5"/>
  <c r="D225" i="12"/>
  <c r="F225" i="12"/>
  <c r="E217" i="5"/>
  <c r="O217" i="2"/>
  <c r="D217" i="12"/>
  <c r="E209" i="5"/>
  <c r="P209" i="2"/>
  <c r="E193" i="5"/>
  <c r="F193" i="5" s="1"/>
  <c r="H193" i="5" s="1"/>
  <c r="I193" i="5" s="1"/>
  <c r="P193" i="2"/>
  <c r="E185" i="5"/>
  <c r="F185" i="5" s="1"/>
  <c r="H185" i="5"/>
  <c r="I185" i="5"/>
  <c r="P185" i="2"/>
  <c r="E161" i="5"/>
  <c r="F161" i="5" s="1"/>
  <c r="D161" i="12"/>
  <c r="G161" i="12" s="1"/>
  <c r="E153" i="5"/>
  <c r="E145" i="5"/>
  <c r="F145" i="5"/>
  <c r="D145" i="12"/>
  <c r="F145" i="12"/>
  <c r="E118" i="5"/>
  <c r="F118" i="5" s="1"/>
  <c r="P118" i="2"/>
  <c r="E110" i="5"/>
  <c r="D110" i="12"/>
  <c r="G110" i="12"/>
  <c r="E86" i="5"/>
  <c r="F86" i="5"/>
  <c r="P86" i="2"/>
  <c r="E78" i="5"/>
  <c r="P78" i="2"/>
  <c r="E54" i="5"/>
  <c r="F54" i="5" s="1"/>
  <c r="P54" i="2"/>
  <c r="E46" i="5"/>
  <c r="P46" i="2"/>
  <c r="AF11" i="1"/>
  <c r="E11" i="2" s="1"/>
  <c r="AE6" i="1"/>
  <c r="H285" i="5"/>
  <c r="I285" i="5" s="1"/>
  <c r="G290" i="5"/>
  <c r="I223" i="12"/>
  <c r="K223" i="12" s="1"/>
  <c r="G159" i="5"/>
  <c r="I159" i="12"/>
  <c r="L159" i="12" s="1"/>
  <c r="O159" i="2"/>
  <c r="Q95" i="2"/>
  <c r="G95" i="5"/>
  <c r="I95" i="12"/>
  <c r="K95" i="12" s="1"/>
  <c r="Q31" i="2"/>
  <c r="G31" i="5"/>
  <c r="I31" i="12"/>
  <c r="K31" i="12"/>
  <c r="D192" i="12"/>
  <c r="G192" i="12"/>
  <c r="N192" i="12" s="1"/>
  <c r="D192" i="5"/>
  <c r="F192" i="5"/>
  <c r="H192" i="5" s="1"/>
  <c r="I192" i="5" s="1"/>
  <c r="P192" i="2"/>
  <c r="O192" i="2"/>
  <c r="D128" i="12"/>
  <c r="F128" i="12"/>
  <c r="P128" i="2"/>
  <c r="D64" i="12"/>
  <c r="F64" i="12"/>
  <c r="D64" i="5"/>
  <c r="F64" i="5"/>
  <c r="P64" i="2"/>
  <c r="O64" i="2"/>
  <c r="F344" i="12"/>
  <c r="D322" i="12"/>
  <c r="D322" i="5"/>
  <c r="F322" i="5"/>
  <c r="P322" i="2"/>
  <c r="D290" i="12"/>
  <c r="D290" i="5"/>
  <c r="F290" i="5" s="1"/>
  <c r="H290" i="5" s="1"/>
  <c r="I290" i="5" s="1"/>
  <c r="P290" i="2"/>
  <c r="D258" i="5"/>
  <c r="F258" i="5"/>
  <c r="H258" i="5"/>
  <c r="I258" i="5" s="1"/>
  <c r="P258" i="2"/>
  <c r="D258" i="12"/>
  <c r="D226" i="12"/>
  <c r="G226" i="12" s="1"/>
  <c r="D226" i="5"/>
  <c r="F226" i="5"/>
  <c r="P226" i="2"/>
  <c r="D194" i="5"/>
  <c r="F194" i="5"/>
  <c r="P194" i="2"/>
  <c r="D194" i="12"/>
  <c r="D162" i="12"/>
  <c r="F162" i="12" s="1"/>
  <c r="D162" i="5"/>
  <c r="F162" i="5" s="1"/>
  <c r="P162" i="2"/>
  <c r="D130" i="5"/>
  <c r="F130" i="5" s="1"/>
  <c r="P130" i="2"/>
  <c r="D130" i="12"/>
  <c r="O130" i="2"/>
  <c r="D98" i="5"/>
  <c r="F98" i="5" s="1"/>
  <c r="H98" i="5" s="1"/>
  <c r="I98" i="5" s="1"/>
  <c r="P98" i="2"/>
  <c r="D98" i="12"/>
  <c r="G98" i="12" s="1"/>
  <c r="D66" i="5"/>
  <c r="F66" i="5"/>
  <c r="P66" i="2"/>
  <c r="D66" i="12"/>
  <c r="F66" i="12" s="1"/>
  <c r="D34" i="5"/>
  <c r="F34" i="5"/>
  <c r="P34" i="2"/>
  <c r="D34" i="12"/>
  <c r="D339" i="5"/>
  <c r="F339" i="5" s="1"/>
  <c r="H339" i="5" s="1"/>
  <c r="I339" i="5" s="1"/>
  <c r="P339" i="2"/>
  <c r="D339" i="12"/>
  <c r="F339" i="12"/>
  <c r="D307" i="5"/>
  <c r="F307" i="5"/>
  <c r="P307" i="2"/>
  <c r="D307" i="12"/>
  <c r="D275" i="5"/>
  <c r="D275" i="12"/>
  <c r="D243" i="5"/>
  <c r="D243" i="12"/>
  <c r="D211" i="5"/>
  <c r="F211" i="5"/>
  <c r="P211" i="2"/>
  <c r="D211" i="12"/>
  <c r="O211" i="2"/>
  <c r="D179" i="5"/>
  <c r="F179" i="5"/>
  <c r="P179" i="2"/>
  <c r="D179" i="12"/>
  <c r="O179" i="2"/>
  <c r="D147" i="5"/>
  <c r="F147" i="5" s="1"/>
  <c r="P147" i="2"/>
  <c r="D147" i="12"/>
  <c r="F147" i="12"/>
  <c r="O147" i="2"/>
  <c r="D115" i="12"/>
  <c r="F115" i="12"/>
  <c r="D115" i="5"/>
  <c r="F115" i="5" s="1"/>
  <c r="P115" i="2"/>
  <c r="D99" i="12"/>
  <c r="D99" i="5"/>
  <c r="F99" i="5"/>
  <c r="P99" i="2"/>
  <c r="O99" i="2"/>
  <c r="D35" i="12"/>
  <c r="D35" i="5"/>
  <c r="F35" i="5"/>
  <c r="P35" i="2"/>
  <c r="D19" i="12"/>
  <c r="G19" i="12"/>
  <c r="D19" i="5"/>
  <c r="F19" i="5"/>
  <c r="P19" i="2"/>
  <c r="D337" i="5"/>
  <c r="F337" i="5"/>
  <c r="H337" i="5" s="1"/>
  <c r="I337" i="5" s="1"/>
  <c r="P337" i="2"/>
  <c r="O337" i="2"/>
  <c r="D337" i="12"/>
  <c r="F337" i="12"/>
  <c r="D321" i="5"/>
  <c r="F321" i="5"/>
  <c r="P321" i="2"/>
  <c r="D321" i="12"/>
  <c r="F321" i="12"/>
  <c r="D305" i="5"/>
  <c r="F305" i="5"/>
  <c r="P305" i="2"/>
  <c r="D305" i="12"/>
  <c r="G305" i="12"/>
  <c r="D294" i="12"/>
  <c r="G294" i="12" s="1"/>
  <c r="N294" i="12" s="1"/>
  <c r="Q268" i="2"/>
  <c r="O268" i="2"/>
  <c r="Q298" i="2"/>
  <c r="O262" i="2"/>
  <c r="Q254" i="2"/>
  <c r="Q230" i="2"/>
  <c r="Q222" i="2"/>
  <c r="G214" i="5"/>
  <c r="Q214" i="2"/>
  <c r="O206" i="2"/>
  <c r="I202" i="12"/>
  <c r="L202" i="12" s="1"/>
  <c r="I198" i="12"/>
  <c r="K198" i="12" s="1"/>
  <c r="Q190" i="2"/>
  <c r="O174" i="2"/>
  <c r="Q158" i="2"/>
  <c r="G150" i="5"/>
  <c r="Q150" i="2"/>
  <c r="O142" i="2"/>
  <c r="Q138" i="2"/>
  <c r="I138" i="12"/>
  <c r="K138" i="12" s="1"/>
  <c r="Q118" i="2"/>
  <c r="G118" i="5"/>
  <c r="I118" i="12"/>
  <c r="L118" i="12"/>
  <c r="Q110" i="2"/>
  <c r="G106" i="5"/>
  <c r="G98" i="5"/>
  <c r="Q98" i="2"/>
  <c r="Q191" i="2"/>
  <c r="G191" i="5"/>
  <c r="I191" i="12"/>
  <c r="L191" i="12"/>
  <c r="O191" i="2"/>
  <c r="Q127" i="2"/>
  <c r="I127" i="12"/>
  <c r="K127" i="12"/>
  <c r="Q63" i="2"/>
  <c r="G63" i="5"/>
  <c r="I63" i="12"/>
  <c r="L63" i="12" s="1"/>
  <c r="D340" i="12"/>
  <c r="F340" i="12"/>
  <c r="F340" i="5"/>
  <c r="H340" i="5"/>
  <c r="I340" i="5" s="1"/>
  <c r="P340" i="2"/>
  <c r="O340" i="2"/>
  <c r="D224" i="12"/>
  <c r="F224" i="12" s="1"/>
  <c r="F224" i="5"/>
  <c r="P224" i="2"/>
  <c r="O224" i="2"/>
  <c r="F184" i="12"/>
  <c r="D160" i="12"/>
  <c r="F160" i="12" s="1"/>
  <c r="D160" i="5"/>
  <c r="F160" i="5" s="1"/>
  <c r="H160" i="5" s="1"/>
  <c r="I160" i="5" s="1"/>
  <c r="P160" i="2"/>
  <c r="O160" i="2"/>
  <c r="D96" i="12"/>
  <c r="G96" i="12" s="1"/>
  <c r="D96" i="5"/>
  <c r="F96" i="5" s="1"/>
  <c r="H96" i="5" s="1"/>
  <c r="I96" i="5" s="1"/>
  <c r="P96" i="2"/>
  <c r="O96" i="2"/>
  <c r="D32" i="12"/>
  <c r="G32" i="12"/>
  <c r="D32" i="5"/>
  <c r="F32" i="5" s="1"/>
  <c r="H32" i="5"/>
  <c r="I32" i="5"/>
  <c r="P32" i="2"/>
  <c r="O32" i="2"/>
  <c r="P276" i="2"/>
  <c r="O276" i="2"/>
  <c r="D240" i="5"/>
  <c r="F240" i="5" s="1"/>
  <c r="D240" i="12"/>
  <c r="G240" i="12"/>
  <c r="D330" i="12"/>
  <c r="D330" i="5"/>
  <c r="F330" i="5"/>
  <c r="P330" i="2"/>
  <c r="D298" i="5"/>
  <c r="P298" i="2"/>
  <c r="D266" i="12"/>
  <c r="G266" i="12"/>
  <c r="D266" i="5"/>
  <c r="P266" i="2"/>
  <c r="D234" i="5"/>
  <c r="P234" i="2"/>
  <c r="D202" i="12"/>
  <c r="D202" i="5"/>
  <c r="F202" i="5"/>
  <c r="P202" i="2"/>
  <c r="D170" i="5"/>
  <c r="F170" i="5"/>
  <c r="H170" i="5"/>
  <c r="I170" i="5" s="1"/>
  <c r="P170" i="2"/>
  <c r="D170" i="12"/>
  <c r="D138" i="12"/>
  <c r="D138" i="5"/>
  <c r="F138" i="5" s="1"/>
  <c r="P138" i="2"/>
  <c r="D106" i="12"/>
  <c r="D106" i="5"/>
  <c r="F106" i="5" s="1"/>
  <c r="H106" i="5" s="1"/>
  <c r="I106" i="5" s="1"/>
  <c r="P106" i="2"/>
  <c r="D74" i="12"/>
  <c r="F74" i="12" s="1"/>
  <c r="D74" i="5"/>
  <c r="F74" i="5"/>
  <c r="P74" i="2"/>
  <c r="D42" i="12"/>
  <c r="D42" i="5"/>
  <c r="F42" i="5" s="1"/>
  <c r="P42" i="2"/>
  <c r="D10" i="12"/>
  <c r="G10" i="12" s="1"/>
  <c r="D10" i="5"/>
  <c r="F10" i="5"/>
  <c r="P10" i="2"/>
  <c r="D315" i="12"/>
  <c r="D315" i="5"/>
  <c r="P315" i="2"/>
  <c r="D283" i="5"/>
  <c r="D251" i="12"/>
  <c r="D251" i="5"/>
  <c r="F251" i="5"/>
  <c r="P251" i="2"/>
  <c r="O251" i="2"/>
  <c r="D219" i="5"/>
  <c r="D187" i="5"/>
  <c r="F187" i="5" s="1"/>
  <c r="P187" i="2"/>
  <c r="D187" i="12"/>
  <c r="F187" i="12"/>
  <c r="D155" i="5"/>
  <c r="F155" i="5" s="1"/>
  <c r="H155" i="5" s="1"/>
  <c r="I155" i="5" s="1"/>
  <c r="P155" i="2"/>
  <c r="D155" i="12"/>
  <c r="D123" i="12"/>
  <c r="D123" i="5"/>
  <c r="F123" i="5"/>
  <c r="H123" i="5"/>
  <c r="I123" i="5" s="1"/>
  <c r="P123" i="2"/>
  <c r="D43" i="12"/>
  <c r="G43" i="12" s="1"/>
  <c r="D43" i="5"/>
  <c r="F43" i="5" s="1"/>
  <c r="P43" i="2"/>
  <c r="O43" i="2"/>
  <c r="D11" i="5"/>
  <c r="O329" i="2"/>
  <c r="D329" i="12"/>
  <c r="F329" i="12" s="1"/>
  <c r="D329" i="5"/>
  <c r="F329" i="5" s="1"/>
  <c r="H329" i="5" s="1"/>
  <c r="I329" i="5" s="1"/>
  <c r="P329" i="2"/>
  <c r="D313" i="5"/>
  <c r="F313" i="5"/>
  <c r="H313" i="5" s="1"/>
  <c r="I313" i="5" s="1"/>
  <c r="P313" i="2"/>
  <c r="O313" i="2"/>
  <c r="D313" i="12"/>
  <c r="G313" i="12" s="1"/>
  <c r="N313" i="12"/>
  <c r="O297" i="2"/>
  <c r="D297" i="12"/>
  <c r="G297" i="12"/>
  <c r="N297" i="12" s="1"/>
  <c r="D297" i="5"/>
  <c r="F297" i="5" s="1"/>
  <c r="H297" i="5" s="1"/>
  <c r="I297" i="5" s="1"/>
  <c r="P297" i="2"/>
  <c r="F249" i="12"/>
  <c r="E77" i="7"/>
  <c r="F79" i="7"/>
  <c r="F77" i="7"/>
  <c r="E79" i="7"/>
  <c r="M127" i="10"/>
  <c r="F263" i="12"/>
  <c r="F295" i="12"/>
  <c r="F327" i="12"/>
  <c r="G327" i="12"/>
  <c r="D205" i="5"/>
  <c r="F205" i="5" s="1"/>
  <c r="F95" i="14"/>
  <c r="F124" i="14"/>
  <c r="D110" i="14"/>
  <c r="E115" i="14"/>
  <c r="L86" i="10"/>
  <c r="F167" i="12"/>
  <c r="G150" i="12"/>
  <c r="P338" i="2"/>
  <c r="D164" i="12"/>
  <c r="P164" i="2"/>
  <c r="D164" i="5"/>
  <c r="F164" i="5"/>
  <c r="D248" i="12"/>
  <c r="D248" i="5"/>
  <c r="F248" i="5" s="1"/>
  <c r="O248" i="2"/>
  <c r="P248" i="2"/>
  <c r="D316" i="12"/>
  <c r="F316" i="12"/>
  <c r="D316" i="5"/>
  <c r="F316" i="5"/>
  <c r="H316" i="5" s="1"/>
  <c r="I316" i="5"/>
  <c r="K181" i="12"/>
  <c r="L181" i="12"/>
  <c r="K309" i="12"/>
  <c r="L309" i="12"/>
  <c r="G29" i="12"/>
  <c r="F29" i="12"/>
  <c r="L64" i="12"/>
  <c r="L72" i="12"/>
  <c r="K104" i="12"/>
  <c r="K128" i="12"/>
  <c r="K136" i="12"/>
  <c r="K168" i="12"/>
  <c r="K192" i="12"/>
  <c r="K200" i="12"/>
  <c r="K272" i="12"/>
  <c r="K292" i="12"/>
  <c r="K340" i="12"/>
  <c r="G191" i="12"/>
  <c r="N191" i="12" s="1"/>
  <c r="F191" i="12"/>
  <c r="K17" i="12"/>
  <c r="K213" i="12"/>
  <c r="K277" i="12"/>
  <c r="G93" i="12"/>
  <c r="F93" i="12"/>
  <c r="G97" i="12"/>
  <c r="E133" i="14"/>
  <c r="D128" i="14"/>
  <c r="I15" i="10" s="1"/>
  <c r="C20" i="7"/>
  <c r="J115" i="10" s="1"/>
  <c r="J117" i="10" s="1"/>
  <c r="F20" i="7"/>
  <c r="F23" i="7"/>
  <c r="I129" i="12"/>
  <c r="D158" i="12"/>
  <c r="F158" i="12"/>
  <c r="P52" i="2"/>
  <c r="D228" i="12"/>
  <c r="F228" i="12" s="1"/>
  <c r="O228" i="2"/>
  <c r="L245" i="12"/>
  <c r="F209" i="12"/>
  <c r="G209" i="12"/>
  <c r="F273" i="12"/>
  <c r="G273" i="12"/>
  <c r="F285" i="12"/>
  <c r="G285" i="12"/>
  <c r="N285" i="12" s="1"/>
  <c r="F289" i="12"/>
  <c r="G289" i="12"/>
  <c r="L40" i="12"/>
  <c r="K40" i="12"/>
  <c r="G71" i="12"/>
  <c r="L227" i="12"/>
  <c r="Q61" i="14"/>
  <c r="M61" i="14"/>
  <c r="I61" i="14"/>
  <c r="D57" i="14"/>
  <c r="J13" i="10" s="1"/>
  <c r="J18" i="10" s="1"/>
  <c r="S115" i="14"/>
  <c r="K115" i="14"/>
  <c r="R115" i="14"/>
  <c r="N115" i="14"/>
  <c r="J115" i="14"/>
  <c r="F115" i="14"/>
  <c r="D130" i="14"/>
  <c r="K15" i="10"/>
  <c r="D59" i="14"/>
  <c r="L13" i="10" s="1"/>
  <c r="L18" i="10" s="1"/>
  <c r="D70" i="14"/>
  <c r="F25" i="12"/>
  <c r="F149" i="12"/>
  <c r="D154" i="12"/>
  <c r="G154" i="12" s="1"/>
  <c r="D154" i="5"/>
  <c r="F154" i="5" s="1"/>
  <c r="O282" i="2"/>
  <c r="D274" i="12"/>
  <c r="F274" i="12" s="1"/>
  <c r="D274" i="5"/>
  <c r="F274" i="5" s="1"/>
  <c r="D338" i="5"/>
  <c r="F338" i="5" s="1"/>
  <c r="H338" i="5" s="1"/>
  <c r="I338" i="5" s="1"/>
  <c r="F209" i="5"/>
  <c r="P316" i="2"/>
  <c r="O284" i="2"/>
  <c r="S84" i="14"/>
  <c r="K84" i="14"/>
  <c r="D103" i="14"/>
  <c r="D113" i="14"/>
  <c r="L14" i="10"/>
  <c r="L102" i="10" s="1"/>
  <c r="S61" i="14"/>
  <c r="O61" i="14"/>
  <c r="K61" i="14"/>
  <c r="G61" i="14"/>
  <c r="R61" i="14"/>
  <c r="N61" i="14"/>
  <c r="J61" i="14"/>
  <c r="F61" i="14"/>
  <c r="D112" i="14"/>
  <c r="K14" i="10"/>
  <c r="O115" i="14"/>
  <c r="G115" i="14"/>
  <c r="D129" i="14"/>
  <c r="J15" i="10" s="1"/>
  <c r="D111" i="14"/>
  <c r="J14" i="10" s="1"/>
  <c r="P115" i="14"/>
  <c r="L115" i="14"/>
  <c r="H115" i="14"/>
  <c r="Q133" i="14"/>
  <c r="M133" i="14"/>
  <c r="I133" i="14"/>
  <c r="D99" i="14"/>
  <c r="D66" i="14"/>
  <c r="D102" i="14"/>
  <c r="D56" i="14"/>
  <c r="I13" i="10"/>
  <c r="F110" i="12"/>
  <c r="G145" i="12"/>
  <c r="G225" i="12"/>
  <c r="K205" i="12"/>
  <c r="L221" i="12"/>
  <c r="K301" i="12"/>
  <c r="K317" i="12"/>
  <c r="L333" i="12"/>
  <c r="F41" i="12"/>
  <c r="G73" i="12"/>
  <c r="N73" i="12" s="1"/>
  <c r="F137" i="12"/>
  <c r="F169" i="12"/>
  <c r="F325" i="12"/>
  <c r="G119" i="12"/>
  <c r="K111" i="12"/>
  <c r="K151" i="12"/>
  <c r="G244" i="12"/>
  <c r="G168" i="12"/>
  <c r="N168" i="12" s="1"/>
  <c r="L175" i="12"/>
  <c r="G40" i="12"/>
  <c r="G217" i="12"/>
  <c r="F217" i="12"/>
  <c r="K173" i="12"/>
  <c r="L189" i="12"/>
  <c r="L253" i="12"/>
  <c r="K269" i="12"/>
  <c r="K285" i="12"/>
  <c r="K44" i="12"/>
  <c r="K264" i="12"/>
  <c r="F183" i="12"/>
  <c r="G166" i="12"/>
  <c r="G48" i="12"/>
  <c r="N48" i="12" s="1"/>
  <c r="F136" i="12"/>
  <c r="K183" i="12"/>
  <c r="K207" i="12"/>
  <c r="K255" i="12"/>
  <c r="K319" i="12"/>
  <c r="G72" i="12"/>
  <c r="G144" i="12"/>
  <c r="G310" i="12"/>
  <c r="D20" i="2"/>
  <c r="D20" i="5"/>
  <c r="F20" i="5" s="1"/>
  <c r="H20" i="5" s="1"/>
  <c r="I20" i="5" s="1"/>
  <c r="F297" i="12"/>
  <c r="F313" i="12"/>
  <c r="G329" i="12"/>
  <c r="N329" i="12" s="1"/>
  <c r="F43" i="12"/>
  <c r="F138" i="12"/>
  <c r="G138" i="12"/>
  <c r="F170" i="12"/>
  <c r="F202" i="12"/>
  <c r="G202" i="12"/>
  <c r="N202" i="12" s="1"/>
  <c r="G282" i="12"/>
  <c r="F282" i="12"/>
  <c r="K63" i="12"/>
  <c r="L127" i="12"/>
  <c r="L138" i="12"/>
  <c r="K254" i="12"/>
  <c r="L254" i="12"/>
  <c r="K294" i="12"/>
  <c r="L294" i="12"/>
  <c r="K328" i="12"/>
  <c r="L328" i="12"/>
  <c r="G321" i="12"/>
  <c r="G337" i="12"/>
  <c r="G99" i="12"/>
  <c r="N99" i="12" s="1"/>
  <c r="F243" i="12"/>
  <c r="F275" i="12"/>
  <c r="F307" i="12"/>
  <c r="G66" i="12"/>
  <c r="F98" i="12"/>
  <c r="G258" i="12"/>
  <c r="L95" i="12"/>
  <c r="G42" i="12"/>
  <c r="G160" i="12"/>
  <c r="G224" i="12"/>
  <c r="G340" i="12"/>
  <c r="N340" i="12"/>
  <c r="G94" i="5"/>
  <c r="L198" i="12"/>
  <c r="F305" i="12"/>
  <c r="F130" i="12"/>
  <c r="G130" i="12"/>
  <c r="F194" i="12"/>
  <c r="G194" i="12"/>
  <c r="G242" i="12"/>
  <c r="G306" i="12"/>
  <c r="G322" i="12"/>
  <c r="F322" i="12"/>
  <c r="G128" i="12"/>
  <c r="N128" i="12" s="1"/>
  <c r="F192" i="12"/>
  <c r="K159" i="12"/>
  <c r="L223" i="12"/>
  <c r="L306" i="12"/>
  <c r="D133" i="14"/>
  <c r="I14" i="10"/>
  <c r="M14" i="10" s="1"/>
  <c r="F248" i="12"/>
  <c r="M86" i="10"/>
  <c r="D20" i="12"/>
  <c r="F20" i="12"/>
  <c r="D26" i="7"/>
  <c r="F251" i="12"/>
  <c r="K202" i="12"/>
  <c r="K118" i="12"/>
  <c r="K191" i="12"/>
  <c r="F32" i="12"/>
  <c r="F19" i="12"/>
  <c r="F240" i="12"/>
  <c r="K341" i="12"/>
  <c r="F280" i="12"/>
  <c r="G334" i="12"/>
  <c r="K143" i="12"/>
  <c r="F112" i="12"/>
  <c r="D237" i="5"/>
  <c r="F237" i="5"/>
  <c r="H237" i="5" s="1"/>
  <c r="I237" i="5" s="1"/>
  <c r="G123" i="12"/>
  <c r="I251" i="12"/>
  <c r="F23" i="12"/>
  <c r="X13" i="11"/>
  <c r="W13" i="11"/>
  <c r="E283" i="5"/>
  <c r="F283" i="5"/>
  <c r="O283" i="2"/>
  <c r="D283" i="12"/>
  <c r="F283" i="12"/>
  <c r="P283" i="2"/>
  <c r="E219" i="5"/>
  <c r="F219" i="5"/>
  <c r="P219" i="2"/>
  <c r="D219" i="12"/>
  <c r="G20" i="12"/>
  <c r="G158" i="12"/>
  <c r="G228" i="12"/>
  <c r="G64" i="12"/>
  <c r="N64" i="12" s="1"/>
  <c r="L31" i="12"/>
  <c r="F266" i="12"/>
  <c r="L15" i="12"/>
  <c r="G16" i="12"/>
  <c r="G288" i="12"/>
  <c r="G302" i="12"/>
  <c r="G80" i="12"/>
  <c r="N80" i="12" s="1"/>
  <c r="F230" i="12"/>
  <c r="F55" i="12"/>
  <c r="K188" i="12"/>
  <c r="G342" i="12"/>
  <c r="G176" i="12"/>
  <c r="N176" i="12"/>
  <c r="P228" i="2"/>
  <c r="P158" i="2"/>
  <c r="D94" i="5"/>
  <c r="F94" i="5" s="1"/>
  <c r="H94" i="5" s="1"/>
  <c r="I94" i="5" s="1"/>
  <c r="G248" i="12"/>
  <c r="G164" i="12"/>
  <c r="D31" i="12"/>
  <c r="D141" i="5"/>
  <c r="F141" i="5"/>
  <c r="G132" i="12"/>
  <c r="G177" i="12"/>
  <c r="F315" i="5"/>
  <c r="O94" i="2"/>
  <c r="Q258" i="2"/>
  <c r="Q270" i="2"/>
  <c r="H64" i="5"/>
  <c r="I64" i="5"/>
  <c r="G152" i="12"/>
  <c r="N152" i="12"/>
  <c r="F217" i="5"/>
  <c r="F215" i="5"/>
  <c r="G277" i="12"/>
  <c r="H72" i="5"/>
  <c r="I72" i="5" s="1"/>
  <c r="F344" i="5"/>
  <c r="G115" i="12"/>
  <c r="G147" i="12"/>
  <c r="N147" i="12" s="1"/>
  <c r="G179" i="12"/>
  <c r="G211" i="12"/>
  <c r="G243" i="12"/>
  <c r="N243" i="12" s="1"/>
  <c r="G275" i="12"/>
  <c r="G307" i="12"/>
  <c r="G339" i="12"/>
  <c r="K243" i="12"/>
  <c r="O311" i="2"/>
  <c r="Q227" i="2"/>
  <c r="D104" i="12"/>
  <c r="G104" i="12" s="1"/>
  <c r="N104" i="12" s="1"/>
  <c r="D176" i="5"/>
  <c r="F176" i="5" s="1"/>
  <c r="H176" i="5" s="1"/>
  <c r="I176" i="5" s="1"/>
  <c r="G147" i="5"/>
  <c r="Q99" i="2"/>
  <c r="O132" i="2"/>
  <c r="O180" i="2"/>
  <c r="D264" i="5"/>
  <c r="F264" i="5" s="1"/>
  <c r="H264" i="5" s="1"/>
  <c r="I264" i="5" s="1"/>
  <c r="Q11" i="2"/>
  <c r="I123" i="12"/>
  <c r="L123" i="12" s="1"/>
  <c r="Q147" i="2"/>
  <c r="D278" i="12"/>
  <c r="F278" i="12" s="1"/>
  <c r="P214" i="2"/>
  <c r="F257" i="5"/>
  <c r="F164" i="12"/>
  <c r="G316" i="12"/>
  <c r="N316" i="12" s="1"/>
  <c r="N221" i="12"/>
  <c r="O90" i="2"/>
  <c r="K129" i="12"/>
  <c r="P301" i="2"/>
  <c r="F35" i="12"/>
  <c r="F99" i="12"/>
  <c r="F179" i="12"/>
  <c r="F211" i="12"/>
  <c r="F34" i="12"/>
  <c r="F56" i="12"/>
  <c r="G56" i="12"/>
  <c r="G88" i="12"/>
  <c r="F88" i="12"/>
  <c r="L80" i="12"/>
  <c r="K80" i="12"/>
  <c r="L21" i="12"/>
  <c r="K21" i="12"/>
  <c r="K123" i="12"/>
  <c r="E298" i="5"/>
  <c r="D298" i="12"/>
  <c r="G298" i="12" s="1"/>
  <c r="E234" i="5"/>
  <c r="D234" i="12"/>
  <c r="F234" i="12" s="1"/>
  <c r="L265" i="12"/>
  <c r="K265" i="12"/>
  <c r="G118" i="12"/>
  <c r="N118" i="12" s="1"/>
  <c r="F118" i="12"/>
  <c r="F234" i="5"/>
  <c r="F266" i="5"/>
  <c r="F298" i="5"/>
  <c r="G330" i="12"/>
  <c r="O310" i="2"/>
  <c r="H147" i="5"/>
  <c r="I147" i="5" s="1"/>
  <c r="F258" i="12"/>
  <c r="I234" i="12"/>
  <c r="AF6" i="1"/>
  <c r="F123" i="12"/>
  <c r="F155" i="12"/>
  <c r="G187" i="12"/>
  <c r="G283" i="12"/>
  <c r="F315" i="12"/>
  <c r="G74" i="12"/>
  <c r="F327" i="5"/>
  <c r="H277" i="5"/>
  <c r="I277" i="5" s="1"/>
  <c r="G83" i="5"/>
  <c r="I19" i="12"/>
  <c r="G179" i="5"/>
  <c r="H179" i="5" s="1"/>
  <c r="I179" i="5" s="1"/>
  <c r="D36" i="12"/>
  <c r="D100" i="12"/>
  <c r="F100" i="12"/>
  <c r="D60" i="5"/>
  <c r="F60" i="5" s="1"/>
  <c r="H60" i="5" s="1"/>
  <c r="I60" i="5" s="1"/>
  <c r="D92" i="12"/>
  <c r="D108" i="5"/>
  <c r="F108" i="5" s="1"/>
  <c r="H108" i="5" s="1"/>
  <c r="I108" i="5" s="1"/>
  <c r="O156" i="2"/>
  <c r="D180" i="5"/>
  <c r="F180" i="5" s="1"/>
  <c r="H180" i="5" s="1"/>
  <c r="I180" i="5" s="1"/>
  <c r="G11" i="5"/>
  <c r="G163" i="5"/>
  <c r="Q75" i="2"/>
  <c r="Q243" i="2"/>
  <c r="O123" i="2"/>
  <c r="D28" i="5"/>
  <c r="F28" i="5"/>
  <c r="D100" i="5"/>
  <c r="F100" i="5"/>
  <c r="H100" i="5" s="1"/>
  <c r="I100" i="5" s="1"/>
  <c r="D132" i="5"/>
  <c r="F132" i="5" s="1"/>
  <c r="H132" i="5" s="1"/>
  <c r="I132" i="5" s="1"/>
  <c r="P156" i="2"/>
  <c r="Q43" i="2"/>
  <c r="Q67" i="2"/>
  <c r="G227" i="5"/>
  <c r="L129" i="12"/>
  <c r="G274" i="12"/>
  <c r="Q94" i="2"/>
  <c r="G35" i="12"/>
  <c r="F294" i="12"/>
  <c r="O31" i="2"/>
  <c r="D94" i="12"/>
  <c r="O257" i="2"/>
  <c r="P31" i="2"/>
  <c r="P242" i="2"/>
  <c r="G216" i="12"/>
  <c r="F265" i="12"/>
  <c r="L212" i="12"/>
  <c r="K212" i="12"/>
  <c r="G117" i="12"/>
  <c r="K308" i="12"/>
  <c r="L308" i="12"/>
  <c r="E275" i="5"/>
  <c r="F275" i="5" s="1"/>
  <c r="H275" i="5" s="1"/>
  <c r="I275" i="5" s="1"/>
  <c r="P275" i="2"/>
  <c r="E243" i="5"/>
  <c r="F243" i="5" s="1"/>
  <c r="P243" i="2"/>
  <c r="G85" i="12"/>
  <c r="F85" i="12"/>
  <c r="G133" i="12"/>
  <c r="F133" i="12"/>
  <c r="F197" i="12"/>
  <c r="G197" i="12"/>
  <c r="F281" i="12"/>
  <c r="G281" i="12"/>
  <c r="G293" i="12"/>
  <c r="F293" i="12"/>
  <c r="L137" i="12"/>
  <c r="N137" i="12" s="1"/>
  <c r="K137" i="12"/>
  <c r="K24" i="12"/>
  <c r="L24" i="12"/>
  <c r="K180" i="12"/>
  <c r="L180" i="12"/>
  <c r="G214" i="12"/>
  <c r="F214" i="12"/>
  <c r="G246" i="12"/>
  <c r="F246" i="12"/>
  <c r="G180" i="12"/>
  <c r="F180" i="12"/>
  <c r="E291" i="5"/>
  <c r="E259" i="5"/>
  <c r="G155" i="12"/>
  <c r="G251" i="12"/>
  <c r="G315" i="12"/>
  <c r="F42" i="12"/>
  <c r="F106" i="12"/>
  <c r="G170" i="12"/>
  <c r="F298" i="12"/>
  <c r="G254" i="5"/>
  <c r="G162" i="12"/>
  <c r="F226" i="12"/>
  <c r="F290" i="12"/>
  <c r="F249" i="5"/>
  <c r="H249" i="5" s="1"/>
  <c r="I249" i="5" s="1"/>
  <c r="F273" i="5"/>
  <c r="F289" i="5"/>
  <c r="H221" i="5"/>
  <c r="I221" i="5" s="1"/>
  <c r="I335" i="12"/>
  <c r="L335" i="12"/>
  <c r="I327" i="12"/>
  <c r="H88" i="5"/>
  <c r="I88" i="5" s="1"/>
  <c r="F168" i="5"/>
  <c r="H168" i="5"/>
  <c r="I168" i="5" s="1"/>
  <c r="I279" i="12"/>
  <c r="K279" i="12"/>
  <c r="Q327" i="2"/>
  <c r="G23" i="12"/>
  <c r="N23" i="12" s="1"/>
  <c r="Q83" i="2"/>
  <c r="O19" i="2"/>
  <c r="Q179" i="2"/>
  <c r="D116" i="12"/>
  <c r="P116" i="2"/>
  <c r="O60" i="2"/>
  <c r="D60" i="12"/>
  <c r="D92" i="5"/>
  <c r="F92" i="5" s="1"/>
  <c r="H92" i="5" s="1"/>
  <c r="I92" i="5" s="1"/>
  <c r="O108" i="2"/>
  <c r="D108" i="12"/>
  <c r="D156" i="12"/>
  <c r="G156" i="12" s="1"/>
  <c r="N156" i="12" s="1"/>
  <c r="I163" i="12"/>
  <c r="L163" i="12" s="1"/>
  <c r="G75" i="5"/>
  <c r="G99" i="5"/>
  <c r="H99" i="5"/>
  <c r="I99" i="5" s="1"/>
  <c r="G243" i="5"/>
  <c r="P132" i="2"/>
  <c r="F336" i="12"/>
  <c r="G27" i="5"/>
  <c r="Q123" i="2"/>
  <c r="G267" i="5"/>
  <c r="I51" i="12"/>
  <c r="L51" i="12" s="1"/>
  <c r="H25" i="5"/>
  <c r="I25" i="5"/>
  <c r="I216" i="12"/>
  <c r="I228" i="12"/>
  <c r="I244" i="12"/>
  <c r="L244" i="12" s="1"/>
  <c r="N244" i="12" s="1"/>
  <c r="I248" i="12"/>
  <c r="I284" i="12"/>
  <c r="G308" i="5"/>
  <c r="D15" i="5"/>
  <c r="F15" i="5" s="1"/>
  <c r="H15" i="5" s="1"/>
  <c r="I15" i="5" s="1"/>
  <c r="P167" i="2"/>
  <c r="C23" i="7"/>
  <c r="J68" i="10" s="1"/>
  <c r="I96" i="10"/>
  <c r="M96" i="10" s="1"/>
  <c r="F96" i="12"/>
  <c r="F330" i="12"/>
  <c r="G106" i="12"/>
  <c r="G290" i="12"/>
  <c r="G34" i="12"/>
  <c r="G234" i="12"/>
  <c r="N72" i="12"/>
  <c r="K108" i="12"/>
  <c r="F161" i="12"/>
  <c r="L134" i="12"/>
  <c r="K134" i="12"/>
  <c r="D33" i="12"/>
  <c r="G33" i="12" s="1"/>
  <c r="D33" i="5"/>
  <c r="F33" i="5"/>
  <c r="H33" i="5" s="1"/>
  <c r="I33" i="5" s="1"/>
  <c r="P33" i="2"/>
  <c r="K12" i="12"/>
  <c r="L12" i="12"/>
  <c r="K76" i="12"/>
  <c r="L76" i="12"/>
  <c r="K156" i="12"/>
  <c r="L156" i="12"/>
  <c r="L220" i="12"/>
  <c r="K220" i="12"/>
  <c r="L39" i="12"/>
  <c r="K39" i="12"/>
  <c r="L103" i="12"/>
  <c r="K103" i="12"/>
  <c r="L279" i="12"/>
  <c r="N119" i="12"/>
  <c r="F79" i="12"/>
  <c r="G336" i="12"/>
  <c r="K99" i="12"/>
  <c r="N277" i="12"/>
  <c r="K329" i="12"/>
  <c r="K201" i="12"/>
  <c r="K73" i="12"/>
  <c r="K57" i="12"/>
  <c r="K313" i="12"/>
  <c r="L68" i="12"/>
  <c r="K229" i="12"/>
  <c r="K176" i="12"/>
  <c r="I94" i="12"/>
  <c r="L94" i="12" s="1"/>
  <c r="K55" i="12"/>
  <c r="L332" i="12"/>
  <c r="L236" i="12"/>
  <c r="L204" i="12"/>
  <c r="L172" i="12"/>
  <c r="K124" i="12"/>
  <c r="L92" i="12"/>
  <c r="L60" i="12"/>
  <c r="L28" i="12"/>
  <c r="K247" i="12"/>
  <c r="K119" i="12"/>
  <c r="K335" i="12"/>
  <c r="K23" i="12"/>
  <c r="Q257" i="2"/>
  <c r="G257" i="5"/>
  <c r="H257" i="5" s="1"/>
  <c r="I257" i="5" s="1"/>
  <c r="G129" i="5"/>
  <c r="Q129" i="2"/>
  <c r="K147" i="12"/>
  <c r="H205" i="5"/>
  <c r="I205" i="5" s="1"/>
  <c r="H251" i="5"/>
  <c r="I251" i="5"/>
  <c r="N121" i="12"/>
  <c r="H40" i="5"/>
  <c r="I40" i="5" s="1"/>
  <c r="L56" i="12"/>
  <c r="N56" i="12" s="1"/>
  <c r="L179" i="12"/>
  <c r="N179" i="12"/>
  <c r="K293" i="12"/>
  <c r="F89" i="12"/>
  <c r="F193" i="12"/>
  <c r="F233" i="12"/>
  <c r="F151" i="12"/>
  <c r="I71" i="12"/>
  <c r="G71" i="5"/>
  <c r="Q71" i="2"/>
  <c r="O71" i="2"/>
  <c r="N306" i="12"/>
  <c r="F245" i="12"/>
  <c r="K112" i="12"/>
  <c r="N89" i="12"/>
  <c r="J157" i="12"/>
  <c r="J141" i="12"/>
  <c r="J125" i="12"/>
  <c r="J109" i="12"/>
  <c r="J93" i="12"/>
  <c r="J77" i="12"/>
  <c r="J61" i="12"/>
  <c r="J45" i="12"/>
  <c r="J29" i="12"/>
  <c r="J9" i="12"/>
  <c r="K94" i="12"/>
  <c r="N136" i="12"/>
  <c r="L84" i="12"/>
  <c r="G45" i="12"/>
  <c r="F37" i="12"/>
  <c r="G69" i="12"/>
  <c r="L75" i="12"/>
  <c r="H233" i="5"/>
  <c r="I233" i="5"/>
  <c r="AA165" i="1"/>
  <c r="AD165" i="1"/>
  <c r="M165" i="2" s="1"/>
  <c r="AA157" i="1"/>
  <c r="AD157" i="1"/>
  <c r="M157" i="2" s="1"/>
  <c r="AA149" i="1"/>
  <c r="AD149" i="1"/>
  <c r="M149" i="2" s="1"/>
  <c r="AA141" i="1"/>
  <c r="AD141" i="1" s="1"/>
  <c r="M141" i="2" s="1"/>
  <c r="O141" i="2" s="1"/>
  <c r="AA133" i="1"/>
  <c r="AD133" i="1" s="1"/>
  <c r="M133" i="2" s="1"/>
  <c r="AA125" i="1"/>
  <c r="AD125" i="1"/>
  <c r="M125" i="2" s="1"/>
  <c r="AA117" i="1"/>
  <c r="AD117" i="1"/>
  <c r="M117" i="2" s="1"/>
  <c r="AA109" i="1"/>
  <c r="AD109" i="1"/>
  <c r="M109" i="2" s="1"/>
  <c r="AA101" i="1"/>
  <c r="AD101" i="1" s="1"/>
  <c r="M101" i="2" s="1"/>
  <c r="AA93" i="1"/>
  <c r="AD93" i="1" s="1"/>
  <c r="M93" i="2" s="1"/>
  <c r="AA85" i="1"/>
  <c r="AD85" i="1" s="1"/>
  <c r="M85" i="2" s="1"/>
  <c r="AA77" i="1"/>
  <c r="AD77" i="1" s="1"/>
  <c r="M77" i="2" s="1"/>
  <c r="AA69" i="1"/>
  <c r="AD69" i="1" s="1"/>
  <c r="M69" i="2" s="1"/>
  <c r="AA61" i="1"/>
  <c r="AD61" i="1"/>
  <c r="M61" i="2" s="1"/>
  <c r="AA53" i="1"/>
  <c r="AD53" i="1"/>
  <c r="M53" i="2" s="1"/>
  <c r="AA45" i="1"/>
  <c r="AD45" i="1"/>
  <c r="M45" i="2" s="1"/>
  <c r="AA37" i="1"/>
  <c r="AD37" i="1" s="1"/>
  <c r="M37" i="2" s="1"/>
  <c r="AA29" i="1"/>
  <c r="P206" i="12"/>
  <c r="Q206" i="12" s="1"/>
  <c r="P270" i="12"/>
  <c r="Q270" i="12" s="1"/>
  <c r="P334" i="12"/>
  <c r="Q334" i="12" s="1"/>
  <c r="N138" i="12"/>
  <c r="D126" i="5"/>
  <c r="F126" i="5" s="1"/>
  <c r="O126" i="2"/>
  <c r="P126" i="2"/>
  <c r="D126" i="12"/>
  <c r="P190" i="2"/>
  <c r="D190" i="5"/>
  <c r="F190" i="5" s="1"/>
  <c r="H190" i="5" s="1"/>
  <c r="I190" i="5" s="1"/>
  <c r="O190" i="2"/>
  <c r="D190" i="12"/>
  <c r="D284" i="5"/>
  <c r="F284" i="5"/>
  <c r="H284" i="5" s="1"/>
  <c r="I284" i="5" s="1"/>
  <c r="D284" i="12"/>
  <c r="P284" i="2"/>
  <c r="O339" i="2"/>
  <c r="Q339" i="2"/>
  <c r="I339" i="12"/>
  <c r="G339" i="5"/>
  <c r="D324" i="12"/>
  <c r="P324" i="2"/>
  <c r="D324" i="5"/>
  <c r="F324" i="5" s="1"/>
  <c r="H324" i="5" s="1"/>
  <c r="I324" i="5" s="1"/>
  <c r="D272" i="12"/>
  <c r="P272" i="2"/>
  <c r="D272" i="5"/>
  <c r="F272" i="5"/>
  <c r="H272" i="5" s="1"/>
  <c r="I272" i="5" s="1"/>
  <c r="O272" i="2"/>
  <c r="G237" i="5"/>
  <c r="Q237" i="2"/>
  <c r="I237" i="12"/>
  <c r="D250" i="12"/>
  <c r="P250" i="2"/>
  <c r="D52" i="12"/>
  <c r="O52" i="2"/>
  <c r="D84" i="12"/>
  <c r="O84" i="2"/>
  <c r="I155" i="12"/>
  <c r="G155" i="5"/>
  <c r="Q155" i="2"/>
  <c r="O155" i="2"/>
  <c r="O292" i="2"/>
  <c r="D292" i="5"/>
  <c r="F292" i="5"/>
  <c r="H292" i="5" s="1"/>
  <c r="I292" i="5" s="1"/>
  <c r="D292" i="12"/>
  <c r="P292" i="2"/>
  <c r="G300" i="5"/>
  <c r="Q300" i="2"/>
  <c r="O300" i="2"/>
  <c r="I300" i="12"/>
  <c r="Q140" i="2"/>
  <c r="G140" i="5"/>
  <c r="I140" i="12"/>
  <c r="D153" i="5"/>
  <c r="O153" i="2"/>
  <c r="P153" i="2"/>
  <c r="D153" i="12"/>
  <c r="D182" i="12"/>
  <c r="F182" i="12" s="1"/>
  <c r="P182" i="2"/>
  <c r="D182" i="5"/>
  <c r="F182" i="5" s="1"/>
  <c r="O182" i="2"/>
  <c r="D231" i="12"/>
  <c r="D231" i="5"/>
  <c r="F231" i="5"/>
  <c r="P231" i="2"/>
  <c r="F153" i="5"/>
  <c r="H153" i="5"/>
  <c r="I153" i="5" s="1"/>
  <c r="H263" i="5"/>
  <c r="I263" i="5" s="1"/>
  <c r="O237" i="2"/>
  <c r="G229" i="12"/>
  <c r="N229" i="12" s="1"/>
  <c r="H229" i="5"/>
  <c r="I229" i="5"/>
  <c r="O275" i="2"/>
  <c r="I295" i="12"/>
  <c r="G295" i="5"/>
  <c r="I115" i="12"/>
  <c r="O115" i="2"/>
  <c r="G115" i="5"/>
  <c r="H115" i="5" s="1"/>
  <c r="I115" i="5" s="1"/>
  <c r="Q115" i="2"/>
  <c r="D172" i="12"/>
  <c r="O172" i="2"/>
  <c r="P172" i="2"/>
  <c r="D172" i="5"/>
  <c r="F172" i="5" s="1"/>
  <c r="H172" i="5" s="1"/>
  <c r="I172" i="5" s="1"/>
  <c r="G341" i="5"/>
  <c r="O341" i="2"/>
  <c r="Q224" i="2"/>
  <c r="G224" i="5"/>
  <c r="H224" i="5" s="1"/>
  <c r="I224" i="5" s="1"/>
  <c r="I224" i="12"/>
  <c r="P73" i="2"/>
  <c r="D73" i="5"/>
  <c r="F73" i="5"/>
  <c r="H73" i="5" s="1"/>
  <c r="I73" i="5" s="1"/>
  <c r="Q197" i="2"/>
  <c r="G197" i="5"/>
  <c r="H197" i="5"/>
  <c r="I197" i="5" s="1"/>
  <c r="I197" i="12"/>
  <c r="O197" i="2"/>
  <c r="P22" i="2"/>
  <c r="D22" i="12"/>
  <c r="D22" i="5"/>
  <c r="F22" i="5" s="1"/>
  <c r="O199" i="2"/>
  <c r="I199" i="12"/>
  <c r="G199" i="5"/>
  <c r="O44" i="2"/>
  <c r="D44" i="12"/>
  <c r="D44" i="5"/>
  <c r="F44" i="5" s="1"/>
  <c r="H44" i="5" s="1"/>
  <c r="I44" i="5" s="1"/>
  <c r="P44" i="2"/>
  <c r="Q96" i="2"/>
  <c r="G96" i="5"/>
  <c r="I96" i="12"/>
  <c r="D317" i="5"/>
  <c r="F317" i="5"/>
  <c r="P317" i="2"/>
  <c r="O317" i="2"/>
  <c r="D317" i="12"/>
  <c r="P201" i="2"/>
  <c r="O201" i="2"/>
  <c r="D201" i="5"/>
  <c r="F201" i="5" s="1"/>
  <c r="H201" i="5" s="1"/>
  <c r="I201" i="5" s="1"/>
  <c r="D201" i="12"/>
  <c r="G281" i="5"/>
  <c r="H281" i="5" s="1"/>
  <c r="I281" i="5" s="1"/>
  <c r="I281" i="12"/>
  <c r="O281" i="2"/>
  <c r="Q281" i="2"/>
  <c r="P87" i="2"/>
  <c r="D87" i="12"/>
  <c r="F87" i="12"/>
  <c r="D87" i="5"/>
  <c r="F87" i="5"/>
  <c r="H156" i="5"/>
  <c r="I156" i="5" s="1"/>
  <c r="F10" i="12"/>
  <c r="N25" i="12"/>
  <c r="N180" i="12"/>
  <c r="F241" i="12"/>
  <c r="G109" i="12"/>
  <c r="L325" i="12"/>
  <c r="N325" i="12" s="1"/>
  <c r="F33" i="12"/>
  <c r="H293" i="5"/>
  <c r="I293" i="5" s="1"/>
  <c r="P21" i="12"/>
  <c r="Q21" i="12"/>
  <c r="Q65" i="2"/>
  <c r="I65" i="12"/>
  <c r="G65" i="5"/>
  <c r="G193" i="5"/>
  <c r="I193" i="12"/>
  <c r="Q193" i="2"/>
  <c r="O193" i="2"/>
  <c r="N40" i="12"/>
  <c r="I139" i="12"/>
  <c r="Q139" i="2"/>
  <c r="D236" i="12"/>
  <c r="O236" i="2"/>
  <c r="G256" i="5"/>
  <c r="H256" i="5" s="1"/>
  <c r="I256" i="5" s="1"/>
  <c r="I256" i="12"/>
  <c r="Q256" i="2"/>
  <c r="Q120" i="2"/>
  <c r="G120" i="5"/>
  <c r="I120" i="12"/>
  <c r="I217" i="12"/>
  <c r="G217" i="5"/>
  <c r="H217" i="5" s="1"/>
  <c r="I217" i="5" s="1"/>
  <c r="D21" i="12"/>
  <c r="O21" i="2"/>
  <c r="N337" i="12"/>
  <c r="F57" i="12"/>
  <c r="G57" i="12"/>
  <c r="G275" i="5"/>
  <c r="I275" i="12"/>
  <c r="I171" i="12"/>
  <c r="G171" i="5"/>
  <c r="I91" i="12"/>
  <c r="G91" i="5"/>
  <c r="P124" i="2"/>
  <c r="D124" i="5"/>
  <c r="F124" i="5"/>
  <c r="H124" i="5" s="1"/>
  <c r="I124" i="5" s="1"/>
  <c r="D320" i="5"/>
  <c r="F320" i="5" s="1"/>
  <c r="D320" i="12"/>
  <c r="P320" i="2"/>
  <c r="Q164" i="2"/>
  <c r="I164" i="12"/>
  <c r="G164" i="5"/>
  <c r="H164" i="5"/>
  <c r="I164" i="5" s="1"/>
  <c r="Q36" i="2"/>
  <c r="I36" i="12"/>
  <c r="G36" i="5"/>
  <c r="P181" i="2"/>
  <c r="D181" i="5"/>
  <c r="F181" i="5" s="1"/>
  <c r="H181" i="5" s="1"/>
  <c r="I181" i="5" s="1"/>
  <c r="D181" i="12"/>
  <c r="D53" i="5"/>
  <c r="F53" i="5" s="1"/>
  <c r="D53" i="12"/>
  <c r="Q261" i="2"/>
  <c r="I261" i="12"/>
  <c r="G261" i="5"/>
  <c r="O261" i="2"/>
  <c r="G165" i="12"/>
  <c r="O256" i="2"/>
  <c r="P288" i="12"/>
  <c r="Q288" i="12"/>
  <c r="C9" i="7"/>
  <c r="O161" i="2"/>
  <c r="Q161" i="2"/>
  <c r="G161" i="5"/>
  <c r="H161" i="5"/>
  <c r="I161" i="5" s="1"/>
  <c r="I161" i="12"/>
  <c r="Q33" i="2"/>
  <c r="G33" i="5"/>
  <c r="I33" i="12"/>
  <c r="O33" i="2"/>
  <c r="P20" i="2"/>
  <c r="O20" i="2"/>
  <c r="O225" i="2"/>
  <c r="Q225" i="2"/>
  <c r="G225" i="5"/>
  <c r="H225" i="5"/>
  <c r="I225" i="5" s="1"/>
  <c r="I225" i="12"/>
  <c r="Q97" i="2"/>
  <c r="G97" i="5"/>
  <c r="H97" i="5" s="1"/>
  <c r="I97" i="5" s="1"/>
  <c r="I97" i="12"/>
  <c r="O97" i="2"/>
  <c r="O222" i="2"/>
  <c r="D222" i="12"/>
  <c r="D222" i="5"/>
  <c r="F222" i="5"/>
  <c r="P222" i="2"/>
  <c r="L132" i="12"/>
  <c r="N132" i="12"/>
  <c r="K132" i="12"/>
  <c r="P142" i="2"/>
  <c r="D142" i="5"/>
  <c r="F142" i="5" s="1"/>
  <c r="D142" i="12"/>
  <c r="D78" i="5"/>
  <c r="F78" i="5" s="1"/>
  <c r="D78" i="12"/>
  <c r="Q324" i="2"/>
  <c r="G324" i="5"/>
  <c r="F154" i="12"/>
  <c r="G256" i="12"/>
  <c r="L20" i="12"/>
  <c r="N20" i="12"/>
  <c r="K148" i="12"/>
  <c r="K316" i="12"/>
  <c r="F215" i="12"/>
  <c r="L144" i="12"/>
  <c r="N144" i="12"/>
  <c r="F105" i="12"/>
  <c r="P28" i="2"/>
  <c r="D28" i="12"/>
  <c r="D336" i="5"/>
  <c r="F336" i="5" s="1"/>
  <c r="P336" i="2"/>
  <c r="P159" i="2"/>
  <c r="D159" i="12"/>
  <c r="Q196" i="2"/>
  <c r="G196" i="5"/>
  <c r="O324" i="2"/>
  <c r="H137" i="5"/>
  <c r="I137" i="5" s="1"/>
  <c r="H261" i="5"/>
  <c r="I261" i="5" s="1"/>
  <c r="H317" i="5"/>
  <c r="I317" i="5" s="1"/>
  <c r="H23" i="5"/>
  <c r="I23" i="5"/>
  <c r="P174" i="12"/>
  <c r="Q174" i="12" s="1"/>
  <c r="P78" i="12"/>
  <c r="Q78" i="12" s="1"/>
  <c r="P66" i="12"/>
  <c r="Q66" i="12" s="1"/>
  <c r="P62" i="12"/>
  <c r="Q62" i="12"/>
  <c r="P58" i="12"/>
  <c r="Q58" i="12" s="1"/>
  <c r="P50" i="12"/>
  <c r="Q50" i="12" s="1"/>
  <c r="P46" i="12"/>
  <c r="Q46" i="12" s="1"/>
  <c r="P42" i="12"/>
  <c r="Q42" i="12"/>
  <c r="P335" i="12"/>
  <c r="Q335" i="12" s="1"/>
  <c r="P271" i="12"/>
  <c r="Q271" i="12" s="1"/>
  <c r="U6" i="11"/>
  <c r="P302" i="12"/>
  <c r="Q302" i="12" s="1"/>
  <c r="P238" i="12"/>
  <c r="Q238" i="12"/>
  <c r="P110" i="12"/>
  <c r="Q110" i="12"/>
  <c r="P30" i="12"/>
  <c r="Q30" i="12"/>
  <c r="P303" i="12"/>
  <c r="Q303" i="12" s="1"/>
  <c r="P239" i="12"/>
  <c r="Q239" i="12"/>
  <c r="D103" i="12"/>
  <c r="I273" i="12"/>
  <c r="O273" i="2"/>
  <c r="G273" i="5"/>
  <c r="H273" i="5" s="1"/>
  <c r="I273" i="5" s="1"/>
  <c r="Q273" i="2"/>
  <c r="Q209" i="2"/>
  <c r="O209" i="2"/>
  <c r="I209" i="12"/>
  <c r="G209" i="5"/>
  <c r="H209" i="5"/>
  <c r="I209" i="5" s="1"/>
  <c r="O145" i="2"/>
  <c r="I145" i="12"/>
  <c r="Q145" i="2"/>
  <c r="G145" i="5"/>
  <c r="I81" i="12"/>
  <c r="Q81" i="2"/>
  <c r="G81" i="5"/>
  <c r="P146" i="2"/>
  <c r="D146" i="12"/>
  <c r="P210" i="2"/>
  <c r="D210" i="12"/>
  <c r="O218" i="2"/>
  <c r="P218" i="2"/>
  <c r="D218" i="5"/>
  <c r="F218" i="5"/>
  <c r="D218" i="12"/>
  <c r="F218" i="12" s="1"/>
  <c r="O305" i="2"/>
  <c r="I305" i="12"/>
  <c r="G305" i="5"/>
  <c r="H305" i="5"/>
  <c r="I305" i="5" s="1"/>
  <c r="Q305" i="2"/>
  <c r="Q241" i="2"/>
  <c r="G241" i="5"/>
  <c r="H241" i="5" s="1"/>
  <c r="I241" i="5" s="1"/>
  <c r="O241" i="2"/>
  <c r="I241" i="12"/>
  <c r="Q177" i="2"/>
  <c r="G177" i="5"/>
  <c r="H177" i="5" s="1"/>
  <c r="I177" i="5" s="1"/>
  <c r="O177" i="2"/>
  <c r="I177" i="12"/>
  <c r="G113" i="5"/>
  <c r="Q113" i="2"/>
  <c r="I113" i="12"/>
  <c r="G49" i="5"/>
  <c r="Q49" i="2"/>
  <c r="I49" i="12"/>
  <c r="D9" i="2"/>
  <c r="D83" i="12"/>
  <c r="P83" i="2"/>
  <c r="D122" i="5"/>
  <c r="F122" i="5" s="1"/>
  <c r="O122" i="2"/>
  <c r="D178" i="12"/>
  <c r="P178" i="2"/>
  <c r="O254" i="2"/>
  <c r="P254" i="2"/>
  <c r="D254" i="5"/>
  <c r="F254" i="5"/>
  <c r="H254" i="5" s="1"/>
  <c r="I254" i="5" s="1"/>
  <c r="D254" i="12"/>
  <c r="O286" i="2"/>
  <c r="D286" i="12"/>
  <c r="H266" i="5"/>
  <c r="I266" i="5"/>
  <c r="H327" i="5"/>
  <c r="I327" i="5" s="1"/>
  <c r="H199" i="5"/>
  <c r="I199" i="5" s="1"/>
  <c r="G315" i="5"/>
  <c r="H315" i="5" s="1"/>
  <c r="I315" i="5" s="1"/>
  <c r="O315" i="2"/>
  <c r="I315" i="12"/>
  <c r="I291" i="12"/>
  <c r="Q291" i="2"/>
  <c r="G291" i="5"/>
  <c r="G219" i="5"/>
  <c r="I219" i="12"/>
  <c r="O219" i="2"/>
  <c r="Q219" i="2"/>
  <c r="G211" i="5"/>
  <c r="H211" i="5" s="1"/>
  <c r="I211" i="5" s="1"/>
  <c r="I211" i="12"/>
  <c r="G151" i="5"/>
  <c r="H151" i="5" s="1"/>
  <c r="I151" i="5" s="1"/>
  <c r="O151" i="2"/>
  <c r="I131" i="12"/>
  <c r="Q131" i="2"/>
  <c r="K83" i="12"/>
  <c r="L83" i="12"/>
  <c r="O49" i="2"/>
  <c r="M89" i="10"/>
  <c r="H295" i="5"/>
  <c r="I295" i="5"/>
  <c r="H213" i="5"/>
  <c r="I213" i="5" s="1"/>
  <c r="D8" i="12"/>
  <c r="D8" i="5"/>
  <c r="F8" i="5"/>
  <c r="P8" i="2"/>
  <c r="I10" i="12"/>
  <c r="G10" i="5"/>
  <c r="H10" i="5"/>
  <c r="I10" i="5" s="1"/>
  <c r="I307" i="12"/>
  <c r="O307" i="2"/>
  <c r="G307" i="5"/>
  <c r="H307" i="5" s="1"/>
  <c r="I307" i="5" s="1"/>
  <c r="G299" i="5"/>
  <c r="I299" i="12"/>
  <c r="Q299" i="2"/>
  <c r="G235" i="5"/>
  <c r="Q235" i="2"/>
  <c r="I235" i="12"/>
  <c r="G203" i="5"/>
  <c r="Q203" i="2"/>
  <c r="I203" i="12"/>
  <c r="F199" i="12"/>
  <c r="H71" i="5"/>
  <c r="I71" i="5"/>
  <c r="N233" i="12"/>
  <c r="F104" i="12"/>
  <c r="K121" i="12"/>
  <c r="H41" i="5"/>
  <c r="I41" i="5"/>
  <c r="N105" i="12"/>
  <c r="H245" i="5"/>
  <c r="I245" i="5"/>
  <c r="N265" i="12"/>
  <c r="N293" i="12"/>
  <c r="H103" i="5"/>
  <c r="I103" i="5" s="1"/>
  <c r="H159" i="5"/>
  <c r="I159" i="5"/>
  <c r="N57" i="12"/>
  <c r="H28" i="5"/>
  <c r="I28" i="5" s="1"/>
  <c r="N249" i="12"/>
  <c r="P79" i="12"/>
  <c r="P207" i="12"/>
  <c r="Q207" i="12"/>
  <c r="P175" i="12"/>
  <c r="Q175" i="12"/>
  <c r="P143" i="12"/>
  <c r="Q143" i="12" s="1"/>
  <c r="L93" i="14"/>
  <c r="P91" i="14"/>
  <c r="H91" i="14"/>
  <c r="Q87" i="14"/>
  <c r="M87" i="14"/>
  <c r="M95" i="14" s="1"/>
  <c r="I87" i="14"/>
  <c r="I95" i="14"/>
  <c r="E87" i="14"/>
  <c r="L82" i="14"/>
  <c r="R80" i="14"/>
  <c r="J80" i="14"/>
  <c r="R76" i="14"/>
  <c r="M76" i="14"/>
  <c r="M84" i="14"/>
  <c r="J76" i="14"/>
  <c r="E76" i="14"/>
  <c r="M71" i="14"/>
  <c r="E71" i="14"/>
  <c r="R69" i="14"/>
  <c r="S65" i="14"/>
  <c r="S73" i="14"/>
  <c r="O65" i="14"/>
  <c r="K65" i="14"/>
  <c r="G65" i="14"/>
  <c r="K31" i="10"/>
  <c r="K85" i="10" s="1"/>
  <c r="I31" i="10"/>
  <c r="I85" i="10" s="1"/>
  <c r="M85" i="10" s="1"/>
  <c r="J30" i="10"/>
  <c r="Q121" i="14"/>
  <c r="M121" i="14"/>
  <c r="M124" i="14"/>
  <c r="I121" i="14"/>
  <c r="E121" i="14"/>
  <c r="P120" i="14"/>
  <c r="P124" i="14"/>
  <c r="L120" i="14"/>
  <c r="L124" i="14" s="1"/>
  <c r="H120" i="14"/>
  <c r="S119" i="14"/>
  <c r="O119" i="14"/>
  <c r="O124" i="14"/>
  <c r="K119" i="14"/>
  <c r="G119" i="14"/>
  <c r="R139" i="14"/>
  <c r="R142" i="14" s="1"/>
  <c r="N139" i="14"/>
  <c r="J139" i="14"/>
  <c r="J142" i="14" s="1"/>
  <c r="F139" i="14"/>
  <c r="Q138" i="14"/>
  <c r="Q142" i="14"/>
  <c r="M138" i="14"/>
  <c r="M142" i="14" s="1"/>
  <c r="I138" i="14"/>
  <c r="I142" i="14"/>
  <c r="E138" i="14"/>
  <c r="P137" i="14"/>
  <c r="L137" i="14"/>
  <c r="L142" i="14"/>
  <c r="H137" i="14"/>
  <c r="F6" i="8"/>
  <c r="F26" i="12"/>
  <c r="G59" i="12"/>
  <c r="F90" i="12"/>
  <c r="G90" i="12"/>
  <c r="D141" i="12"/>
  <c r="P205" i="2"/>
  <c r="O205" i="2"/>
  <c r="O269" i="2"/>
  <c r="D67" i="12"/>
  <c r="D107" i="12"/>
  <c r="O111" i="2"/>
  <c r="D131" i="12"/>
  <c r="O139" i="2"/>
  <c r="D163" i="5"/>
  <c r="F163" i="5"/>
  <c r="H163" i="5" s="1"/>
  <c r="I163" i="5" s="1"/>
  <c r="O235" i="2"/>
  <c r="P267" i="2"/>
  <c r="D299" i="5"/>
  <c r="F299" i="5"/>
  <c r="O299" i="2"/>
  <c r="P58" i="2"/>
  <c r="D250" i="5"/>
  <c r="F250" i="5" s="1"/>
  <c r="O250" i="2"/>
  <c r="P274" i="2"/>
  <c r="O274" i="2"/>
  <c r="P282" i="2"/>
  <c r="D282" i="5"/>
  <c r="F282" i="5"/>
  <c r="D306" i="5"/>
  <c r="F306" i="5" s="1"/>
  <c r="P306" i="2"/>
  <c r="O306" i="2"/>
  <c r="G344" i="5"/>
  <c r="O344" i="2"/>
  <c r="I344" i="12"/>
  <c r="G320" i="5"/>
  <c r="Q320" i="2"/>
  <c r="I320" i="12"/>
  <c r="Q304" i="2"/>
  <c r="G304" i="5"/>
  <c r="O304" i="2"/>
  <c r="I304" i="12"/>
  <c r="O296" i="2"/>
  <c r="G296" i="5"/>
  <c r="I296" i="12"/>
  <c r="I288" i="12"/>
  <c r="O288" i="2"/>
  <c r="Q288" i="2"/>
  <c r="G268" i="5"/>
  <c r="I268" i="12"/>
  <c r="I342" i="12"/>
  <c r="O342" i="2"/>
  <c r="Q342" i="2"/>
  <c r="G338" i="5"/>
  <c r="I338" i="12"/>
  <c r="Q330" i="2"/>
  <c r="I330" i="12"/>
  <c r="G330" i="5"/>
  <c r="H330" i="5"/>
  <c r="I330" i="5"/>
  <c r="Q322" i="2"/>
  <c r="G322" i="5"/>
  <c r="H322" i="5" s="1"/>
  <c r="I322" i="5"/>
  <c r="I322" i="12"/>
  <c r="I318" i="12"/>
  <c r="G318" i="5"/>
  <c r="I310" i="12"/>
  <c r="Q310" i="2"/>
  <c r="Q306" i="2"/>
  <c r="G306" i="5"/>
  <c r="O302" i="2"/>
  <c r="G302" i="5"/>
  <c r="I302" i="12"/>
  <c r="Q290" i="2"/>
  <c r="O290" i="2"/>
  <c r="I290" i="12"/>
  <c r="I286" i="12"/>
  <c r="G286" i="5"/>
  <c r="Q286" i="2"/>
  <c r="Q278" i="2"/>
  <c r="G278" i="5"/>
  <c r="H278" i="5"/>
  <c r="I278" i="5"/>
  <c r="I278" i="12"/>
  <c r="G270" i="5"/>
  <c r="I270" i="12"/>
  <c r="Q262" i="2"/>
  <c r="G262" i="5"/>
  <c r="I262" i="12"/>
  <c r="I246" i="12"/>
  <c r="Q246" i="2"/>
  <c r="G246" i="5"/>
  <c r="H246" i="5"/>
  <c r="I246" i="5" s="1"/>
  <c r="I242" i="12"/>
  <c r="G242" i="5"/>
  <c r="Q242" i="2"/>
  <c r="Q238" i="2"/>
  <c r="G238" i="5"/>
  <c r="I238" i="12"/>
  <c r="I222" i="12"/>
  <c r="G222" i="5"/>
  <c r="H222" i="5"/>
  <c r="I222" i="5" s="1"/>
  <c r="G190" i="5"/>
  <c r="I190" i="12"/>
  <c r="I154" i="12"/>
  <c r="G154" i="5"/>
  <c r="H154" i="5"/>
  <c r="I154" i="5" s="1"/>
  <c r="Q154" i="2"/>
  <c r="G142" i="5"/>
  <c r="I142" i="12"/>
  <c r="Q142" i="2"/>
  <c r="G138" i="5"/>
  <c r="O138" i="2"/>
  <c r="G126" i="5"/>
  <c r="I126" i="12"/>
  <c r="Q126" i="2"/>
  <c r="Q122" i="2"/>
  <c r="I122" i="12"/>
  <c r="G122" i="5"/>
  <c r="H122" i="5"/>
  <c r="I122" i="5" s="1"/>
  <c r="I114" i="12"/>
  <c r="G114" i="5"/>
  <c r="Q114" i="2"/>
  <c r="Q106" i="2"/>
  <c r="O106" i="2"/>
  <c r="I106" i="12"/>
  <c r="Q102" i="2"/>
  <c r="G102" i="5"/>
  <c r="I102" i="12"/>
  <c r="I98" i="12"/>
  <c r="O98" i="2"/>
  <c r="I86" i="12"/>
  <c r="Q86" i="2"/>
  <c r="G86" i="5"/>
  <c r="O86" i="2"/>
  <c r="G82" i="5"/>
  <c r="I82" i="12"/>
  <c r="Q82" i="2"/>
  <c r="Q62" i="2"/>
  <c r="G62" i="5"/>
  <c r="I62" i="12"/>
  <c r="I58" i="12"/>
  <c r="G58" i="5"/>
  <c r="Q58" i="2"/>
  <c r="Q54" i="2"/>
  <c r="I54" i="12"/>
  <c r="G54" i="5"/>
  <c r="O54" i="2"/>
  <c r="Q46" i="2"/>
  <c r="G46" i="5"/>
  <c r="O46" i="2"/>
  <c r="I46" i="12"/>
  <c r="Q42" i="2"/>
  <c r="O42" i="2"/>
  <c r="I42" i="12"/>
  <c r="G42" i="5"/>
  <c r="H42" i="5"/>
  <c r="I42" i="5" s="1"/>
  <c r="O38" i="2"/>
  <c r="Q38" i="2"/>
  <c r="I38" i="12"/>
  <c r="G38" i="5"/>
  <c r="I34" i="12"/>
  <c r="G34" i="5"/>
  <c r="O34" i="2"/>
  <c r="Q34" i="2"/>
  <c r="G30" i="5"/>
  <c r="Q30" i="2"/>
  <c r="I30" i="12"/>
  <c r="O22" i="2"/>
  <c r="G22" i="5"/>
  <c r="I22" i="12"/>
  <c r="Q22" i="2"/>
  <c r="Q14" i="2"/>
  <c r="O14" i="2"/>
  <c r="G14" i="5"/>
  <c r="I14" i="12"/>
  <c r="Q323" i="2"/>
  <c r="I323" i="12"/>
  <c r="G323" i="5"/>
  <c r="I283" i="12"/>
  <c r="G283" i="5"/>
  <c r="Q283" i="2"/>
  <c r="Q271" i="2"/>
  <c r="G271" i="5"/>
  <c r="I271" i="12"/>
  <c r="Q239" i="2"/>
  <c r="G239" i="5"/>
  <c r="I239" i="12"/>
  <c r="G223" i="5"/>
  <c r="O223" i="2"/>
  <c r="I195" i="12"/>
  <c r="Q195" i="2"/>
  <c r="G195" i="5"/>
  <c r="G167" i="5"/>
  <c r="H167" i="5" s="1"/>
  <c r="I167" i="5"/>
  <c r="Q167" i="2"/>
  <c r="O167" i="2"/>
  <c r="I167" i="12"/>
  <c r="I135" i="12"/>
  <c r="O135" i="2"/>
  <c r="Q135" i="2"/>
  <c r="G135" i="5"/>
  <c r="I87" i="12"/>
  <c r="O87" i="2"/>
  <c r="Q87" i="2"/>
  <c r="G87" i="5"/>
  <c r="I47" i="12"/>
  <c r="Q47" i="2"/>
  <c r="G47" i="5"/>
  <c r="G35" i="5"/>
  <c r="O35" i="2"/>
  <c r="I35" i="12"/>
  <c r="Q35" i="2"/>
  <c r="D308" i="5"/>
  <c r="F308" i="5" s="1"/>
  <c r="H308" i="5"/>
  <c r="I308" i="5"/>
  <c r="D308" i="12"/>
  <c r="O308" i="2"/>
  <c r="P308" i="2"/>
  <c r="P220" i="2"/>
  <c r="D220" i="12"/>
  <c r="D220" i="5"/>
  <c r="F220" i="5"/>
  <c r="H220" i="5"/>
  <c r="I220" i="5" s="1"/>
  <c r="O220" i="2"/>
  <c r="D200" i="12"/>
  <c r="P200" i="2"/>
  <c r="D200" i="5"/>
  <c r="F200" i="5" s="1"/>
  <c r="O200" i="2"/>
  <c r="P188" i="2"/>
  <c r="D188" i="5"/>
  <c r="F188" i="5"/>
  <c r="H188" i="5" s="1"/>
  <c r="I188" i="5" s="1"/>
  <c r="O188" i="2"/>
  <c r="D188" i="12"/>
  <c r="D128" i="5"/>
  <c r="F128" i="5"/>
  <c r="H128" i="5" s="1"/>
  <c r="I128" i="5"/>
  <c r="O128" i="2"/>
  <c r="I18" i="10"/>
  <c r="G218" i="12"/>
  <c r="D39" i="5"/>
  <c r="F39" i="5"/>
  <c r="H39" i="5" s="1"/>
  <c r="I39" i="5" s="1"/>
  <c r="D301" i="5"/>
  <c r="F301" i="5" s="1"/>
  <c r="H301" i="5"/>
  <c r="I301" i="5" s="1"/>
  <c r="D301" i="12"/>
  <c r="P237" i="2"/>
  <c r="D173" i="12"/>
  <c r="P173" i="2"/>
  <c r="D113" i="5"/>
  <c r="F113" i="5" s="1"/>
  <c r="H113" i="5"/>
  <c r="I113" i="5"/>
  <c r="P49" i="2"/>
  <c r="D49" i="5"/>
  <c r="F49" i="5" s="1"/>
  <c r="H49" i="5" s="1"/>
  <c r="I49" i="5" s="1"/>
  <c r="O335" i="2"/>
  <c r="D303" i="12"/>
  <c r="P59" i="2"/>
  <c r="O331" i="2"/>
  <c r="P26" i="2"/>
  <c r="P195" i="2"/>
  <c r="P18" i="2"/>
  <c r="H54" i="5"/>
  <c r="I54" i="5" s="1"/>
  <c r="H86" i="5"/>
  <c r="I86" i="5" s="1"/>
  <c r="H342" i="5"/>
  <c r="I342" i="5"/>
  <c r="H310" i="5"/>
  <c r="I310" i="5" s="1"/>
  <c r="H288" i="5"/>
  <c r="I288" i="5" s="1"/>
  <c r="H344" i="5"/>
  <c r="I344" i="5"/>
  <c r="M90" i="10"/>
  <c r="H22" i="5"/>
  <c r="I22" i="5"/>
  <c r="H150" i="5"/>
  <c r="I150" i="5"/>
  <c r="O158" i="2"/>
  <c r="H191" i="5"/>
  <c r="I191" i="5"/>
  <c r="H214" i="5"/>
  <c r="I214" i="5"/>
  <c r="D17" i="12"/>
  <c r="P17" i="2"/>
  <c r="D75" i="5"/>
  <c r="F75" i="5" s="1"/>
  <c r="H75" i="5"/>
  <c r="I75" i="5" s="1"/>
  <c r="P75" i="2"/>
  <c r="D143" i="5"/>
  <c r="F143" i="5" s="1"/>
  <c r="H143" i="5" s="1"/>
  <c r="I143" i="5" s="1"/>
  <c r="D143" i="12"/>
  <c r="D171" i="5"/>
  <c r="F171" i="5"/>
  <c r="H171" i="5" s="1"/>
  <c r="I171" i="5" s="1"/>
  <c r="D171" i="12"/>
  <c r="P175" i="2"/>
  <c r="D175" i="5"/>
  <c r="F175" i="5" s="1"/>
  <c r="H175" i="5" s="1"/>
  <c r="I175" i="5" s="1"/>
  <c r="P203" i="2"/>
  <c r="O203" i="2"/>
  <c r="D227" i="5"/>
  <c r="F227" i="5" s="1"/>
  <c r="H227" i="5"/>
  <c r="I227" i="5" s="1"/>
  <c r="O227" i="2"/>
  <c r="D331" i="12"/>
  <c r="P331" i="2"/>
  <c r="D26" i="5"/>
  <c r="F26" i="5"/>
  <c r="O26" i="2"/>
  <c r="D27" i="12"/>
  <c r="P27" i="2"/>
  <c r="O27" i="2"/>
  <c r="D51" i="12"/>
  <c r="P51" i="2"/>
  <c r="O51" i="2"/>
  <c r="D59" i="5"/>
  <c r="F59" i="5" s="1"/>
  <c r="O59" i="2"/>
  <c r="D83" i="5"/>
  <c r="F83" i="5" s="1"/>
  <c r="H83" i="5"/>
  <c r="I83" i="5" s="1"/>
  <c r="O83" i="2"/>
  <c r="D91" i="12"/>
  <c r="P91" i="2"/>
  <c r="O91" i="2"/>
  <c r="D90" i="5"/>
  <c r="F90" i="5" s="1"/>
  <c r="P90" i="2"/>
  <c r="O114" i="2"/>
  <c r="D114" i="5"/>
  <c r="F114" i="5"/>
  <c r="H114" i="5" s="1"/>
  <c r="I114" i="5"/>
  <c r="D114" i="12"/>
  <c r="D122" i="12"/>
  <c r="P122" i="2"/>
  <c r="O146" i="2"/>
  <c r="D146" i="5"/>
  <c r="F146" i="5"/>
  <c r="O154" i="2"/>
  <c r="P154" i="2"/>
  <c r="D178" i="5"/>
  <c r="F178" i="5" s="1"/>
  <c r="O178" i="2"/>
  <c r="D186" i="12"/>
  <c r="P186" i="2"/>
  <c r="O186" i="2"/>
  <c r="O210" i="2"/>
  <c r="D210" i="5"/>
  <c r="F210" i="5"/>
  <c r="D242" i="5"/>
  <c r="F242" i="5" s="1"/>
  <c r="H242" i="5" s="1"/>
  <c r="I242" i="5" s="1"/>
  <c r="O242" i="2"/>
  <c r="P286" i="2"/>
  <c r="D286" i="5"/>
  <c r="F286" i="5"/>
  <c r="H286" i="5"/>
  <c r="I286" i="5" s="1"/>
  <c r="G336" i="5"/>
  <c r="O336" i="2"/>
  <c r="Q336" i="2"/>
  <c r="I336" i="12"/>
  <c r="O328" i="2"/>
  <c r="Q328" i="2"/>
  <c r="G328" i="5"/>
  <c r="I312" i="12"/>
  <c r="Q312" i="2"/>
  <c r="O312" i="2"/>
  <c r="G312" i="5"/>
  <c r="G280" i="5"/>
  <c r="I280" i="12"/>
  <c r="O280" i="2"/>
  <c r="Q276" i="2"/>
  <c r="I276" i="12"/>
  <c r="G276" i="5"/>
  <c r="I260" i="12"/>
  <c r="G260" i="5"/>
  <c r="O260" i="2"/>
  <c r="Q260" i="2"/>
  <c r="I240" i="12"/>
  <c r="O240" i="2"/>
  <c r="Q240" i="2"/>
  <c r="G240" i="5"/>
  <c r="I334" i="12"/>
  <c r="O334" i="2"/>
  <c r="G334" i="5"/>
  <c r="I326" i="12"/>
  <c r="O326" i="2"/>
  <c r="G326" i="5"/>
  <c r="Q314" i="2"/>
  <c r="G314" i="5"/>
  <c r="I314" i="12"/>
  <c r="G298" i="5"/>
  <c r="H298" i="5"/>
  <c r="I298" i="5" s="1"/>
  <c r="O298" i="2"/>
  <c r="I298" i="12"/>
  <c r="Q294" i="2"/>
  <c r="G294" i="5"/>
  <c r="O294" i="2"/>
  <c r="I282" i="12"/>
  <c r="Q282" i="2"/>
  <c r="G282" i="5"/>
  <c r="G274" i="5"/>
  <c r="H274" i="5"/>
  <c r="I274" i="5" s="1"/>
  <c r="I274" i="12"/>
  <c r="Q274" i="2"/>
  <c r="Q266" i="2"/>
  <c r="I266" i="12"/>
  <c r="O266" i="2"/>
  <c r="O258" i="2"/>
  <c r="I258" i="12"/>
  <c r="I250" i="12"/>
  <c r="G250" i="5"/>
  <c r="Q250" i="2"/>
  <c r="O234" i="2"/>
  <c r="G234" i="5"/>
  <c r="H234" i="5"/>
  <c r="I234" i="5" s="1"/>
  <c r="G230" i="5"/>
  <c r="H230" i="5" s="1"/>
  <c r="I230" i="5" s="1"/>
  <c r="O230" i="2"/>
  <c r="I230" i="12"/>
  <c r="G226" i="5"/>
  <c r="H226" i="5" s="1"/>
  <c r="I226" i="5" s="1"/>
  <c r="O226" i="2"/>
  <c r="Q226" i="2"/>
  <c r="I226" i="12"/>
  <c r="Q218" i="2"/>
  <c r="I218" i="12"/>
  <c r="G218" i="5"/>
  <c r="H218" i="5"/>
  <c r="I218" i="5" s="1"/>
  <c r="O214" i="2"/>
  <c r="I214" i="12"/>
  <c r="I210" i="12"/>
  <c r="Q210" i="2"/>
  <c r="G210" i="5"/>
  <c r="I206" i="12"/>
  <c r="Q206" i="2"/>
  <c r="G206" i="5"/>
  <c r="G202" i="5"/>
  <c r="H202" i="5" s="1"/>
  <c r="I202" i="5"/>
  <c r="O202" i="2"/>
  <c r="G198" i="5"/>
  <c r="Q198" i="2"/>
  <c r="O198" i="2"/>
  <c r="I194" i="12"/>
  <c r="O194" i="2"/>
  <c r="G194" i="5"/>
  <c r="H194" i="5"/>
  <c r="I194" i="5" s="1"/>
  <c r="Q194" i="2"/>
  <c r="Q186" i="2"/>
  <c r="I186" i="12"/>
  <c r="G186" i="5"/>
  <c r="H186" i="5" s="1"/>
  <c r="I186" i="5" s="1"/>
  <c r="Q182" i="2"/>
  <c r="G182" i="5"/>
  <c r="H182" i="5" s="1"/>
  <c r="I182" i="5" s="1"/>
  <c r="I182" i="12"/>
  <c r="G178" i="5"/>
  <c r="I178" i="12"/>
  <c r="Q178" i="2"/>
  <c r="I174" i="12"/>
  <c r="Q174" i="2"/>
  <c r="G174" i="5"/>
  <c r="Q170" i="2"/>
  <c r="I170" i="12"/>
  <c r="O170" i="2"/>
  <c r="G166" i="5"/>
  <c r="H166" i="5" s="1"/>
  <c r="I166" i="5" s="1"/>
  <c r="O166" i="2"/>
  <c r="I166" i="12"/>
  <c r="I162" i="12"/>
  <c r="G162" i="5"/>
  <c r="H162" i="5" s="1"/>
  <c r="I162" i="5" s="1"/>
  <c r="O162" i="2"/>
  <c r="Q162" i="2"/>
  <c r="G158" i="5"/>
  <c r="H158" i="5" s="1"/>
  <c r="I158" i="5" s="1"/>
  <c r="I158" i="12"/>
  <c r="I150" i="12"/>
  <c r="O150" i="2"/>
  <c r="I146" i="12"/>
  <c r="G146" i="5"/>
  <c r="Q146" i="2"/>
  <c r="G134" i="5"/>
  <c r="Q134" i="2"/>
  <c r="O134" i="2"/>
  <c r="G130" i="5"/>
  <c r="H130" i="5"/>
  <c r="I130" i="5" s="1"/>
  <c r="I130" i="12"/>
  <c r="Q130" i="2"/>
  <c r="O110" i="2"/>
  <c r="I110" i="12"/>
  <c r="I90" i="12"/>
  <c r="Q90" i="2"/>
  <c r="G90" i="5"/>
  <c r="Q78" i="2"/>
  <c r="G78" i="5"/>
  <c r="H78" i="5"/>
  <c r="I78" i="5" s="1"/>
  <c r="O78" i="2"/>
  <c r="I78" i="12"/>
  <c r="G74" i="5"/>
  <c r="I74" i="12"/>
  <c r="Q74" i="2"/>
  <c r="O74" i="2"/>
  <c r="Q70" i="2"/>
  <c r="I70" i="12"/>
  <c r="G70" i="5"/>
  <c r="O70" i="2"/>
  <c r="Q66" i="2"/>
  <c r="O66" i="2"/>
  <c r="G66" i="5"/>
  <c r="H66" i="5" s="1"/>
  <c r="I66" i="5" s="1"/>
  <c r="I66" i="12"/>
  <c r="G50" i="5"/>
  <c r="I50" i="12"/>
  <c r="Q50" i="2"/>
  <c r="G26" i="5"/>
  <c r="Q26" i="2"/>
  <c r="I26" i="12"/>
  <c r="I18" i="12"/>
  <c r="G18" i="5"/>
  <c r="Q18" i="2"/>
  <c r="Q343" i="2"/>
  <c r="G343" i="5"/>
  <c r="I343" i="12"/>
  <c r="O343" i="2"/>
  <c r="G331" i="5"/>
  <c r="H331" i="5"/>
  <c r="I331" i="5" s="1"/>
  <c r="Q331" i="2"/>
  <c r="I331" i="12"/>
  <c r="G303" i="5"/>
  <c r="I303" i="12"/>
  <c r="Q303" i="2"/>
  <c r="I259" i="12"/>
  <c r="G259" i="5"/>
  <c r="Q259" i="2"/>
  <c r="I231" i="12"/>
  <c r="O231" i="2"/>
  <c r="G231" i="5"/>
  <c r="H231" i="5"/>
  <c r="I231" i="5" s="1"/>
  <c r="Q231" i="2"/>
  <c r="Q215" i="2"/>
  <c r="G215" i="5"/>
  <c r="H215" i="5" s="1"/>
  <c r="I215" i="5" s="1"/>
  <c r="I215" i="12"/>
  <c r="O215" i="2"/>
  <c r="G187" i="5"/>
  <c r="H187" i="5" s="1"/>
  <c r="I187" i="5" s="1"/>
  <c r="O187" i="2"/>
  <c r="I187" i="12"/>
  <c r="Q187" i="2"/>
  <c r="L139" i="12"/>
  <c r="K139" i="12"/>
  <c r="G127" i="5"/>
  <c r="O127" i="2"/>
  <c r="G107" i="5"/>
  <c r="I107" i="12"/>
  <c r="Q107" i="2"/>
  <c r="I59" i="12"/>
  <c r="G59" i="5"/>
  <c r="H59" i="5" s="1"/>
  <c r="I59" i="5" s="1"/>
  <c r="Q59" i="2"/>
  <c r="K27" i="12"/>
  <c r="L27" i="12"/>
  <c r="P332" i="2"/>
  <c r="D332" i="12"/>
  <c r="D332" i="5"/>
  <c r="F332" i="5"/>
  <c r="H332" i="5" s="1"/>
  <c r="I332" i="5" s="1"/>
  <c r="O332" i="2"/>
  <c r="D232" i="5"/>
  <c r="F232" i="5"/>
  <c r="H232" i="5" s="1"/>
  <c r="I232" i="5" s="1"/>
  <c r="D232" i="12"/>
  <c r="O232" i="2"/>
  <c r="P232" i="2"/>
  <c r="D208" i="12"/>
  <c r="O208" i="2"/>
  <c r="D208" i="5"/>
  <c r="F208" i="5" s="1"/>
  <c r="H208" i="5" s="1"/>
  <c r="I208" i="5" s="1"/>
  <c r="P208" i="2"/>
  <c r="D196" i="12"/>
  <c r="O196" i="2"/>
  <c r="D196" i="5"/>
  <c r="F196" i="5" s="1"/>
  <c r="H196" i="5" s="1"/>
  <c r="I196" i="5" s="1"/>
  <c r="P196" i="2"/>
  <c r="D140" i="12"/>
  <c r="P140" i="2"/>
  <c r="D140" i="5"/>
  <c r="F140" i="5"/>
  <c r="H140" i="5" s="1"/>
  <c r="I140" i="5" s="1"/>
  <c r="O140" i="2"/>
  <c r="O120" i="2"/>
  <c r="D120" i="12"/>
  <c r="P120" i="2"/>
  <c r="D120" i="5"/>
  <c r="F120" i="5"/>
  <c r="H120" i="5" s="1"/>
  <c r="I120" i="5" s="1"/>
  <c r="H74" i="5"/>
  <c r="I74" i="5" s="1"/>
  <c r="H138" i="5"/>
  <c r="I138" i="5"/>
  <c r="H240" i="5"/>
  <c r="I240" i="5"/>
  <c r="H35" i="5"/>
  <c r="I35" i="5"/>
  <c r="H34" i="5"/>
  <c r="I34" i="5" s="1"/>
  <c r="H118" i="5"/>
  <c r="I118" i="5"/>
  <c r="H280" i="5"/>
  <c r="I280" i="5"/>
  <c r="H302" i="5"/>
  <c r="I302" i="5"/>
  <c r="H87" i="5"/>
  <c r="I87" i="5" s="1"/>
  <c r="H135" i="5"/>
  <c r="I135" i="5"/>
  <c r="H142" i="5"/>
  <c r="I142" i="5"/>
  <c r="H334" i="5"/>
  <c r="I334" i="5"/>
  <c r="G24" i="12"/>
  <c r="N24" i="12" s="1"/>
  <c r="E109" i="7"/>
  <c r="E110" i="7"/>
  <c r="G100" i="12"/>
  <c r="N100" i="12"/>
  <c r="K163" i="12"/>
  <c r="E294" i="5"/>
  <c r="G185" i="12"/>
  <c r="N185" i="12" s="1"/>
  <c r="K244" i="12"/>
  <c r="E18" i="7"/>
  <c r="E26" i="7" s="1"/>
  <c r="I23" i="7"/>
  <c r="E133" i="7"/>
  <c r="F133" i="7"/>
  <c r="G278" i="12"/>
  <c r="K251" i="12"/>
  <c r="L251" i="12"/>
  <c r="N251" i="12"/>
  <c r="Z13" i="11"/>
  <c r="Z6" i="11"/>
  <c r="Z13" i="1"/>
  <c r="P13" i="12"/>
  <c r="Q13" i="12"/>
  <c r="E13" i="12"/>
  <c r="E6" i="12" s="1"/>
  <c r="AB13" i="11"/>
  <c r="AA13" i="11"/>
  <c r="AA6" i="11"/>
  <c r="AA13" i="1"/>
  <c r="AD13" i="1"/>
  <c r="V6" i="11"/>
  <c r="J13" i="12"/>
  <c r="AC13" i="11"/>
  <c r="H219" i="5"/>
  <c r="I219" i="5" s="1"/>
  <c r="G31" i="12"/>
  <c r="N31" i="12" s="1"/>
  <c r="F31" i="12"/>
  <c r="H283" i="5"/>
  <c r="I283" i="5" s="1"/>
  <c r="G219" i="12"/>
  <c r="F219" i="12"/>
  <c r="H299" i="5"/>
  <c r="I299" i="5"/>
  <c r="G92" i="12"/>
  <c r="F92" i="12"/>
  <c r="L234" i="12"/>
  <c r="N234" i="12" s="1"/>
  <c r="K234" i="12"/>
  <c r="N92" i="12"/>
  <c r="H243" i="5"/>
  <c r="I243" i="5"/>
  <c r="F36" i="12"/>
  <c r="G36" i="12"/>
  <c r="L19" i="12"/>
  <c r="N19" i="12" s="1"/>
  <c r="K19" i="12"/>
  <c r="K248" i="12"/>
  <c r="L248" i="12"/>
  <c r="N248" i="12"/>
  <c r="L228" i="12"/>
  <c r="N228" i="12"/>
  <c r="K228" i="12"/>
  <c r="F108" i="12"/>
  <c r="G108" i="12"/>
  <c r="N108" i="12"/>
  <c r="K327" i="12"/>
  <c r="L327" i="12"/>
  <c r="N327" i="12" s="1"/>
  <c r="L284" i="12"/>
  <c r="K284" i="12"/>
  <c r="L216" i="12"/>
  <c r="N216" i="12" s="1"/>
  <c r="K216" i="12"/>
  <c r="F60" i="12"/>
  <c r="G60" i="12"/>
  <c r="N60" i="12" s="1"/>
  <c r="F116" i="12"/>
  <c r="G116" i="12"/>
  <c r="N116" i="12" s="1"/>
  <c r="G94" i="12"/>
  <c r="N94" i="12"/>
  <c r="F94" i="12"/>
  <c r="K9" i="12"/>
  <c r="J6" i="12"/>
  <c r="L9" i="12"/>
  <c r="K71" i="12"/>
  <c r="L71" i="12"/>
  <c r="N71" i="12" s="1"/>
  <c r="G182" i="12"/>
  <c r="G37" i="5"/>
  <c r="H37" i="5"/>
  <c r="I37" i="5" s="1"/>
  <c r="I37" i="12"/>
  <c r="Q37" i="2"/>
  <c r="O37" i="2"/>
  <c r="G53" i="5"/>
  <c r="H53" i="5"/>
  <c r="I53" i="5" s="1"/>
  <c r="O53" i="2"/>
  <c r="Q53" i="2"/>
  <c r="I53" i="12"/>
  <c r="Q69" i="2"/>
  <c r="G69" i="5"/>
  <c r="H69" i="5" s="1"/>
  <c r="I69" i="5" s="1"/>
  <c r="I69" i="12"/>
  <c r="O69" i="2"/>
  <c r="Q85" i="2"/>
  <c r="G85" i="5"/>
  <c r="H85" i="5"/>
  <c r="I85" i="5" s="1"/>
  <c r="O85" i="2"/>
  <c r="I85" i="12"/>
  <c r="G101" i="5"/>
  <c r="H101" i="5"/>
  <c r="I101" i="5" s="1"/>
  <c r="I101" i="12"/>
  <c r="O101" i="2"/>
  <c r="Q101" i="2"/>
  <c r="I117" i="12"/>
  <c r="Q117" i="2"/>
  <c r="G117" i="5"/>
  <c r="H117" i="5"/>
  <c r="I117" i="5" s="1"/>
  <c r="O117" i="2"/>
  <c r="Q133" i="2"/>
  <c r="G133" i="5"/>
  <c r="H133" i="5" s="1"/>
  <c r="I133" i="5" s="1"/>
  <c r="I133" i="12"/>
  <c r="O133" i="2"/>
  <c r="Q149" i="2"/>
  <c r="G149" i="5"/>
  <c r="H149" i="5"/>
  <c r="I149" i="5" s="1"/>
  <c r="O149" i="2"/>
  <c r="I149" i="12"/>
  <c r="G165" i="5"/>
  <c r="H165" i="5"/>
  <c r="I165" i="5" s="1"/>
  <c r="I165" i="12"/>
  <c r="O165" i="2"/>
  <c r="Q165" i="2"/>
  <c r="AD29" i="1"/>
  <c r="AA6" i="1"/>
  <c r="Q45" i="2"/>
  <c r="G45" i="5"/>
  <c r="H45" i="5" s="1"/>
  <c r="I45" i="5" s="1"/>
  <c r="O45" i="2"/>
  <c r="I45" i="12"/>
  <c r="Q61" i="2"/>
  <c r="O61" i="2"/>
  <c r="G61" i="5"/>
  <c r="H61" i="5"/>
  <c r="I61" i="5" s="1"/>
  <c r="I61" i="12"/>
  <c r="I77" i="12"/>
  <c r="Q77" i="2"/>
  <c r="G77" i="5"/>
  <c r="H77" i="5"/>
  <c r="I77" i="5" s="1"/>
  <c r="O77" i="2"/>
  <c r="O93" i="2"/>
  <c r="I93" i="12"/>
  <c r="Q93" i="2"/>
  <c r="G93" i="5"/>
  <c r="H93" i="5" s="1"/>
  <c r="I93" i="5" s="1"/>
  <c r="Q109" i="2"/>
  <c r="G109" i="5"/>
  <c r="H109" i="5" s="1"/>
  <c r="I109" i="5" s="1"/>
  <c r="O109" i="2"/>
  <c r="I109" i="12"/>
  <c r="Q125" i="2"/>
  <c r="G125" i="5"/>
  <c r="H125" i="5" s="1"/>
  <c r="I125" i="5" s="1"/>
  <c r="O125" i="2"/>
  <c r="I125" i="12"/>
  <c r="G141" i="5"/>
  <c r="H141" i="5" s="1"/>
  <c r="I141" i="5" s="1"/>
  <c r="Q141" i="2"/>
  <c r="I141" i="12"/>
  <c r="O157" i="2"/>
  <c r="G157" i="5"/>
  <c r="H157" i="5" s="1"/>
  <c r="I157" i="5" s="1"/>
  <c r="Q157" i="2"/>
  <c r="I157" i="12"/>
  <c r="F231" i="12"/>
  <c r="G231" i="12"/>
  <c r="L300" i="12"/>
  <c r="K300" i="12"/>
  <c r="F324" i="12"/>
  <c r="G324" i="12"/>
  <c r="K339" i="12"/>
  <c r="L339" i="12"/>
  <c r="N339" i="12"/>
  <c r="F153" i="12"/>
  <c r="G153" i="12"/>
  <c r="N153" i="12" s="1"/>
  <c r="K140" i="12"/>
  <c r="L140" i="12"/>
  <c r="F292" i="12"/>
  <c r="G292" i="12"/>
  <c r="N292" i="12"/>
  <c r="K155" i="12"/>
  <c r="L155" i="12"/>
  <c r="N155" i="12" s="1"/>
  <c r="G84" i="12"/>
  <c r="N84" i="12"/>
  <c r="F84" i="12"/>
  <c r="F52" i="12"/>
  <c r="G52" i="12"/>
  <c r="N52" i="12" s="1"/>
  <c r="F250" i="12"/>
  <c r="G250" i="12"/>
  <c r="L237" i="12"/>
  <c r="K237" i="12"/>
  <c r="F272" i="12"/>
  <c r="G272" i="12"/>
  <c r="N272" i="12"/>
  <c r="F284" i="12"/>
  <c r="G284" i="12"/>
  <c r="N284" i="12" s="1"/>
  <c r="F190" i="12"/>
  <c r="G190" i="12"/>
  <c r="F126" i="12"/>
  <c r="G126" i="12"/>
  <c r="G87" i="12"/>
  <c r="F44" i="12"/>
  <c r="G44" i="12"/>
  <c r="N44" i="12" s="1"/>
  <c r="L197" i="12"/>
  <c r="N197" i="12"/>
  <c r="K197" i="12"/>
  <c r="L281" i="12"/>
  <c r="N281" i="12"/>
  <c r="K281" i="12"/>
  <c r="G201" i="12"/>
  <c r="N201" i="12" s="1"/>
  <c r="F201" i="12"/>
  <c r="G317" i="12"/>
  <c r="N317" i="12" s="1"/>
  <c r="F317" i="12"/>
  <c r="L96" i="12"/>
  <c r="N96" i="12" s="1"/>
  <c r="K96" i="12"/>
  <c r="K199" i="12"/>
  <c r="L199" i="12"/>
  <c r="N199" i="12"/>
  <c r="F22" i="12"/>
  <c r="G22" i="12"/>
  <c r="K224" i="12"/>
  <c r="L224" i="12"/>
  <c r="N224" i="12"/>
  <c r="F172" i="12"/>
  <c r="G172" i="12"/>
  <c r="N172" i="12"/>
  <c r="L115" i="12"/>
  <c r="N115" i="12"/>
  <c r="K115" i="12"/>
  <c r="K295" i="12"/>
  <c r="L295" i="12"/>
  <c r="N295" i="12" s="1"/>
  <c r="L261" i="12"/>
  <c r="N261" i="12"/>
  <c r="K261" i="12"/>
  <c r="F53" i="12"/>
  <c r="G53" i="12"/>
  <c r="G181" i="12"/>
  <c r="N181" i="12"/>
  <c r="F181" i="12"/>
  <c r="K36" i="12"/>
  <c r="L36" i="12"/>
  <c r="N36" i="12" s="1"/>
  <c r="G320" i="12"/>
  <c r="F320" i="12"/>
  <c r="L275" i="12"/>
  <c r="N275" i="12"/>
  <c r="K275" i="12"/>
  <c r="F21" i="12"/>
  <c r="G21" i="12"/>
  <c r="N21" i="12" s="1"/>
  <c r="K217" i="12"/>
  <c r="L217" i="12"/>
  <c r="N217" i="12" s="1"/>
  <c r="F236" i="12"/>
  <c r="G236" i="12"/>
  <c r="N236" i="12"/>
  <c r="K65" i="12"/>
  <c r="L65" i="12"/>
  <c r="L164" i="12"/>
  <c r="N164" i="12"/>
  <c r="K164" i="12"/>
  <c r="K91" i="12"/>
  <c r="L91" i="12"/>
  <c r="K171" i="12"/>
  <c r="L171" i="12"/>
  <c r="L120" i="12"/>
  <c r="K120" i="12"/>
  <c r="L256" i="12"/>
  <c r="N256" i="12" s="1"/>
  <c r="K256" i="12"/>
  <c r="K193" i="12"/>
  <c r="L193" i="12"/>
  <c r="N193" i="12"/>
  <c r="G103" i="12"/>
  <c r="N103" i="12"/>
  <c r="F103" i="12"/>
  <c r="F159" i="12"/>
  <c r="G159" i="12"/>
  <c r="N159" i="12" s="1"/>
  <c r="G28" i="12"/>
  <c r="N28" i="12"/>
  <c r="F28" i="12"/>
  <c r="K97" i="12"/>
  <c r="L97" i="12"/>
  <c r="N97" i="12" s="1"/>
  <c r="K161" i="12"/>
  <c r="L161" i="12"/>
  <c r="N161" i="12"/>
  <c r="C18" i="7"/>
  <c r="I115" i="10"/>
  <c r="F9" i="7"/>
  <c r="F18" i="7"/>
  <c r="E132" i="7" s="1"/>
  <c r="F78" i="12"/>
  <c r="G78" i="12"/>
  <c r="F142" i="12"/>
  <c r="G142" i="12"/>
  <c r="G222" i="12"/>
  <c r="F222" i="12"/>
  <c r="K225" i="12"/>
  <c r="L225" i="12"/>
  <c r="N225" i="12"/>
  <c r="K33" i="12"/>
  <c r="L33" i="12"/>
  <c r="N33" i="12"/>
  <c r="E124" i="14"/>
  <c r="J84" i="10"/>
  <c r="M84" i="10"/>
  <c r="E73" i="14"/>
  <c r="K235" i="12"/>
  <c r="L235" i="12"/>
  <c r="K299" i="12"/>
  <c r="L299" i="12"/>
  <c r="L307" i="12"/>
  <c r="N307" i="12"/>
  <c r="K307" i="12"/>
  <c r="L10" i="12"/>
  <c r="N10" i="12" s="1"/>
  <c r="K10" i="12"/>
  <c r="K211" i="12"/>
  <c r="L211" i="12"/>
  <c r="N211" i="12"/>
  <c r="K219" i="12"/>
  <c r="L219" i="12"/>
  <c r="N219" i="12"/>
  <c r="L291" i="12"/>
  <c r="K291" i="12"/>
  <c r="F178" i="12"/>
  <c r="G178" i="12"/>
  <c r="G83" i="12"/>
  <c r="N83" i="12"/>
  <c r="F83" i="12"/>
  <c r="D9" i="12"/>
  <c r="D9" i="5"/>
  <c r="F9" i="5"/>
  <c r="O9" i="2"/>
  <c r="P9" i="2"/>
  <c r="L113" i="12"/>
  <c r="K113" i="12"/>
  <c r="L177" i="12"/>
  <c r="N177" i="12"/>
  <c r="K177" i="12"/>
  <c r="L241" i="12"/>
  <c r="N241" i="12"/>
  <c r="K241" i="12"/>
  <c r="L305" i="12"/>
  <c r="N305" i="12"/>
  <c r="K305" i="12"/>
  <c r="F210" i="12"/>
  <c r="G210" i="12"/>
  <c r="G146" i="12"/>
  <c r="F146" i="12"/>
  <c r="K81" i="12"/>
  <c r="L81" i="12"/>
  <c r="L209" i="12"/>
  <c r="N209" i="12" s="1"/>
  <c r="K209" i="12"/>
  <c r="K273" i="12"/>
  <c r="L273" i="12"/>
  <c r="N273" i="12"/>
  <c r="E142" i="14"/>
  <c r="F142" i="14"/>
  <c r="G124" i="14"/>
  <c r="H124" i="14"/>
  <c r="D87" i="14"/>
  <c r="D91" i="14"/>
  <c r="Q79" i="12"/>
  <c r="Q6" i="12"/>
  <c r="P6" i="12"/>
  <c r="K203" i="12"/>
  <c r="L203" i="12"/>
  <c r="F8" i="12"/>
  <c r="G8" i="12"/>
  <c r="L131" i="12"/>
  <c r="K131" i="12"/>
  <c r="L315" i="12"/>
  <c r="N315" i="12" s="1"/>
  <c r="K315" i="12"/>
  <c r="G286" i="12"/>
  <c r="F286" i="12"/>
  <c r="G254" i="12"/>
  <c r="N254" i="12" s="1"/>
  <c r="F254" i="12"/>
  <c r="L49" i="12"/>
  <c r="K49" i="12"/>
  <c r="L145" i="12"/>
  <c r="N145" i="12"/>
  <c r="K145" i="12"/>
  <c r="R73" i="14"/>
  <c r="F120" i="12"/>
  <c r="G120" i="12"/>
  <c r="N120" i="12"/>
  <c r="G232" i="12"/>
  <c r="F232" i="12"/>
  <c r="G332" i="12"/>
  <c r="N332" i="12" s="1"/>
  <c r="F332" i="12"/>
  <c r="K59" i="12"/>
  <c r="L59" i="12"/>
  <c r="K107" i="12"/>
  <c r="L107" i="12"/>
  <c r="K259" i="12"/>
  <c r="L259" i="12"/>
  <c r="L303" i="12"/>
  <c r="K303" i="12"/>
  <c r="L331" i="12"/>
  <c r="K331" i="12"/>
  <c r="L343" i="12"/>
  <c r="K343" i="12"/>
  <c r="K26" i="12"/>
  <c r="L26" i="12"/>
  <c r="K50" i="12"/>
  <c r="L50" i="12"/>
  <c r="K66" i="12"/>
  <c r="L66" i="12"/>
  <c r="N66" i="12"/>
  <c r="K70" i="12"/>
  <c r="L70" i="12"/>
  <c r="K74" i="12"/>
  <c r="L74" i="12"/>
  <c r="N74" i="12"/>
  <c r="L78" i="12"/>
  <c r="N78" i="12"/>
  <c r="K78" i="12"/>
  <c r="L90" i="12"/>
  <c r="N90" i="12" s="1"/>
  <c r="K90" i="12"/>
  <c r="K130" i="12"/>
  <c r="L130" i="12"/>
  <c r="N130" i="12" s="1"/>
  <c r="K158" i="12"/>
  <c r="L158" i="12"/>
  <c r="N158" i="12" s="1"/>
  <c r="K166" i="12"/>
  <c r="L166" i="12"/>
  <c r="N166" i="12" s="1"/>
  <c r="L170" i="12"/>
  <c r="N170" i="12" s="1"/>
  <c r="K170" i="12"/>
  <c r="L174" i="12"/>
  <c r="K174" i="12"/>
  <c r="L178" i="12"/>
  <c r="K178" i="12"/>
  <c r="K182" i="12"/>
  <c r="L182" i="12"/>
  <c r="N182" i="12" s="1"/>
  <c r="K186" i="12"/>
  <c r="L186" i="12"/>
  <c r="K210" i="12"/>
  <c r="L210" i="12"/>
  <c r="N210" i="12"/>
  <c r="K218" i="12"/>
  <c r="L218" i="12"/>
  <c r="L226" i="12"/>
  <c r="N226" i="12"/>
  <c r="K226" i="12"/>
  <c r="K230" i="12"/>
  <c r="L230" i="12"/>
  <c r="N230" i="12"/>
  <c r="K258" i="12"/>
  <c r="L258" i="12"/>
  <c r="N258" i="12" s="1"/>
  <c r="L274" i="12"/>
  <c r="N274" i="12"/>
  <c r="K274" i="12"/>
  <c r="K282" i="12"/>
  <c r="L282" i="12"/>
  <c r="N282" i="12" s="1"/>
  <c r="L298" i="12"/>
  <c r="N298" i="12" s="1"/>
  <c r="K298" i="12"/>
  <c r="K326" i="12"/>
  <c r="L326" i="12"/>
  <c r="L280" i="12"/>
  <c r="N280" i="12"/>
  <c r="K280" i="12"/>
  <c r="G114" i="12"/>
  <c r="F114" i="12"/>
  <c r="G51" i="12"/>
  <c r="N51" i="12"/>
  <c r="F51" i="12"/>
  <c r="G171" i="12"/>
  <c r="N171" i="12"/>
  <c r="F171" i="12"/>
  <c r="G143" i="12"/>
  <c r="N143" i="12" s="1"/>
  <c r="F143" i="12"/>
  <c r="F188" i="12"/>
  <c r="G188" i="12"/>
  <c r="N188" i="12" s="1"/>
  <c r="F220" i="12"/>
  <c r="G220" i="12"/>
  <c r="N220" i="12"/>
  <c r="F308" i="12"/>
  <c r="G308" i="12"/>
  <c r="N308" i="12"/>
  <c r="K47" i="12"/>
  <c r="L47" i="12"/>
  <c r="L87" i="12"/>
  <c r="N87" i="12" s="1"/>
  <c r="K87" i="12"/>
  <c r="K135" i="12"/>
  <c r="L135" i="12"/>
  <c r="N135" i="12"/>
  <c r="L239" i="12"/>
  <c r="K239" i="12"/>
  <c r="K283" i="12"/>
  <c r="L283" i="12"/>
  <c r="N283" i="12"/>
  <c r="K323" i="12"/>
  <c r="L323" i="12"/>
  <c r="K14" i="12"/>
  <c r="L14" i="12"/>
  <c r="L30" i="12"/>
  <c r="K30" i="12"/>
  <c r="K34" i="12"/>
  <c r="L34" i="12"/>
  <c r="N34" i="12" s="1"/>
  <c r="L38" i="12"/>
  <c r="K38" i="12"/>
  <c r="L42" i="12"/>
  <c r="N42" i="12" s="1"/>
  <c r="K42" i="12"/>
  <c r="L62" i="12"/>
  <c r="K62" i="12"/>
  <c r="K82" i="12"/>
  <c r="L82" i="12"/>
  <c r="K102" i="12"/>
  <c r="L102" i="12"/>
  <c r="L114" i="12"/>
  <c r="K114" i="12"/>
  <c r="L122" i="12"/>
  <c r="K122" i="12"/>
  <c r="K142" i="12"/>
  <c r="L142" i="12"/>
  <c r="N142" i="12"/>
  <c r="K154" i="12"/>
  <c r="L154" i="12"/>
  <c r="N154" i="12"/>
  <c r="K222" i="12"/>
  <c r="L222" i="12"/>
  <c r="K242" i="12"/>
  <c r="L242" i="12"/>
  <c r="N242" i="12"/>
  <c r="K262" i="12"/>
  <c r="L262" i="12"/>
  <c r="K286" i="12"/>
  <c r="L286" i="12"/>
  <c r="N286" i="12"/>
  <c r="K302" i="12"/>
  <c r="L302" i="12"/>
  <c r="N302" i="12"/>
  <c r="K310" i="12"/>
  <c r="L310" i="12"/>
  <c r="N310" i="12"/>
  <c r="K318" i="12"/>
  <c r="L318" i="12"/>
  <c r="L268" i="12"/>
  <c r="K268" i="12"/>
  <c r="K288" i="12"/>
  <c r="L288" i="12"/>
  <c r="N288" i="12" s="1"/>
  <c r="L304" i="12"/>
  <c r="K304" i="12"/>
  <c r="K320" i="12"/>
  <c r="L320" i="12"/>
  <c r="N320" i="12"/>
  <c r="F26" i="7"/>
  <c r="H146" i="5"/>
  <c r="I146" i="5" s="1"/>
  <c r="H90" i="5"/>
  <c r="I90" i="5" s="1"/>
  <c r="N218" i="12"/>
  <c r="H306" i="5"/>
  <c r="I306" i="5"/>
  <c r="H250" i="5"/>
  <c r="I250" i="5" s="1"/>
  <c r="N26" i="12"/>
  <c r="G140" i="12"/>
  <c r="N140" i="12" s="1"/>
  <c r="F140" i="12"/>
  <c r="G196" i="12"/>
  <c r="N196" i="12"/>
  <c r="F196" i="12"/>
  <c r="G208" i="12"/>
  <c r="F208" i="12"/>
  <c r="K187" i="12"/>
  <c r="L187" i="12"/>
  <c r="N187" i="12"/>
  <c r="L215" i="12"/>
  <c r="N215" i="12"/>
  <c r="K215" i="12"/>
  <c r="K231" i="12"/>
  <c r="L231" i="12"/>
  <c r="N231" i="12"/>
  <c r="L18" i="12"/>
  <c r="K18" i="12"/>
  <c r="L110" i="12"/>
  <c r="N110" i="12"/>
  <c r="K110" i="12"/>
  <c r="K146" i="12"/>
  <c r="L146" i="12"/>
  <c r="N146" i="12"/>
  <c r="L150" i="12"/>
  <c r="N150" i="12"/>
  <c r="K150" i="12"/>
  <c r="K162" i="12"/>
  <c r="L162" i="12"/>
  <c r="N162" i="12" s="1"/>
  <c r="K194" i="12"/>
  <c r="L194" i="12"/>
  <c r="N194" i="12" s="1"/>
  <c r="L206" i="12"/>
  <c r="K206" i="12"/>
  <c r="L214" i="12"/>
  <c r="N214" i="12"/>
  <c r="K214" i="12"/>
  <c r="L250" i="12"/>
  <c r="N250" i="12"/>
  <c r="K250" i="12"/>
  <c r="K266" i="12"/>
  <c r="L266" i="12"/>
  <c r="N266" i="12"/>
  <c r="K314" i="12"/>
  <c r="L314" i="12"/>
  <c r="K334" i="12"/>
  <c r="L334" i="12"/>
  <c r="N334" i="12" s="1"/>
  <c r="K240" i="12"/>
  <c r="L240" i="12"/>
  <c r="N240" i="12"/>
  <c r="L260" i="12"/>
  <c r="K260" i="12"/>
  <c r="L276" i="12"/>
  <c r="K276" i="12"/>
  <c r="L312" i="12"/>
  <c r="K312" i="12"/>
  <c r="L336" i="12"/>
  <c r="N336" i="12"/>
  <c r="K336" i="12"/>
  <c r="G186" i="12"/>
  <c r="F186" i="12"/>
  <c r="G122" i="12"/>
  <c r="F122" i="12"/>
  <c r="G91" i="12"/>
  <c r="N91" i="12" s="1"/>
  <c r="F91" i="12"/>
  <c r="G27" i="12"/>
  <c r="N27" i="12" s="1"/>
  <c r="F27" i="12"/>
  <c r="G331" i="12"/>
  <c r="N331" i="12" s="1"/>
  <c r="F331" i="12"/>
  <c r="G17" i="12"/>
  <c r="F17" i="12"/>
  <c r="G303" i="12"/>
  <c r="N303" i="12" s="1"/>
  <c r="F303" i="12"/>
  <c r="G173" i="12"/>
  <c r="N173" i="12" s="1"/>
  <c r="F173" i="12"/>
  <c r="F301" i="12"/>
  <c r="G301" i="12"/>
  <c r="N301" i="12"/>
  <c r="F200" i="12"/>
  <c r="G200" i="12"/>
  <c r="N200" i="12"/>
  <c r="L35" i="12"/>
  <c r="N35" i="12"/>
  <c r="K35" i="12"/>
  <c r="L167" i="12"/>
  <c r="N167" i="12"/>
  <c r="K167" i="12"/>
  <c r="L195" i="12"/>
  <c r="K195" i="12"/>
  <c r="K271" i="12"/>
  <c r="L271" i="12"/>
  <c r="K22" i="12"/>
  <c r="L22" i="12"/>
  <c r="N22" i="12"/>
  <c r="L46" i="12"/>
  <c r="K46" i="12"/>
  <c r="L54" i="12"/>
  <c r="N54" i="12" s="1"/>
  <c r="K54" i="12"/>
  <c r="L58" i="12"/>
  <c r="K58" i="12"/>
  <c r="L86" i="12"/>
  <c r="N86" i="12" s="1"/>
  <c r="K86" i="12"/>
  <c r="L98" i="12"/>
  <c r="N98" i="12" s="1"/>
  <c r="K98" i="12"/>
  <c r="L106" i="12"/>
  <c r="N106" i="12"/>
  <c r="K106" i="12"/>
  <c r="K126" i="12"/>
  <c r="L126" i="12"/>
  <c r="N126" i="12"/>
  <c r="K190" i="12"/>
  <c r="L190" i="12"/>
  <c r="N190" i="12" s="1"/>
  <c r="K238" i="12"/>
  <c r="L238" i="12"/>
  <c r="L246" i="12"/>
  <c r="N246" i="12" s="1"/>
  <c r="K246" i="12"/>
  <c r="L270" i="12"/>
  <c r="K270" i="12"/>
  <c r="K278" i="12"/>
  <c r="L278" i="12"/>
  <c r="N278" i="12"/>
  <c r="K290" i="12"/>
  <c r="L290" i="12"/>
  <c r="N290" i="12"/>
  <c r="L322" i="12"/>
  <c r="N322" i="12"/>
  <c r="K322" i="12"/>
  <c r="L330" i="12"/>
  <c r="N330" i="12"/>
  <c r="K330" i="12"/>
  <c r="L338" i="12"/>
  <c r="K338" i="12"/>
  <c r="K342" i="12"/>
  <c r="L342" i="12"/>
  <c r="N342" i="12" s="1"/>
  <c r="L296" i="12"/>
  <c r="K296" i="12"/>
  <c r="K344" i="12"/>
  <c r="L344" i="12"/>
  <c r="N344" i="12"/>
  <c r="G131" i="12"/>
  <c r="N131" i="12"/>
  <c r="F131" i="12"/>
  <c r="G107" i="12"/>
  <c r="N107" i="12"/>
  <c r="F107" i="12"/>
  <c r="G67" i="12"/>
  <c r="F67" i="12"/>
  <c r="F141" i="12"/>
  <c r="G141" i="12"/>
  <c r="N141" i="12" s="1"/>
  <c r="H178" i="5"/>
  <c r="I178" i="5"/>
  <c r="H26" i="5"/>
  <c r="I26" i="5" s="1"/>
  <c r="H282" i="5"/>
  <c r="I282" i="5" s="1"/>
  <c r="N59" i="12"/>
  <c r="F143" i="7"/>
  <c r="E144" i="7"/>
  <c r="E143" i="7"/>
  <c r="F144" i="7" s="1"/>
  <c r="J128" i="10"/>
  <c r="J130" i="10"/>
  <c r="J47" i="10"/>
  <c r="J49" i="10"/>
  <c r="F119" i="7"/>
  <c r="F118" i="7"/>
  <c r="J53" i="10"/>
  <c r="J55" i="10" s="1"/>
  <c r="J69" i="10" s="1"/>
  <c r="J71" i="10" s="1"/>
  <c r="AC13" i="1"/>
  <c r="Z6" i="1"/>
  <c r="L125" i="12"/>
  <c r="K125" i="12"/>
  <c r="K109" i="12"/>
  <c r="L109" i="12"/>
  <c r="N109" i="12"/>
  <c r="K93" i="12"/>
  <c r="L93" i="12"/>
  <c r="N93" i="12" s="1"/>
  <c r="L61" i="12"/>
  <c r="N61" i="12"/>
  <c r="K61" i="12"/>
  <c r="K45" i="12"/>
  <c r="L45" i="12"/>
  <c r="N45" i="12" s="1"/>
  <c r="L165" i="12"/>
  <c r="N165" i="12" s="1"/>
  <c r="K165" i="12"/>
  <c r="K149" i="12"/>
  <c r="L149" i="12"/>
  <c r="N149" i="12" s="1"/>
  <c r="L101" i="12"/>
  <c r="N101" i="12" s="1"/>
  <c r="K101" i="12"/>
  <c r="K85" i="12"/>
  <c r="L85" i="12"/>
  <c r="N85" i="12"/>
  <c r="K53" i="12"/>
  <c r="L53" i="12"/>
  <c r="N53" i="12"/>
  <c r="L37" i="12"/>
  <c r="N37" i="12"/>
  <c r="K37" i="12"/>
  <c r="L157" i="12"/>
  <c r="N157" i="12"/>
  <c r="K157" i="12"/>
  <c r="K141" i="12"/>
  <c r="L141" i="12"/>
  <c r="K77" i="12"/>
  <c r="L77" i="12"/>
  <c r="N77" i="12" s="1"/>
  <c r="M29" i="2"/>
  <c r="O29" i="2" s="1"/>
  <c r="L133" i="12"/>
  <c r="N133" i="12" s="1"/>
  <c r="K133" i="12"/>
  <c r="L117" i="12"/>
  <c r="N117" i="12" s="1"/>
  <c r="K117" i="12"/>
  <c r="L69" i="12"/>
  <c r="N69" i="12"/>
  <c r="K69" i="12"/>
  <c r="M115" i="10"/>
  <c r="I117" i="10"/>
  <c r="N122" i="12"/>
  <c r="N186" i="12"/>
  <c r="N222" i="12"/>
  <c r="N178" i="12"/>
  <c r="I18" i="7"/>
  <c r="I47" i="10" s="1"/>
  <c r="F132" i="7"/>
  <c r="E107" i="7"/>
  <c r="E108" i="7" s="1"/>
  <c r="I68" i="10"/>
  <c r="M68" i="10"/>
  <c r="C26" i="7"/>
  <c r="F9" i="12"/>
  <c r="G9" i="12"/>
  <c r="N9" i="12" s="1"/>
  <c r="N17" i="12"/>
  <c r="N114" i="12"/>
  <c r="F124" i="7"/>
  <c r="E125" i="7" s="1"/>
  <c r="J121" i="10" s="1"/>
  <c r="J123" i="10" s="1"/>
  <c r="D13" i="2"/>
  <c r="P13" i="2" s="1"/>
  <c r="AC6" i="1"/>
  <c r="G29" i="5"/>
  <c r="E141" i="7"/>
  <c r="F142" i="7"/>
  <c r="I26" i="7"/>
  <c r="F146" i="7" s="1"/>
  <c r="E145" i="7" s="1"/>
  <c r="F141" i="7"/>
  <c r="E142" i="7" s="1"/>
  <c r="E149" i="7" s="1"/>
  <c r="D13" i="5"/>
  <c r="D13" i="12"/>
  <c r="G13" i="12" s="1"/>
  <c r="H29" i="5"/>
  <c r="I29" i="5" s="1"/>
  <c r="E146" i="7"/>
  <c r="F145" i="7" s="1"/>
  <c r="F13" i="5"/>
  <c r="F13" i="12"/>
  <c r="H9" i="5"/>
  <c r="I9" i="5" s="1"/>
  <c r="M13" i="2"/>
  <c r="AD6" i="1"/>
  <c r="E6" i="2"/>
  <c r="E11" i="5"/>
  <c r="D11" i="12"/>
  <c r="O11" i="2"/>
  <c r="P11" i="2"/>
  <c r="G49" i="12"/>
  <c r="N49" i="12"/>
  <c r="F49" i="12"/>
  <c r="D113" i="12"/>
  <c r="P113" i="2"/>
  <c r="O113" i="2"/>
  <c r="G205" i="12"/>
  <c r="N205" i="12" s="1"/>
  <c r="F205" i="12"/>
  <c r="G237" i="12"/>
  <c r="N237" i="12" s="1"/>
  <c r="F237" i="12"/>
  <c r="D269" i="12"/>
  <c r="P269" i="2"/>
  <c r="D269" i="5"/>
  <c r="F269" i="5" s="1"/>
  <c r="H269" i="5" s="1"/>
  <c r="I269" i="5" s="1"/>
  <c r="P65" i="2"/>
  <c r="D65" i="5"/>
  <c r="F65" i="5" s="1"/>
  <c r="H65" i="5" s="1"/>
  <c r="I65" i="5" s="1"/>
  <c r="D65" i="12"/>
  <c r="O65" i="2"/>
  <c r="O189" i="2"/>
  <c r="D189" i="12"/>
  <c r="P189" i="2"/>
  <c r="D189" i="5"/>
  <c r="F189" i="5" s="1"/>
  <c r="H189" i="5" s="1"/>
  <c r="I189" i="5" s="1"/>
  <c r="O67" i="2"/>
  <c r="D67" i="5"/>
  <c r="F67" i="5" s="1"/>
  <c r="P67" i="2"/>
  <c r="D75" i="12"/>
  <c r="O75" i="2"/>
  <c r="D139" i="5"/>
  <c r="F139" i="5" s="1"/>
  <c r="H139" i="5" s="1"/>
  <c r="I139" i="5" s="1"/>
  <c r="D139" i="12"/>
  <c r="P139" i="2"/>
  <c r="O143" i="2"/>
  <c r="P143" i="2"/>
  <c r="P163" i="2"/>
  <c r="D163" i="12"/>
  <c r="O163" i="2"/>
  <c r="O195" i="2"/>
  <c r="D195" i="5"/>
  <c r="F195" i="5"/>
  <c r="H195" i="5" s="1"/>
  <c r="I195" i="5" s="1"/>
  <c r="D195" i="12"/>
  <c r="P235" i="2"/>
  <c r="D235" i="12"/>
  <c r="D235" i="5"/>
  <c r="F235" i="5" s="1"/>
  <c r="H235" i="5" s="1"/>
  <c r="I235" i="5" s="1"/>
  <c r="P239" i="2"/>
  <c r="D239" i="12"/>
  <c r="D239" i="5"/>
  <c r="F239" i="5"/>
  <c r="H239" i="5"/>
  <c r="I239" i="5" s="1"/>
  <c r="O239" i="2"/>
  <c r="D259" i="5"/>
  <c r="F259" i="5" s="1"/>
  <c r="H259" i="5" s="1"/>
  <c r="I259" i="5" s="1"/>
  <c r="P259" i="2"/>
  <c r="O259" i="2"/>
  <c r="D259" i="12"/>
  <c r="D267" i="5"/>
  <c r="F267" i="5" s="1"/>
  <c r="H267" i="5" s="1"/>
  <c r="I267" i="5" s="1"/>
  <c r="D267" i="12"/>
  <c r="O267" i="2"/>
  <c r="D291" i="5"/>
  <c r="F291" i="5" s="1"/>
  <c r="H291" i="5" s="1"/>
  <c r="I291" i="5" s="1"/>
  <c r="D291" i="12"/>
  <c r="P291" i="2"/>
  <c r="O291" i="2"/>
  <c r="D335" i="5"/>
  <c r="F335" i="5"/>
  <c r="D335" i="12"/>
  <c r="P335" i="2"/>
  <c r="D18" i="12"/>
  <c r="O18" i="2"/>
  <c r="D18" i="5"/>
  <c r="F18" i="5"/>
  <c r="H18" i="5" s="1"/>
  <c r="I18" i="5" s="1"/>
  <c r="P30" i="2"/>
  <c r="D30" i="12"/>
  <c r="D30" i="5"/>
  <c r="F30" i="5" s="1"/>
  <c r="H30" i="5" s="1"/>
  <c r="I30" i="5" s="1"/>
  <c r="O30" i="2"/>
  <c r="P50" i="2"/>
  <c r="D50" i="12"/>
  <c r="D50" i="5"/>
  <c r="F50" i="5"/>
  <c r="H50" i="5" s="1"/>
  <c r="I50" i="5" s="1"/>
  <c r="O50" i="2"/>
  <c r="D58" i="5"/>
  <c r="F58" i="5"/>
  <c r="H58" i="5" s="1"/>
  <c r="I58" i="5" s="1"/>
  <c r="O58" i="2"/>
  <c r="D58" i="12"/>
  <c r="D252" i="5"/>
  <c r="F252" i="5"/>
  <c r="D252" i="12"/>
  <c r="P252" i="2"/>
  <c r="O252" i="2"/>
  <c r="I321" i="12"/>
  <c r="G321" i="5"/>
  <c r="H321" i="5" s="1"/>
  <c r="I321" i="5" s="1"/>
  <c r="O321" i="2"/>
  <c r="Q321" i="2"/>
  <c r="K257" i="12"/>
  <c r="L257" i="12"/>
  <c r="N257" i="12" s="1"/>
  <c r="P95" i="2"/>
  <c r="D95" i="12"/>
  <c r="D95" i="5"/>
  <c r="F95" i="5"/>
  <c r="H95" i="5" s="1"/>
  <c r="I95" i="5" s="1"/>
  <c r="O95" i="2"/>
  <c r="P314" i="2"/>
  <c r="O314" i="2"/>
  <c r="D314" i="5"/>
  <c r="F314" i="5"/>
  <c r="H314" i="5"/>
  <c r="I314" i="5" s="1"/>
  <c r="D314" i="12"/>
  <c r="D68" i="5"/>
  <c r="F68" i="5"/>
  <c r="H68" i="5"/>
  <c r="I68" i="5" s="1"/>
  <c r="D68" i="12"/>
  <c r="O68" i="2"/>
  <c r="P68" i="2"/>
  <c r="I8" i="12"/>
  <c r="Q8" i="2"/>
  <c r="G8" i="5"/>
  <c r="O8" i="2"/>
  <c r="O173" i="2"/>
  <c r="D173" i="5"/>
  <c r="F173" i="5"/>
  <c r="H173" i="5" s="1"/>
  <c r="I173" i="5" s="1"/>
  <c r="D17" i="5"/>
  <c r="F17" i="5" s="1"/>
  <c r="H17" i="5" s="1"/>
  <c r="I17" i="5" s="1"/>
  <c r="O17" i="2"/>
  <c r="D129" i="5"/>
  <c r="F129" i="5" s="1"/>
  <c r="H129" i="5" s="1"/>
  <c r="I129" i="5" s="1"/>
  <c r="D129" i="12"/>
  <c r="O129" i="2"/>
  <c r="P129" i="2"/>
  <c r="D253" i="12"/>
  <c r="D253" i="5"/>
  <c r="F253" i="5" s="1"/>
  <c r="H253" i="5" s="1"/>
  <c r="I253" i="5" s="1"/>
  <c r="P253" i="2"/>
  <c r="O253" i="2"/>
  <c r="O39" i="2"/>
  <c r="D39" i="12"/>
  <c r="P39" i="2"/>
  <c r="D47" i="12"/>
  <c r="P47" i="2"/>
  <c r="D47" i="5"/>
  <c r="F47" i="5" s="1"/>
  <c r="H47" i="5" s="1"/>
  <c r="I47" i="5" s="1"/>
  <c r="O47" i="2"/>
  <c r="O107" i="2"/>
  <c r="D107" i="5"/>
  <c r="F107" i="5"/>
  <c r="H107" i="5" s="1"/>
  <c r="I107" i="5" s="1"/>
  <c r="P107" i="2"/>
  <c r="D111" i="12"/>
  <c r="D111" i="5"/>
  <c r="F111" i="5"/>
  <c r="H111" i="5" s="1"/>
  <c r="I111" i="5" s="1"/>
  <c r="P111" i="2"/>
  <c r="P131" i="2"/>
  <c r="O131" i="2"/>
  <c r="D131" i="5"/>
  <c r="F131" i="5"/>
  <c r="H131" i="5"/>
  <c r="I131" i="5" s="1"/>
  <c r="P171" i="2"/>
  <c r="O171" i="2"/>
  <c r="O175" i="2"/>
  <c r="D175" i="12"/>
  <c r="D203" i="5"/>
  <c r="F203" i="5"/>
  <c r="H203" i="5"/>
  <c r="I203" i="5" s="1"/>
  <c r="D203" i="12"/>
  <c r="D207" i="5"/>
  <c r="F207" i="5" s="1"/>
  <c r="H207" i="5" s="1"/>
  <c r="I207" i="5" s="1"/>
  <c r="D207" i="12"/>
  <c r="O207" i="2"/>
  <c r="P207" i="2"/>
  <c r="D227" i="12"/>
  <c r="P227" i="2"/>
  <c r="D271" i="5"/>
  <c r="F271" i="5"/>
  <c r="H271" i="5" s="1"/>
  <c r="I271" i="5" s="1"/>
  <c r="P271" i="2"/>
  <c r="D271" i="12"/>
  <c r="O271" i="2"/>
  <c r="D299" i="12"/>
  <c r="P299" i="2"/>
  <c r="O303" i="2"/>
  <c r="D303" i="5"/>
  <c r="F303" i="5"/>
  <c r="H303" i="5"/>
  <c r="I303" i="5" s="1"/>
  <c r="P303" i="2"/>
  <c r="P323" i="2"/>
  <c r="O323" i="2"/>
  <c r="D323" i="12"/>
  <c r="D323" i="5"/>
  <c r="F323" i="5"/>
  <c r="H323" i="5"/>
  <c r="I323" i="5" s="1"/>
  <c r="P62" i="2"/>
  <c r="D62" i="12"/>
  <c r="D62" i="5"/>
  <c r="F62" i="5"/>
  <c r="H62" i="5" s="1"/>
  <c r="I62" i="5" s="1"/>
  <c r="O62" i="2"/>
  <c r="O82" i="2"/>
  <c r="P82" i="2"/>
  <c r="D82" i="12"/>
  <c r="D82" i="5"/>
  <c r="F82" i="5"/>
  <c r="H82" i="5" s="1"/>
  <c r="I82" i="5" s="1"/>
  <c r="I289" i="12"/>
  <c r="Q289" i="2"/>
  <c r="G289" i="5"/>
  <c r="H289" i="5" s="1"/>
  <c r="I289" i="5" s="1"/>
  <c r="O289" i="2"/>
  <c r="D63" i="5"/>
  <c r="F63" i="5"/>
  <c r="H63" i="5"/>
  <c r="I63" i="5" s="1"/>
  <c r="P63" i="2"/>
  <c r="D63" i="12"/>
  <c r="O63" i="2"/>
  <c r="D318" i="12"/>
  <c r="D318" i="5"/>
  <c r="F318" i="5"/>
  <c r="H318" i="5"/>
  <c r="I318" i="5" s="1"/>
  <c r="P318" i="2"/>
  <c r="O318" i="2"/>
  <c r="Q252" i="2"/>
  <c r="I252" i="12"/>
  <c r="G252" i="5"/>
  <c r="F156" i="12"/>
  <c r="K51" i="12"/>
  <c r="D58" i="14"/>
  <c r="F133" i="14"/>
  <c r="S133" i="14"/>
  <c r="G43" i="5"/>
  <c r="H43" i="5" s="1"/>
  <c r="I43" i="5" s="1"/>
  <c r="I43" i="12"/>
  <c r="G19" i="5"/>
  <c r="H19" i="5"/>
  <c r="I19" i="5" s="1"/>
  <c r="Q19" i="2"/>
  <c r="O212" i="2"/>
  <c r="D212" i="12"/>
  <c r="D212" i="5"/>
  <c r="F212" i="5"/>
  <c r="H212" i="5" s="1"/>
  <c r="I212" i="5" s="1"/>
  <c r="P212" i="2"/>
  <c r="D204" i="5"/>
  <c r="F204" i="5"/>
  <c r="H204" i="5" s="1"/>
  <c r="I204" i="5" s="1"/>
  <c r="O204" i="2"/>
  <c r="D204" i="12"/>
  <c r="P204" i="2"/>
  <c r="D148" i="5"/>
  <c r="F148" i="5" s="1"/>
  <c r="H148" i="5" s="1"/>
  <c r="I148" i="5" s="1"/>
  <c r="P148" i="2"/>
  <c r="D148" i="12"/>
  <c r="O148" i="2"/>
  <c r="F132" i="12"/>
  <c r="D124" i="12"/>
  <c r="O124" i="2"/>
  <c r="D116" i="5"/>
  <c r="F116" i="5" s="1"/>
  <c r="H116" i="5" s="1"/>
  <c r="I116" i="5" s="1"/>
  <c r="O116" i="2"/>
  <c r="O100" i="2"/>
  <c r="P100" i="2"/>
  <c r="P92" i="2"/>
  <c r="O92" i="2"/>
  <c r="D76" i="5"/>
  <c r="F76" i="5"/>
  <c r="H76" i="5"/>
  <c r="I76" i="5" s="1"/>
  <c r="P76" i="2"/>
  <c r="O76" i="2"/>
  <c r="D76" i="12"/>
  <c r="D48" i="5"/>
  <c r="F48" i="5" s="1"/>
  <c r="H48" i="5" s="1"/>
  <c r="I48" i="5" s="1"/>
  <c r="O48" i="2"/>
  <c r="D36" i="5"/>
  <c r="F36" i="5" s="1"/>
  <c r="H36" i="5" s="1"/>
  <c r="I36" i="5" s="1"/>
  <c r="O36" i="2"/>
  <c r="D12" i="5"/>
  <c r="O12" i="2"/>
  <c r="P12" i="2"/>
  <c r="D12" i="12"/>
  <c r="D328" i="5"/>
  <c r="F328" i="5" s="1"/>
  <c r="H328" i="5" s="1"/>
  <c r="I328" i="5" s="1"/>
  <c r="D328" i="12"/>
  <c r="P328" i="2"/>
  <c r="O320" i="2"/>
  <c r="D312" i="12"/>
  <c r="D312" i="5"/>
  <c r="F312" i="5" s="1"/>
  <c r="H312" i="5" s="1"/>
  <c r="I312" i="5" s="1"/>
  <c r="D304" i="5"/>
  <c r="F304" i="5"/>
  <c r="H304" i="5" s="1"/>
  <c r="I304" i="5" s="1"/>
  <c r="P304" i="2"/>
  <c r="D304" i="12"/>
  <c r="D276" i="5"/>
  <c r="F276" i="5" s="1"/>
  <c r="H276" i="5" s="1"/>
  <c r="I276" i="5" s="1"/>
  <c r="D276" i="12"/>
  <c r="O330" i="2"/>
  <c r="P326" i="2"/>
  <c r="D326" i="12"/>
  <c r="D326" i="5"/>
  <c r="F326" i="5" s="1"/>
  <c r="H326" i="5" s="1"/>
  <c r="I326" i="5" s="1"/>
  <c r="D294" i="5"/>
  <c r="F294" i="5"/>
  <c r="H294" i="5" s="1"/>
  <c r="I294" i="5" s="1"/>
  <c r="P294" i="2"/>
  <c r="P262" i="2"/>
  <c r="D262" i="12"/>
  <c r="D262" i="5"/>
  <c r="F262" i="5" s="1"/>
  <c r="H262" i="5" s="1"/>
  <c r="I262" i="5" s="1"/>
  <c r="D198" i="5"/>
  <c r="F198" i="5"/>
  <c r="H198" i="5" s="1"/>
  <c r="I198" i="5" s="1"/>
  <c r="P198" i="2"/>
  <c r="D198" i="12"/>
  <c r="D134" i="5"/>
  <c r="F134" i="5" s="1"/>
  <c r="H134" i="5" s="1"/>
  <c r="I134" i="5" s="1"/>
  <c r="P134" i="2"/>
  <c r="D134" i="12"/>
  <c r="P102" i="2"/>
  <c r="D102" i="12"/>
  <c r="D102" i="5"/>
  <c r="F102" i="5" s="1"/>
  <c r="H102" i="5" s="1"/>
  <c r="I102" i="5" s="1"/>
  <c r="P70" i="2"/>
  <c r="D70" i="12"/>
  <c r="D70" i="5"/>
  <c r="F70" i="5" s="1"/>
  <c r="H70" i="5" s="1"/>
  <c r="I70" i="5" s="1"/>
  <c r="D38" i="12"/>
  <c r="D38" i="5"/>
  <c r="F38" i="5" s="1"/>
  <c r="H38" i="5" s="1"/>
  <c r="I38" i="5" s="1"/>
  <c r="P38" i="2"/>
  <c r="D343" i="5"/>
  <c r="F343" i="5" s="1"/>
  <c r="H343" i="5" s="1"/>
  <c r="I343" i="5" s="1"/>
  <c r="D343" i="12"/>
  <c r="P343" i="2"/>
  <c r="D311" i="5"/>
  <c r="F311" i="5" s="1"/>
  <c r="H311" i="5" s="1"/>
  <c r="I311" i="5" s="1"/>
  <c r="D311" i="12"/>
  <c r="P311" i="2"/>
  <c r="O279" i="2"/>
  <c r="D279" i="12"/>
  <c r="D279" i="5"/>
  <c r="F279" i="5" s="1"/>
  <c r="H279" i="5" s="1"/>
  <c r="I279" i="5" s="1"/>
  <c r="P279" i="2"/>
  <c r="D247" i="5"/>
  <c r="F247" i="5" s="1"/>
  <c r="P247" i="2"/>
  <c r="O247" i="2"/>
  <c r="D247" i="12"/>
  <c r="P183" i="2"/>
  <c r="D183" i="5"/>
  <c r="F183" i="5" s="1"/>
  <c r="H183" i="5" s="1"/>
  <c r="I183" i="5" s="1"/>
  <c r="P15" i="2"/>
  <c r="D15" i="12"/>
  <c r="L324" i="12"/>
  <c r="N324" i="12" s="1"/>
  <c r="K324" i="12"/>
  <c r="I232" i="12"/>
  <c r="Q232" i="2"/>
  <c r="G208" i="5"/>
  <c r="Q208" i="2"/>
  <c r="I208" i="12"/>
  <c r="Q160" i="2"/>
  <c r="I160" i="12"/>
  <c r="Q32" i="2"/>
  <c r="I32" i="12"/>
  <c r="Q16" i="2"/>
  <c r="G16" i="5"/>
  <c r="H16" i="5" s="1"/>
  <c r="I16" i="5" s="1"/>
  <c r="I16" i="12"/>
  <c r="D333" i="12"/>
  <c r="O333" i="2"/>
  <c r="D333" i="5"/>
  <c r="F333" i="5" s="1"/>
  <c r="H333" i="5" s="1"/>
  <c r="I333" i="5" s="1"/>
  <c r="P333" i="2"/>
  <c r="L61" i="14"/>
  <c r="G67" i="5"/>
  <c r="I67" i="12"/>
  <c r="D300" i="12"/>
  <c r="D300" i="5"/>
  <c r="F300" i="5" s="1"/>
  <c r="H300" i="5" s="1"/>
  <c r="I300" i="5" s="1"/>
  <c r="P300" i="2"/>
  <c r="P264" i="2"/>
  <c r="D264" i="12"/>
  <c r="O80" i="2"/>
  <c r="D80" i="5"/>
  <c r="F80" i="5" s="1"/>
  <c r="H80" i="5" s="1"/>
  <c r="I80" i="5" s="1"/>
  <c r="D296" i="5"/>
  <c r="F296" i="5"/>
  <c r="H296" i="5"/>
  <c r="I296" i="5" s="1"/>
  <c r="P296" i="2"/>
  <c r="D296" i="12"/>
  <c r="P268" i="2"/>
  <c r="D268" i="5"/>
  <c r="F268" i="5" s="1"/>
  <c r="H268" i="5" s="1"/>
  <c r="I268" i="5" s="1"/>
  <c r="D268" i="12"/>
  <c r="D260" i="5"/>
  <c r="F260" i="5" s="1"/>
  <c r="H260" i="5" s="1"/>
  <c r="I260" i="5" s="1"/>
  <c r="D260" i="12"/>
  <c r="P260" i="2"/>
  <c r="O322" i="2"/>
  <c r="P270" i="2"/>
  <c r="O270" i="2"/>
  <c r="D270" i="5"/>
  <c r="F270" i="5" s="1"/>
  <c r="H270" i="5" s="1"/>
  <c r="I270" i="5" s="1"/>
  <c r="D270" i="12"/>
  <c r="D238" i="12"/>
  <c r="O238" i="2"/>
  <c r="D238" i="5"/>
  <c r="F238" i="5" s="1"/>
  <c r="H238" i="5" s="1"/>
  <c r="I238" i="5" s="1"/>
  <c r="P238" i="2"/>
  <c r="P206" i="2"/>
  <c r="D206" i="5"/>
  <c r="F206" i="5" s="1"/>
  <c r="H206" i="5" s="1"/>
  <c r="I206" i="5" s="1"/>
  <c r="D206" i="12"/>
  <c r="D174" i="12"/>
  <c r="D174" i="5"/>
  <c r="F174" i="5"/>
  <c r="H174" i="5"/>
  <c r="I174" i="5" s="1"/>
  <c r="P174" i="2"/>
  <c r="D110" i="5"/>
  <c r="F110" i="5" s="1"/>
  <c r="H110" i="5" s="1"/>
  <c r="I110" i="5" s="1"/>
  <c r="P110" i="2"/>
  <c r="D46" i="5"/>
  <c r="F46" i="5" s="1"/>
  <c r="H46" i="5" s="1"/>
  <c r="I46" i="5" s="1"/>
  <c r="D46" i="12"/>
  <c r="P14" i="2"/>
  <c r="D14" i="5"/>
  <c r="F14" i="5"/>
  <c r="H14" i="5"/>
  <c r="I14" i="5" s="1"/>
  <c r="D14" i="12"/>
  <c r="P319" i="2"/>
  <c r="D319" i="5"/>
  <c r="F319" i="5"/>
  <c r="H319" i="5" s="1"/>
  <c r="I319" i="5" s="1"/>
  <c r="D319" i="12"/>
  <c r="P287" i="2"/>
  <c r="D287" i="5"/>
  <c r="F287" i="5" s="1"/>
  <c r="D287" i="12"/>
  <c r="P255" i="2"/>
  <c r="D255" i="5"/>
  <c r="F255" i="5" s="1"/>
  <c r="H255" i="5" s="1"/>
  <c r="I255" i="5" s="1"/>
  <c r="D255" i="12"/>
  <c r="O243" i="2"/>
  <c r="D223" i="5"/>
  <c r="F223" i="5"/>
  <c r="H223" i="5"/>
  <c r="I223" i="5" s="1"/>
  <c r="P223" i="2"/>
  <c r="D223" i="12"/>
  <c r="D127" i="5"/>
  <c r="F127" i="5"/>
  <c r="H127" i="5" s="1"/>
  <c r="I127" i="5" s="1"/>
  <c r="P127" i="2"/>
  <c r="D127" i="12"/>
  <c r="G248" i="5"/>
  <c r="H248" i="5" s="1"/>
  <c r="I248" i="5" s="1"/>
  <c r="Q248" i="2"/>
  <c r="G200" i="5"/>
  <c r="H200" i="5"/>
  <c r="I200" i="5"/>
  <c r="Q200" i="2"/>
  <c r="P341" i="2"/>
  <c r="D341" i="5"/>
  <c r="F341" i="5" s="1"/>
  <c r="H341" i="5" s="1"/>
  <c r="I341" i="5" s="1"/>
  <c r="D341" i="12"/>
  <c r="D309" i="5"/>
  <c r="F309" i="5" s="1"/>
  <c r="H309" i="5" s="1"/>
  <c r="I309" i="5" s="1"/>
  <c r="P309" i="2"/>
  <c r="O309" i="2"/>
  <c r="D309" i="12"/>
  <c r="K184" i="12"/>
  <c r="K52" i="12"/>
  <c r="K249" i="12"/>
  <c r="H93" i="14"/>
  <c r="S90" i="14"/>
  <c r="S95" i="14" s="1"/>
  <c r="K90" i="14"/>
  <c r="P82" i="14"/>
  <c r="R79" i="14"/>
  <c r="R84" i="14"/>
  <c r="J79" i="14"/>
  <c r="O76" i="14"/>
  <c r="G76" i="14"/>
  <c r="I71" i="14"/>
  <c r="Q65" i="14"/>
  <c r="I65" i="14"/>
  <c r="K38" i="10"/>
  <c r="S121" i="14"/>
  <c r="S124" i="14"/>
  <c r="K121" i="14"/>
  <c r="D121" i="14"/>
  <c r="K40" i="10"/>
  <c r="K102" i="10" s="1"/>
  <c r="R120" i="14"/>
  <c r="R124" i="14" s="1"/>
  <c r="J120" i="14"/>
  <c r="D120" i="14"/>
  <c r="J40" i="10" s="1"/>
  <c r="J102" i="10" s="1"/>
  <c r="Q119" i="14"/>
  <c r="Q124" i="14" s="1"/>
  <c r="I119" i="14"/>
  <c r="P139" i="14"/>
  <c r="P142" i="14" s="1"/>
  <c r="H139" i="14"/>
  <c r="O138" i="14"/>
  <c r="O142" i="14"/>
  <c r="G138" i="14"/>
  <c r="D138" i="14" s="1"/>
  <c r="J41" i="10" s="1"/>
  <c r="J108" i="10" s="1"/>
  <c r="N137" i="14"/>
  <c r="M114" i="10"/>
  <c r="X286" i="11"/>
  <c r="AC286" i="11" s="1"/>
  <c r="W286" i="11"/>
  <c r="AB286" i="11" s="1"/>
  <c r="X282" i="11"/>
  <c r="AC282" i="11" s="1"/>
  <c r="W282" i="11"/>
  <c r="AB282" i="11"/>
  <c r="X216" i="11"/>
  <c r="AC216" i="11" s="1"/>
  <c r="W216" i="11"/>
  <c r="AB216" i="11" s="1"/>
  <c r="W208" i="11"/>
  <c r="AB208" i="11" s="1"/>
  <c r="X208" i="11"/>
  <c r="AC208" i="11"/>
  <c r="X158" i="11"/>
  <c r="AC158" i="11" s="1"/>
  <c r="W158" i="11"/>
  <c r="AB158" i="11" s="1"/>
  <c r="X156" i="11"/>
  <c r="AC156" i="11" s="1"/>
  <c r="W156" i="11"/>
  <c r="AB156" i="11"/>
  <c r="X154" i="11"/>
  <c r="AC154" i="11" s="1"/>
  <c r="W154" i="11"/>
  <c r="AB154" i="11" s="1"/>
  <c r="X152" i="11"/>
  <c r="AC152" i="11" s="1"/>
  <c r="W152" i="11"/>
  <c r="AB152" i="11"/>
  <c r="X150" i="11"/>
  <c r="AC150" i="11" s="1"/>
  <c r="W150" i="11"/>
  <c r="AB150" i="11" s="1"/>
  <c r="X148" i="11"/>
  <c r="AC148" i="11" s="1"/>
  <c r="W148" i="11"/>
  <c r="AB148" i="11"/>
  <c r="X146" i="11"/>
  <c r="AC146" i="11" s="1"/>
  <c r="W146" i="11"/>
  <c r="AB146" i="11" s="1"/>
  <c r="X144" i="11"/>
  <c r="AC144" i="11" s="1"/>
  <c r="W144" i="11"/>
  <c r="AB144" i="11"/>
  <c r="X142" i="11"/>
  <c r="AC142" i="11" s="1"/>
  <c r="W142" i="11"/>
  <c r="AB142" i="11" s="1"/>
  <c r="X140" i="11"/>
  <c r="AC140" i="11" s="1"/>
  <c r="W140" i="11"/>
  <c r="AB140" i="11"/>
  <c r="X138" i="11"/>
  <c r="AC138" i="11" s="1"/>
  <c r="W138" i="11"/>
  <c r="AB138" i="11" s="1"/>
  <c r="X136" i="11"/>
  <c r="AC136" i="11" s="1"/>
  <c r="W136" i="11"/>
  <c r="AB136" i="11"/>
  <c r="X134" i="11"/>
  <c r="AC134" i="11" s="1"/>
  <c r="W134" i="11"/>
  <c r="AB134" i="11" s="1"/>
  <c r="X132" i="11"/>
  <c r="AC132" i="11" s="1"/>
  <c r="W132" i="11"/>
  <c r="AB132" i="11"/>
  <c r="X130" i="11"/>
  <c r="AC130" i="11" s="1"/>
  <c r="W130" i="11"/>
  <c r="AB130" i="11" s="1"/>
  <c r="X128" i="11"/>
  <c r="AC128" i="11" s="1"/>
  <c r="W128" i="11"/>
  <c r="AB128" i="11"/>
  <c r="X126" i="11"/>
  <c r="AC126" i="11" s="1"/>
  <c r="W126" i="11"/>
  <c r="AB126" i="11" s="1"/>
  <c r="X124" i="11"/>
  <c r="AC124" i="11" s="1"/>
  <c r="W124" i="11"/>
  <c r="AB124" i="11"/>
  <c r="X122" i="11"/>
  <c r="AC122" i="11" s="1"/>
  <c r="W122" i="11"/>
  <c r="AB122" i="11" s="1"/>
  <c r="X120" i="11"/>
  <c r="AC120" i="11" s="1"/>
  <c r="W120" i="11"/>
  <c r="AB120" i="11"/>
  <c r="X118" i="11"/>
  <c r="AC118" i="11" s="1"/>
  <c r="W118" i="11"/>
  <c r="AB118" i="11" s="1"/>
  <c r="X116" i="11"/>
  <c r="AC116" i="11" s="1"/>
  <c r="W116" i="11"/>
  <c r="AB116" i="11"/>
  <c r="X114" i="11"/>
  <c r="AC114" i="11" s="1"/>
  <c r="W114" i="11"/>
  <c r="AB114" i="11" s="1"/>
  <c r="X112" i="11"/>
  <c r="AC112" i="11" s="1"/>
  <c r="W112" i="11"/>
  <c r="AB112" i="11"/>
  <c r="X110" i="11"/>
  <c r="AC110" i="11" s="1"/>
  <c r="W110" i="11"/>
  <c r="AB110" i="11" s="1"/>
  <c r="X108" i="11"/>
  <c r="AC108" i="11" s="1"/>
  <c r="W108" i="11"/>
  <c r="AB108" i="11"/>
  <c r="X106" i="11"/>
  <c r="AC106" i="11" s="1"/>
  <c r="W106" i="11"/>
  <c r="AB106" i="11" s="1"/>
  <c r="X104" i="11"/>
  <c r="AC104" i="11" s="1"/>
  <c r="W104" i="11"/>
  <c r="AB104" i="11"/>
  <c r="X102" i="11"/>
  <c r="AC102" i="11" s="1"/>
  <c r="W102" i="11"/>
  <c r="AB102" i="11" s="1"/>
  <c r="X100" i="11"/>
  <c r="AC100" i="11" s="1"/>
  <c r="W100" i="11"/>
  <c r="AB100" i="11"/>
  <c r="X98" i="11"/>
  <c r="AC98" i="11" s="1"/>
  <c r="W98" i="11"/>
  <c r="AB98" i="11" s="1"/>
  <c r="X96" i="11"/>
  <c r="AC96" i="11" s="1"/>
  <c r="W96" i="11"/>
  <c r="AB96" i="11"/>
  <c r="X94" i="11"/>
  <c r="AC94" i="11" s="1"/>
  <c r="W94" i="11"/>
  <c r="AB94" i="11" s="1"/>
  <c r="X92" i="11"/>
  <c r="AC92" i="11" s="1"/>
  <c r="W92" i="11"/>
  <c r="AB92" i="11"/>
  <c r="X90" i="11"/>
  <c r="AC90" i="11" s="1"/>
  <c r="W90" i="11"/>
  <c r="AB90" i="11" s="1"/>
  <c r="X88" i="11"/>
  <c r="AC88" i="11" s="1"/>
  <c r="W88" i="11"/>
  <c r="AB88" i="11"/>
  <c r="X86" i="11"/>
  <c r="AC86" i="11" s="1"/>
  <c r="W86" i="11"/>
  <c r="AB86" i="11" s="1"/>
  <c r="X84" i="11"/>
  <c r="AC84" i="11" s="1"/>
  <c r="W84" i="11"/>
  <c r="AB84" i="11"/>
  <c r="X82" i="11"/>
  <c r="AC82" i="11" s="1"/>
  <c r="W82" i="11"/>
  <c r="AB82" i="11" s="1"/>
  <c r="X80" i="11"/>
  <c r="AC80" i="11" s="1"/>
  <c r="W80" i="11"/>
  <c r="AB80" i="11"/>
  <c r="X78" i="11"/>
  <c r="AC78" i="11" s="1"/>
  <c r="W78" i="11"/>
  <c r="AB78" i="11" s="1"/>
  <c r="X76" i="11"/>
  <c r="AC76" i="11" s="1"/>
  <c r="W76" i="11"/>
  <c r="AB76" i="11"/>
  <c r="X74" i="11"/>
  <c r="AC74" i="11" s="1"/>
  <c r="W74" i="11"/>
  <c r="AB74" i="11" s="1"/>
  <c r="X72" i="11"/>
  <c r="AC72" i="11" s="1"/>
  <c r="W72" i="11"/>
  <c r="AB72" i="11"/>
  <c r="X70" i="11"/>
  <c r="AC70" i="11" s="1"/>
  <c r="W70" i="11"/>
  <c r="AB70" i="11" s="1"/>
  <c r="X68" i="11"/>
  <c r="AC68" i="11" s="1"/>
  <c r="W68" i="11"/>
  <c r="AB68" i="11"/>
  <c r="X66" i="11"/>
  <c r="AC66" i="11" s="1"/>
  <c r="W66" i="11"/>
  <c r="AB66" i="11" s="1"/>
  <c r="X64" i="11"/>
  <c r="AC64" i="11" s="1"/>
  <c r="W64" i="11"/>
  <c r="AB64" i="11"/>
  <c r="X62" i="11"/>
  <c r="AC62" i="11" s="1"/>
  <c r="W62" i="11"/>
  <c r="AB62" i="11" s="1"/>
  <c r="X60" i="11"/>
  <c r="AC60" i="11" s="1"/>
  <c r="W60" i="11"/>
  <c r="AB60" i="11"/>
  <c r="X58" i="11"/>
  <c r="AC58" i="11" s="1"/>
  <c r="W58" i="11"/>
  <c r="AB58" i="11" s="1"/>
  <c r="X56" i="11"/>
  <c r="AC56" i="11" s="1"/>
  <c r="W56" i="11"/>
  <c r="AB56" i="11"/>
  <c r="X54" i="11"/>
  <c r="AC54" i="11" s="1"/>
  <c r="W54" i="11"/>
  <c r="AB54" i="11" s="1"/>
  <c r="X52" i="11"/>
  <c r="AC52" i="11" s="1"/>
  <c r="W52" i="11"/>
  <c r="AB52" i="11"/>
  <c r="X50" i="11"/>
  <c r="AC50" i="11" s="1"/>
  <c r="W50" i="11"/>
  <c r="AB50" i="11" s="1"/>
  <c r="X48" i="11"/>
  <c r="AC48" i="11" s="1"/>
  <c r="W48" i="11"/>
  <c r="AB48" i="11"/>
  <c r="X46" i="11"/>
  <c r="AC46" i="11" s="1"/>
  <c r="W46" i="11"/>
  <c r="AB46" i="11" s="1"/>
  <c r="X44" i="11"/>
  <c r="AC44" i="11" s="1"/>
  <c r="W44" i="11"/>
  <c r="AB44" i="11"/>
  <c r="X42" i="11"/>
  <c r="AC42" i="11" s="1"/>
  <c r="W42" i="11"/>
  <c r="AB42" i="11" s="1"/>
  <c r="X40" i="11"/>
  <c r="AC40" i="11" s="1"/>
  <c r="W40" i="11"/>
  <c r="AB40" i="11"/>
  <c r="X38" i="11"/>
  <c r="AC38" i="11" s="1"/>
  <c r="W38" i="11"/>
  <c r="AB38" i="11" s="1"/>
  <c r="X36" i="11"/>
  <c r="AC36" i="11" s="1"/>
  <c r="W36" i="11"/>
  <c r="AB36" i="11"/>
  <c r="X34" i="11"/>
  <c r="AC34" i="11" s="1"/>
  <c r="W34" i="11"/>
  <c r="AB34" i="11" s="1"/>
  <c r="X32" i="11"/>
  <c r="AC32" i="11" s="1"/>
  <c r="W32" i="11"/>
  <c r="AB32" i="11"/>
  <c r="X30" i="11"/>
  <c r="AC30" i="11" s="1"/>
  <c r="W30" i="11"/>
  <c r="AB30" i="11" s="1"/>
  <c r="X28" i="11"/>
  <c r="AC28" i="11" s="1"/>
  <c r="W28" i="11"/>
  <c r="AB28" i="11"/>
  <c r="X26" i="11"/>
  <c r="AC26" i="11" s="1"/>
  <c r="W26" i="11"/>
  <c r="AB26" i="11" s="1"/>
  <c r="X24" i="11"/>
  <c r="AC24" i="11" s="1"/>
  <c r="W24" i="11"/>
  <c r="AB24" i="11"/>
  <c r="X22" i="11"/>
  <c r="AC22" i="11" s="1"/>
  <c r="W22" i="11"/>
  <c r="AB22" i="11" s="1"/>
  <c r="X20" i="11"/>
  <c r="AC20" i="11" s="1"/>
  <c r="W20" i="11"/>
  <c r="AB20" i="11"/>
  <c r="X18" i="11"/>
  <c r="AC18" i="11" s="1"/>
  <c r="W18" i="11"/>
  <c r="AB18" i="11" s="1"/>
  <c r="X16" i="11"/>
  <c r="AC16" i="11" s="1"/>
  <c r="W16" i="11"/>
  <c r="AB16" i="11"/>
  <c r="X14" i="11"/>
  <c r="AC14" i="11" s="1"/>
  <c r="W14" i="11"/>
  <c r="AB14" i="11" s="1"/>
  <c r="X12" i="11"/>
  <c r="AC12" i="11" s="1"/>
  <c r="W12" i="11"/>
  <c r="AB12" i="11"/>
  <c r="X10" i="11"/>
  <c r="AC10" i="11" s="1"/>
  <c r="W10" i="11"/>
  <c r="AB10" i="11" s="1"/>
  <c r="W9" i="11"/>
  <c r="X321" i="11"/>
  <c r="AC321" i="11"/>
  <c r="W321" i="11"/>
  <c r="AB321" i="11" s="1"/>
  <c r="X213" i="11"/>
  <c r="AC213" i="11"/>
  <c r="W213" i="11"/>
  <c r="AB213" i="11"/>
  <c r="W211" i="11"/>
  <c r="AB211" i="11"/>
  <c r="X211" i="11"/>
  <c r="AC211" i="11" s="1"/>
  <c r="W209" i="11"/>
  <c r="AB209" i="11"/>
  <c r="X209" i="11"/>
  <c r="AC209" i="11"/>
  <c r="W207" i="11"/>
  <c r="AB207" i="11"/>
  <c r="X207" i="11"/>
  <c r="AC207" i="11" s="1"/>
  <c r="X159" i="11"/>
  <c r="AC159" i="11"/>
  <c r="W159" i="11"/>
  <c r="AB159" i="11"/>
  <c r="X157" i="11"/>
  <c r="AC157" i="11"/>
  <c r="W157" i="11"/>
  <c r="AB157" i="11" s="1"/>
  <c r="X155" i="11"/>
  <c r="AC155" i="11"/>
  <c r="W155" i="11"/>
  <c r="AB155" i="11"/>
  <c r="X153" i="11"/>
  <c r="AC153" i="11"/>
  <c r="W153" i="11"/>
  <c r="AB153" i="11" s="1"/>
  <c r="X151" i="11"/>
  <c r="AC151" i="11"/>
  <c r="W151" i="11"/>
  <c r="AB151" i="11"/>
  <c r="X149" i="11"/>
  <c r="AC149" i="11"/>
  <c r="W149" i="11"/>
  <c r="AB149" i="11" s="1"/>
  <c r="X147" i="11"/>
  <c r="AC147" i="11"/>
  <c r="W147" i="11"/>
  <c r="AB147" i="11"/>
  <c r="X145" i="11"/>
  <c r="AC145" i="11"/>
  <c r="W145" i="11"/>
  <c r="AB145" i="11" s="1"/>
  <c r="X143" i="11"/>
  <c r="AC143" i="11"/>
  <c r="W143" i="11"/>
  <c r="AB143" i="11"/>
  <c r="X141" i="11"/>
  <c r="AC141" i="11"/>
  <c r="W141" i="11"/>
  <c r="AB141" i="11" s="1"/>
  <c r="X139" i="11"/>
  <c r="AC139" i="11"/>
  <c r="W139" i="11"/>
  <c r="AB139" i="11"/>
  <c r="X137" i="11"/>
  <c r="AC137" i="11"/>
  <c r="W137" i="11"/>
  <c r="AB137" i="11" s="1"/>
  <c r="X135" i="11"/>
  <c r="AC135" i="11"/>
  <c r="W135" i="11"/>
  <c r="AB135" i="11"/>
  <c r="X133" i="11"/>
  <c r="AC133" i="11"/>
  <c r="W133" i="11"/>
  <c r="AB133" i="11" s="1"/>
  <c r="X131" i="11"/>
  <c r="AC131" i="11"/>
  <c r="W131" i="11"/>
  <c r="AB131" i="11"/>
  <c r="X129" i="11"/>
  <c r="AC129" i="11"/>
  <c r="W129" i="11"/>
  <c r="AB129" i="11" s="1"/>
  <c r="X127" i="11"/>
  <c r="AC127" i="11"/>
  <c r="W127" i="11"/>
  <c r="AB127" i="11"/>
  <c r="X125" i="11"/>
  <c r="AC125" i="11"/>
  <c r="W125" i="11"/>
  <c r="AB125" i="11" s="1"/>
  <c r="X123" i="11"/>
  <c r="AC123" i="11"/>
  <c r="W123" i="11"/>
  <c r="AB123" i="11"/>
  <c r="X121" i="11"/>
  <c r="AC121" i="11"/>
  <c r="W121" i="11"/>
  <c r="AB121" i="11" s="1"/>
  <c r="X119" i="11"/>
  <c r="AC119" i="11"/>
  <c r="W119" i="11"/>
  <c r="AB119" i="11"/>
  <c r="X117" i="11"/>
  <c r="AC117" i="11"/>
  <c r="W117" i="11"/>
  <c r="AB117" i="11" s="1"/>
  <c r="X115" i="11"/>
  <c r="AC115" i="11"/>
  <c r="W115" i="11"/>
  <c r="AB115" i="11"/>
  <c r="X113" i="11"/>
  <c r="AC113" i="11"/>
  <c r="W113" i="11"/>
  <c r="AB113" i="11" s="1"/>
  <c r="X111" i="11"/>
  <c r="AC111" i="11"/>
  <c r="W111" i="11"/>
  <c r="AB111" i="11"/>
  <c r="X109" i="11"/>
  <c r="AC109" i="11"/>
  <c r="W109" i="11"/>
  <c r="AB109" i="11" s="1"/>
  <c r="X107" i="11"/>
  <c r="AC107" i="11"/>
  <c r="W107" i="11"/>
  <c r="AB107" i="11"/>
  <c r="X105" i="11"/>
  <c r="AC105" i="11"/>
  <c r="W105" i="11"/>
  <c r="AB105" i="11" s="1"/>
  <c r="X103" i="11"/>
  <c r="AC103" i="11"/>
  <c r="W103" i="11"/>
  <c r="AB103" i="11"/>
  <c r="X101" i="11"/>
  <c r="AC101" i="11"/>
  <c r="W101" i="11"/>
  <c r="AB101" i="11" s="1"/>
  <c r="X99" i="11"/>
  <c r="AC99" i="11"/>
  <c r="W99" i="11"/>
  <c r="AB99" i="11"/>
  <c r="X97" i="11"/>
  <c r="AC97" i="11"/>
  <c r="W97" i="11"/>
  <c r="AB97" i="11" s="1"/>
  <c r="X95" i="11"/>
  <c r="AC95" i="11"/>
  <c r="W95" i="11"/>
  <c r="AB95" i="11"/>
  <c r="X93" i="11"/>
  <c r="AC93" i="11"/>
  <c r="W93" i="11"/>
  <c r="AB93" i="11" s="1"/>
  <c r="X91" i="11"/>
  <c r="AC91" i="11"/>
  <c r="W91" i="11"/>
  <c r="AB91" i="11"/>
  <c r="X89" i="11"/>
  <c r="AC89" i="11"/>
  <c r="W89" i="11"/>
  <c r="AB89" i="11" s="1"/>
  <c r="X87" i="11"/>
  <c r="AC87" i="11"/>
  <c r="W87" i="11"/>
  <c r="AB87" i="11"/>
  <c r="X85" i="11"/>
  <c r="AC85" i="11"/>
  <c r="W85" i="11"/>
  <c r="AB85" i="11" s="1"/>
  <c r="X83" i="11"/>
  <c r="AC83" i="11"/>
  <c r="W83" i="11"/>
  <c r="AB83" i="11"/>
  <c r="X81" i="11"/>
  <c r="AC81" i="11"/>
  <c r="W81" i="11"/>
  <c r="AB81" i="11" s="1"/>
  <c r="X79" i="11"/>
  <c r="AC79" i="11"/>
  <c r="W79" i="11"/>
  <c r="AB79" i="11"/>
  <c r="X77" i="11"/>
  <c r="AC77" i="11"/>
  <c r="W77" i="11"/>
  <c r="AB77" i="11" s="1"/>
  <c r="X75" i="11"/>
  <c r="AC75" i="11"/>
  <c r="W75" i="11"/>
  <c r="AB75" i="11"/>
  <c r="X73" i="11"/>
  <c r="AC73" i="11"/>
  <c r="W73" i="11"/>
  <c r="AB73" i="11" s="1"/>
  <c r="X71" i="11"/>
  <c r="AC71" i="11"/>
  <c r="W71" i="11"/>
  <c r="AB71" i="11"/>
  <c r="X69" i="11"/>
  <c r="AC69" i="11"/>
  <c r="W69" i="11"/>
  <c r="AB69" i="11" s="1"/>
  <c r="X67" i="11"/>
  <c r="AC67" i="11"/>
  <c r="W67" i="11"/>
  <c r="AB67" i="11"/>
  <c r="X65" i="11"/>
  <c r="AC65" i="11"/>
  <c r="W65" i="11"/>
  <c r="AB65" i="11" s="1"/>
  <c r="X63" i="11"/>
  <c r="AC63" i="11"/>
  <c r="W63" i="11"/>
  <c r="AB63" i="11"/>
  <c r="X61" i="11"/>
  <c r="AC61" i="11"/>
  <c r="W61" i="11"/>
  <c r="AB61" i="11" s="1"/>
  <c r="X59" i="11"/>
  <c r="AC59" i="11"/>
  <c r="W59" i="11"/>
  <c r="AB59" i="11"/>
  <c r="X57" i="11"/>
  <c r="AC57" i="11"/>
  <c r="W57" i="11"/>
  <c r="AB57" i="11" s="1"/>
  <c r="X55" i="11"/>
  <c r="AC55" i="11"/>
  <c r="W55" i="11"/>
  <c r="AB55" i="11"/>
  <c r="X53" i="11"/>
  <c r="AC53" i="11"/>
  <c r="W53" i="11"/>
  <c r="AB53" i="11" s="1"/>
  <c r="X51" i="11"/>
  <c r="AC51" i="11"/>
  <c r="W51" i="11"/>
  <c r="AB51" i="11"/>
  <c r="X49" i="11"/>
  <c r="AC49" i="11"/>
  <c r="W49" i="11"/>
  <c r="AB49" i="11" s="1"/>
  <c r="X47" i="11"/>
  <c r="AC47" i="11"/>
  <c r="W47" i="11"/>
  <c r="AB47" i="11"/>
  <c r="X45" i="11"/>
  <c r="AC45" i="11"/>
  <c r="W45" i="11"/>
  <c r="AB45" i="11" s="1"/>
  <c r="X43" i="11"/>
  <c r="AC43" i="11"/>
  <c r="W43" i="11"/>
  <c r="AB43" i="11"/>
  <c r="X41" i="11"/>
  <c r="AC41" i="11"/>
  <c r="W41" i="11"/>
  <c r="AB41" i="11" s="1"/>
  <c r="X39" i="11"/>
  <c r="AC39" i="11"/>
  <c r="W39" i="11"/>
  <c r="AB39" i="11"/>
  <c r="X37" i="11"/>
  <c r="AC37" i="11"/>
  <c r="W37" i="11"/>
  <c r="AB37" i="11" s="1"/>
  <c r="X35" i="11"/>
  <c r="AC35" i="11"/>
  <c r="W35" i="11"/>
  <c r="AB35" i="11"/>
  <c r="X33" i="11"/>
  <c r="AC33" i="11"/>
  <c r="W33" i="11"/>
  <c r="AB33" i="11" s="1"/>
  <c r="X31" i="11"/>
  <c r="AC31" i="11"/>
  <c r="W31" i="11"/>
  <c r="AB31" i="11"/>
  <c r="X29" i="11"/>
  <c r="AC29" i="11"/>
  <c r="W29" i="11"/>
  <c r="AB29" i="11" s="1"/>
  <c r="X27" i="11"/>
  <c r="AC27" i="11"/>
  <c r="W27" i="11"/>
  <c r="AB27" i="11"/>
  <c r="X25" i="11"/>
  <c r="AC25" i="11"/>
  <c r="W25" i="11"/>
  <c r="AB25" i="11" s="1"/>
  <c r="X23" i="11"/>
  <c r="AC23" i="11"/>
  <c r="W23" i="11"/>
  <c r="AB23" i="11"/>
  <c r="X21" i="11"/>
  <c r="AC21" i="11"/>
  <c r="W21" i="11"/>
  <c r="AB21" i="11" s="1"/>
  <c r="X19" i="11"/>
  <c r="AC19" i="11"/>
  <c r="W19" i="11"/>
  <c r="AB19" i="11"/>
  <c r="X17" i="11"/>
  <c r="AC17" i="11"/>
  <c r="W17" i="11"/>
  <c r="AB17" i="11" s="1"/>
  <c r="X15" i="11"/>
  <c r="AC15" i="11"/>
  <c r="W15" i="11"/>
  <c r="AB15" i="11"/>
  <c r="X11" i="11"/>
  <c r="AC11" i="11"/>
  <c r="W11" i="11"/>
  <c r="AB11" i="11" s="1"/>
  <c r="X8" i="11"/>
  <c r="W344" i="11"/>
  <c r="AB344" i="11" s="1"/>
  <c r="W343" i="11"/>
  <c r="AB343" i="11" s="1"/>
  <c r="W342" i="11"/>
  <c r="AB342" i="11"/>
  <c r="W341" i="11"/>
  <c r="AB341" i="11" s="1"/>
  <c r="W340" i="11"/>
  <c r="AB340" i="11" s="1"/>
  <c r="W339" i="11"/>
  <c r="AB339" i="11" s="1"/>
  <c r="W338" i="11"/>
  <c r="AB338" i="11"/>
  <c r="W337" i="11"/>
  <c r="AB337" i="11" s="1"/>
  <c r="W336" i="11"/>
  <c r="AB336" i="11" s="1"/>
  <c r="W335" i="11"/>
  <c r="AB335" i="11" s="1"/>
  <c r="W334" i="11"/>
  <c r="AB334" i="11"/>
  <c r="W333" i="11"/>
  <c r="AB333" i="11" s="1"/>
  <c r="W332" i="11"/>
  <c r="AB332" i="11" s="1"/>
  <c r="W331" i="11"/>
  <c r="AB331" i="11" s="1"/>
  <c r="W330" i="11"/>
  <c r="AB330" i="11"/>
  <c r="W329" i="11"/>
  <c r="AB329" i="11" s="1"/>
  <c r="W328" i="11"/>
  <c r="AB328" i="11" s="1"/>
  <c r="W327" i="11"/>
  <c r="AB327" i="11" s="1"/>
  <c r="W326" i="11"/>
  <c r="AB326" i="11"/>
  <c r="W325" i="11"/>
  <c r="W324" i="11"/>
  <c r="AB324" i="11"/>
  <c r="W323" i="11"/>
  <c r="AB323" i="11"/>
  <c r="W322" i="11"/>
  <c r="AB322" i="11"/>
  <c r="W320" i="11"/>
  <c r="AB320" i="11" s="1"/>
  <c r="W319" i="11"/>
  <c r="AB319" i="11"/>
  <c r="W318" i="11"/>
  <c r="AB318" i="11"/>
  <c r="W317" i="11"/>
  <c r="AB317" i="11"/>
  <c r="W316" i="11"/>
  <c r="AB316" i="11" s="1"/>
  <c r="W315" i="11"/>
  <c r="AB315" i="11"/>
  <c r="W314" i="11"/>
  <c r="AB314" i="11"/>
  <c r="W313" i="11"/>
  <c r="AB313" i="11"/>
  <c r="W312" i="11"/>
  <c r="AB312" i="11" s="1"/>
  <c r="W311" i="11"/>
  <c r="AB311" i="11"/>
  <c r="W310" i="11"/>
  <c r="AB310" i="11"/>
  <c r="W309" i="11"/>
  <c r="AB309" i="11"/>
  <c r="W308" i="11"/>
  <c r="AB308" i="11" s="1"/>
  <c r="W307" i="11"/>
  <c r="AB307" i="11"/>
  <c r="W306" i="11"/>
  <c r="AB306" i="11"/>
  <c r="W305" i="11"/>
  <c r="AB305" i="11"/>
  <c r="W304" i="11"/>
  <c r="AB304" i="11" s="1"/>
  <c r="W303" i="11"/>
  <c r="AB303" i="11"/>
  <c r="W302" i="11"/>
  <c r="AB302" i="11"/>
  <c r="W301" i="11"/>
  <c r="AB301" i="11"/>
  <c r="W300" i="11"/>
  <c r="AB300" i="11" s="1"/>
  <c r="W299" i="11"/>
  <c r="AB299" i="11"/>
  <c r="W298" i="11"/>
  <c r="AB298" i="11"/>
  <c r="W297" i="11"/>
  <c r="AB297" i="11"/>
  <c r="W296" i="11"/>
  <c r="AB296" i="11" s="1"/>
  <c r="W295" i="11"/>
  <c r="AB295" i="11"/>
  <c r="W294" i="11"/>
  <c r="AB294" i="11"/>
  <c r="W293" i="11"/>
  <c r="AB293" i="11"/>
  <c r="W292" i="11"/>
  <c r="AB292" i="11" s="1"/>
  <c r="W291" i="11"/>
  <c r="AB291" i="11"/>
  <c r="W290" i="11"/>
  <c r="AB290" i="11"/>
  <c r="W289" i="11"/>
  <c r="AB289" i="11"/>
  <c r="W288" i="11"/>
  <c r="AB288" i="11" s="1"/>
  <c r="W287" i="11"/>
  <c r="AB287" i="11"/>
  <c r="W285" i="11"/>
  <c r="AB285" i="11"/>
  <c r="W284" i="11"/>
  <c r="AB284" i="11"/>
  <c r="W283" i="11"/>
  <c r="AB283" i="11" s="1"/>
  <c r="W281" i="11"/>
  <c r="AB281" i="11"/>
  <c r="W280" i="11"/>
  <c r="AB280" i="11"/>
  <c r="W279" i="11"/>
  <c r="AB279" i="11"/>
  <c r="W278" i="11"/>
  <c r="AB278" i="11" s="1"/>
  <c r="W277" i="11"/>
  <c r="AB277" i="11"/>
  <c r="W276" i="11"/>
  <c r="AB276" i="11"/>
  <c r="W275" i="11"/>
  <c r="AB275" i="11"/>
  <c r="W274" i="11"/>
  <c r="AB274" i="11" s="1"/>
  <c r="W273" i="11"/>
  <c r="AB273" i="11"/>
  <c r="W272" i="11"/>
  <c r="AB272" i="11"/>
  <c r="W271" i="11"/>
  <c r="AB271" i="11"/>
  <c r="W270" i="11"/>
  <c r="AB270" i="11" s="1"/>
  <c r="W269" i="11"/>
  <c r="AB269" i="11"/>
  <c r="W268" i="11"/>
  <c r="AB268" i="11"/>
  <c r="W267" i="11"/>
  <c r="AB267" i="11"/>
  <c r="W266" i="11"/>
  <c r="AB266" i="11" s="1"/>
  <c r="W265" i="11"/>
  <c r="AB265" i="11"/>
  <c r="W264" i="11"/>
  <c r="AB264" i="11"/>
  <c r="W263" i="11"/>
  <c r="AB263" i="11"/>
  <c r="W262" i="11"/>
  <c r="AB262" i="11" s="1"/>
  <c r="W261" i="11"/>
  <c r="AB261" i="11"/>
  <c r="W260" i="11"/>
  <c r="AB260" i="11" s="1"/>
  <c r="W259" i="11"/>
  <c r="AB259" i="11"/>
  <c r="W258" i="11"/>
  <c r="AB258" i="11" s="1"/>
  <c r="W257" i="11"/>
  <c r="AB257" i="11"/>
  <c r="W256" i="11"/>
  <c r="AB256" i="11" s="1"/>
  <c r="W255" i="11"/>
  <c r="AB255" i="11"/>
  <c r="W254" i="11"/>
  <c r="AB254" i="11" s="1"/>
  <c r="W253" i="11"/>
  <c r="AB253" i="11"/>
  <c r="W252" i="11"/>
  <c r="AB252" i="11"/>
  <c r="W251" i="11"/>
  <c r="AB251" i="11"/>
  <c r="W250" i="11"/>
  <c r="AB250" i="11" s="1"/>
  <c r="W249" i="11"/>
  <c r="AB249" i="11"/>
  <c r="W248" i="11"/>
  <c r="AB248" i="11" s="1"/>
  <c r="W247" i="11"/>
  <c r="AB247" i="11"/>
  <c r="W246" i="11"/>
  <c r="AB246" i="11" s="1"/>
  <c r="W245" i="11"/>
  <c r="AB245" i="11"/>
  <c r="W244" i="11"/>
  <c r="AB244" i="11" s="1"/>
  <c r="W243" i="11"/>
  <c r="AB243" i="11"/>
  <c r="W242" i="11"/>
  <c r="AB242" i="11" s="1"/>
  <c r="W241" i="11"/>
  <c r="AB241" i="11"/>
  <c r="W240" i="11"/>
  <c r="AB240" i="11" s="1"/>
  <c r="W239" i="11"/>
  <c r="AB239" i="11"/>
  <c r="W238" i="11"/>
  <c r="AB238" i="11" s="1"/>
  <c r="W237" i="11"/>
  <c r="AB237" i="11"/>
  <c r="W236" i="11"/>
  <c r="AB236" i="11"/>
  <c r="W235" i="11"/>
  <c r="AB235" i="11"/>
  <c r="W234" i="11"/>
  <c r="AB234" i="11" s="1"/>
  <c r="W233" i="11"/>
  <c r="AB233" i="11"/>
  <c r="W232" i="11"/>
  <c r="AB232" i="11"/>
  <c r="W231" i="11"/>
  <c r="AB231" i="11"/>
  <c r="W230" i="11"/>
  <c r="AB230" i="11" s="1"/>
  <c r="W229" i="11"/>
  <c r="AB229" i="11"/>
  <c r="W228" i="11"/>
  <c r="AB228" i="11" s="1"/>
  <c r="W227" i="11"/>
  <c r="AB227" i="11"/>
  <c r="W226" i="11"/>
  <c r="AB226" i="11" s="1"/>
  <c r="W225" i="11"/>
  <c r="AB225" i="11" s="1"/>
  <c r="W224" i="11"/>
  <c r="AB224" i="11" s="1"/>
  <c r="W223" i="11"/>
  <c r="AB223" i="11"/>
  <c r="W222" i="11"/>
  <c r="AB222" i="11" s="1"/>
  <c r="W221" i="11"/>
  <c r="AB221" i="11" s="1"/>
  <c r="W220" i="11"/>
  <c r="AB220" i="11"/>
  <c r="W219" i="11"/>
  <c r="AB219" i="11" s="1"/>
  <c r="W218" i="11"/>
  <c r="AB218" i="11" s="1"/>
  <c r="W217" i="11"/>
  <c r="AB217" i="11" s="1"/>
  <c r="W215" i="11"/>
  <c r="AB215" i="11" s="1"/>
  <c r="W214" i="11"/>
  <c r="AB214" i="11" s="1"/>
  <c r="W212" i="11"/>
  <c r="AB212" i="11" s="1"/>
  <c r="W210" i="11"/>
  <c r="AB210" i="11"/>
  <c r="W206" i="11"/>
  <c r="AB206" i="11" s="1"/>
  <c r="W205" i="11"/>
  <c r="AB205" i="11"/>
  <c r="W204" i="11"/>
  <c r="AB204" i="11" s="1"/>
  <c r="W203" i="11"/>
  <c r="AB203" i="11"/>
  <c r="W202" i="11"/>
  <c r="AB202" i="11" s="1"/>
  <c r="W201" i="11"/>
  <c r="AB201" i="11" s="1"/>
  <c r="W200" i="11"/>
  <c r="AB200" i="11" s="1"/>
  <c r="W199" i="11"/>
  <c r="AB199" i="11" s="1"/>
  <c r="W198" i="11"/>
  <c r="AB198" i="11"/>
  <c r="W197" i="11"/>
  <c r="AB197" i="11" s="1"/>
  <c r="W196" i="11"/>
  <c r="AB196" i="11" s="1"/>
  <c r="W195" i="11"/>
  <c r="AB195" i="11" s="1"/>
  <c r="W194" i="11"/>
  <c r="AB194" i="11"/>
  <c r="W193" i="11"/>
  <c r="AB193" i="11" s="1"/>
  <c r="W192" i="11"/>
  <c r="AB192" i="11" s="1"/>
  <c r="W191" i="11"/>
  <c r="AB191" i="11"/>
  <c r="W190" i="11"/>
  <c r="AB190" i="11" s="1"/>
  <c r="W189" i="11"/>
  <c r="AB189" i="11"/>
  <c r="W188" i="11"/>
  <c r="AB188" i="11" s="1"/>
  <c r="W187" i="11"/>
  <c r="AB187" i="11" s="1"/>
  <c r="W186" i="11"/>
  <c r="AB186" i="11" s="1"/>
  <c r="W185" i="11"/>
  <c r="AB185" i="11"/>
  <c r="W184" i="11"/>
  <c r="AB184" i="11" s="1"/>
  <c r="W183" i="11"/>
  <c r="AB183" i="11" s="1"/>
  <c r="W182" i="11"/>
  <c r="AB182" i="11"/>
  <c r="W181" i="11"/>
  <c r="AB181" i="11" s="1"/>
  <c r="W180" i="11"/>
  <c r="AB180" i="11" s="1"/>
  <c r="W179" i="11"/>
  <c r="AB179" i="11" s="1"/>
  <c r="W178" i="11"/>
  <c r="AB178" i="11" s="1"/>
  <c r="W177" i="11"/>
  <c r="AB177" i="11" s="1"/>
  <c r="W176" i="11"/>
  <c r="AB176" i="11" s="1"/>
  <c r="W175" i="11"/>
  <c r="AB175" i="11"/>
  <c r="W174" i="11"/>
  <c r="AB174" i="11" s="1"/>
  <c r="W173" i="11"/>
  <c r="AB173" i="11"/>
  <c r="W172" i="11"/>
  <c r="AB172" i="11" s="1"/>
  <c r="W171" i="11"/>
  <c r="AB171" i="11"/>
  <c r="W170" i="11"/>
  <c r="AB170" i="11" s="1"/>
  <c r="W169" i="11"/>
  <c r="AB169" i="11" s="1"/>
  <c r="W168" i="11"/>
  <c r="AB168" i="11" s="1"/>
  <c r="W167" i="11"/>
  <c r="AB167" i="11" s="1"/>
  <c r="W166" i="11"/>
  <c r="AB166" i="11"/>
  <c r="W165" i="11"/>
  <c r="AB165" i="11" s="1"/>
  <c r="W164" i="11"/>
  <c r="AB164" i="11" s="1"/>
  <c r="W163" i="11"/>
  <c r="AB163" i="11" s="1"/>
  <c r="W162" i="11"/>
  <c r="AB162" i="11"/>
  <c r="W161" i="11"/>
  <c r="AB161" i="11" s="1"/>
  <c r="AB6" i="11" s="1"/>
  <c r="AD6" i="11" s="1"/>
  <c r="W160" i="11"/>
  <c r="AB160" i="11" s="1"/>
  <c r="S147" i="14"/>
  <c r="AB9" i="11"/>
  <c r="N142" i="14"/>
  <c r="D137" i="14"/>
  <c r="D65" i="14"/>
  <c r="D90" i="14"/>
  <c r="K95" i="14"/>
  <c r="H95" i="14"/>
  <c r="G309" i="12"/>
  <c r="N309" i="12"/>
  <c r="F309" i="12"/>
  <c r="G341" i="12"/>
  <c r="N341" i="12"/>
  <c r="F341" i="12"/>
  <c r="F223" i="12"/>
  <c r="G223" i="12"/>
  <c r="N223" i="12" s="1"/>
  <c r="F255" i="12"/>
  <c r="G255" i="12"/>
  <c r="N255" i="12" s="1"/>
  <c r="F319" i="12"/>
  <c r="G319" i="12"/>
  <c r="N319" i="12" s="1"/>
  <c r="F46" i="12"/>
  <c r="G46" i="12"/>
  <c r="N46" i="12"/>
  <c r="F174" i="12"/>
  <c r="G174" i="12"/>
  <c r="N174" i="12"/>
  <c r="G270" i="12"/>
  <c r="N270" i="12" s="1"/>
  <c r="F270" i="12"/>
  <c r="G260" i="12"/>
  <c r="N260" i="12"/>
  <c r="F260" i="12"/>
  <c r="F268" i="12"/>
  <c r="G268" i="12"/>
  <c r="N268" i="12"/>
  <c r="G264" i="12"/>
  <c r="N264" i="12"/>
  <c r="F264" i="12"/>
  <c r="F300" i="12"/>
  <c r="G300" i="12"/>
  <c r="N300" i="12" s="1"/>
  <c r="L16" i="12"/>
  <c r="N16" i="12"/>
  <c r="K16" i="12"/>
  <c r="G15" i="12"/>
  <c r="N15" i="12" s="1"/>
  <c r="F15" i="12"/>
  <c r="G247" i="12"/>
  <c r="N247" i="12" s="1"/>
  <c r="F247" i="12"/>
  <c r="G279" i="12"/>
  <c r="N279" i="12" s="1"/>
  <c r="F279" i="12"/>
  <c r="G343" i="12"/>
  <c r="N343" i="12"/>
  <c r="F343" i="12"/>
  <c r="G38" i="12"/>
  <c r="N38" i="12"/>
  <c r="F38" i="12"/>
  <c r="F70" i="12"/>
  <c r="G70" i="12"/>
  <c r="N70" i="12" s="1"/>
  <c r="G198" i="12"/>
  <c r="N198" i="12" s="1"/>
  <c r="F198" i="12"/>
  <c r="G262" i="12"/>
  <c r="N262" i="12"/>
  <c r="F262" i="12"/>
  <c r="G276" i="12"/>
  <c r="N276" i="12" s="1"/>
  <c r="F276" i="12"/>
  <c r="G304" i="12"/>
  <c r="N304" i="12" s="1"/>
  <c r="F304" i="12"/>
  <c r="G312" i="12"/>
  <c r="N312" i="12" s="1"/>
  <c r="F312" i="12"/>
  <c r="F12" i="5"/>
  <c r="H12" i="5"/>
  <c r="I12" i="5" s="1"/>
  <c r="G76" i="12"/>
  <c r="N76" i="12"/>
  <c r="F76" i="12"/>
  <c r="G148" i="12"/>
  <c r="N148" i="12" s="1"/>
  <c r="F148" i="12"/>
  <c r="F204" i="12"/>
  <c r="G204" i="12"/>
  <c r="N204" i="12"/>
  <c r="K13" i="10"/>
  <c r="D61" i="14"/>
  <c r="L252" i="12"/>
  <c r="K252" i="12"/>
  <c r="G82" i="12"/>
  <c r="N82" i="12" s="1"/>
  <c r="F82" i="12"/>
  <c r="F323" i="12"/>
  <c r="G323" i="12"/>
  <c r="N323" i="12" s="1"/>
  <c r="F207" i="12"/>
  <c r="G207" i="12"/>
  <c r="N207" i="12"/>
  <c r="F203" i="12"/>
  <c r="G203" i="12"/>
  <c r="N203" i="12"/>
  <c r="G175" i="12"/>
  <c r="N175" i="12" s="1"/>
  <c r="F175" i="12"/>
  <c r="G47" i="12"/>
  <c r="N47" i="12"/>
  <c r="F47" i="12"/>
  <c r="G39" i="12"/>
  <c r="N39" i="12"/>
  <c r="F39" i="12"/>
  <c r="G129" i="12"/>
  <c r="N129" i="12"/>
  <c r="F129" i="12"/>
  <c r="G142" i="14"/>
  <c r="L8" i="12"/>
  <c r="K8" i="12"/>
  <c r="L321" i="12"/>
  <c r="N321" i="12" s="1"/>
  <c r="K321" i="12"/>
  <c r="H252" i="5"/>
  <c r="I252" i="5" s="1"/>
  <c r="G50" i="12"/>
  <c r="N50" i="12"/>
  <c r="F50" i="12"/>
  <c r="G30" i="12"/>
  <c r="N30" i="12" s="1"/>
  <c r="F30" i="12"/>
  <c r="G18" i="12"/>
  <c r="N18" i="12" s="1"/>
  <c r="F18" i="12"/>
  <c r="G335" i="12"/>
  <c r="N335" i="12" s="1"/>
  <c r="F335" i="12"/>
  <c r="F291" i="12"/>
  <c r="G291" i="12"/>
  <c r="N291" i="12" s="1"/>
  <c r="G235" i="12"/>
  <c r="N235" i="12"/>
  <c r="F235" i="12"/>
  <c r="F195" i="12"/>
  <c r="G195" i="12"/>
  <c r="N195" i="12" s="1"/>
  <c r="F163" i="12"/>
  <c r="G163" i="12"/>
  <c r="N163" i="12" s="1"/>
  <c r="G75" i="12"/>
  <c r="N75" i="12"/>
  <c r="F75" i="12"/>
  <c r="H67" i="5"/>
  <c r="I67" i="5" s="1"/>
  <c r="G189" i="12"/>
  <c r="N189" i="12" s="1"/>
  <c r="F189" i="12"/>
  <c r="G113" i="12"/>
  <c r="N113" i="12"/>
  <c r="F113" i="12"/>
  <c r="F11" i="5"/>
  <c r="E6" i="5"/>
  <c r="H8" i="5"/>
  <c r="G13" i="5"/>
  <c r="H13" i="5" s="1"/>
  <c r="I13" i="5" s="1"/>
  <c r="I13" i="12"/>
  <c r="O13" i="2"/>
  <c r="M6" i="2"/>
  <c r="Q13" i="2"/>
  <c r="Y325" i="11"/>
  <c r="AB325" i="11"/>
  <c r="AC8" i="11"/>
  <c r="AC6" i="11"/>
  <c r="X6" i="11"/>
  <c r="J94" i="10"/>
  <c r="J110" i="10"/>
  <c r="H142" i="14"/>
  <c r="D139" i="14"/>
  <c r="K41" i="10" s="1"/>
  <c r="I124" i="14"/>
  <c r="D119" i="14"/>
  <c r="J104" i="10"/>
  <c r="J93" i="10"/>
  <c r="J98" i="10" s="1"/>
  <c r="K104" i="10"/>
  <c r="K93" i="10"/>
  <c r="K92" i="10"/>
  <c r="G84" i="14"/>
  <c r="D76" i="14"/>
  <c r="D79" i="14"/>
  <c r="P84" i="14"/>
  <c r="F127" i="12"/>
  <c r="G127" i="12"/>
  <c r="N127" i="12"/>
  <c r="F287" i="12"/>
  <c r="G287" i="12"/>
  <c r="F14" i="12"/>
  <c r="G14" i="12"/>
  <c r="N14" i="12"/>
  <c r="F206" i="12"/>
  <c r="G206" i="12"/>
  <c r="N206" i="12" s="1"/>
  <c r="F238" i="12"/>
  <c r="G238" i="12"/>
  <c r="N238" i="12" s="1"/>
  <c r="F296" i="12"/>
  <c r="G296" i="12"/>
  <c r="N296" i="12" s="1"/>
  <c r="K67" i="12"/>
  <c r="L67" i="12"/>
  <c r="N67" i="12"/>
  <c r="G333" i="12"/>
  <c r="N333" i="12" s="1"/>
  <c r="F333" i="12"/>
  <c r="L32" i="12"/>
  <c r="N32" i="12" s="1"/>
  <c r="K32" i="12"/>
  <c r="L160" i="12"/>
  <c r="N160" i="12"/>
  <c r="K160" i="12"/>
  <c r="L208" i="12"/>
  <c r="N208" i="12"/>
  <c r="K208" i="12"/>
  <c r="L232" i="12"/>
  <c r="N232" i="12"/>
  <c r="K232" i="12"/>
  <c r="G311" i="12"/>
  <c r="F311" i="12"/>
  <c r="G102" i="12"/>
  <c r="N102" i="12"/>
  <c r="F102" i="12"/>
  <c r="G134" i="12"/>
  <c r="N134" i="12" s="1"/>
  <c r="F134" i="12"/>
  <c r="F326" i="12"/>
  <c r="G326" i="12"/>
  <c r="N326" i="12"/>
  <c r="F328" i="12"/>
  <c r="G328" i="12"/>
  <c r="N328" i="12"/>
  <c r="G12" i="12"/>
  <c r="N12" i="12"/>
  <c r="F12" i="12"/>
  <c r="G124" i="12"/>
  <c r="N124" i="12"/>
  <c r="F124" i="12"/>
  <c r="F212" i="12"/>
  <c r="G212" i="12"/>
  <c r="N212" i="12" s="1"/>
  <c r="K43" i="12"/>
  <c r="L43" i="12"/>
  <c r="N43" i="12" s="1"/>
  <c r="F318" i="12"/>
  <c r="G318" i="12"/>
  <c r="N318" i="12" s="1"/>
  <c r="G63" i="12"/>
  <c r="N63" i="12" s="1"/>
  <c r="F63" i="12"/>
  <c r="L289" i="12"/>
  <c r="N289" i="12" s="1"/>
  <c r="K289" i="12"/>
  <c r="F62" i="12"/>
  <c r="G62" i="12"/>
  <c r="N62" i="12"/>
  <c r="F299" i="12"/>
  <c r="G299" i="12"/>
  <c r="N299" i="12" s="1"/>
  <c r="G271" i="12"/>
  <c r="N271" i="12"/>
  <c r="F271" i="12"/>
  <c r="F227" i="12"/>
  <c r="G227" i="12"/>
  <c r="N227" i="12" s="1"/>
  <c r="F111" i="12"/>
  <c r="G111" i="12"/>
  <c r="N111" i="12" s="1"/>
  <c r="G253" i="12"/>
  <c r="N253" i="12"/>
  <c r="F253" i="12"/>
  <c r="J124" i="14"/>
  <c r="F68" i="12"/>
  <c r="G68" i="12"/>
  <c r="N68" i="12"/>
  <c r="G314" i="12"/>
  <c r="N314" i="12"/>
  <c r="F314" i="12"/>
  <c r="G95" i="12"/>
  <c r="N95" i="12" s="1"/>
  <c r="F95" i="12"/>
  <c r="F252" i="12"/>
  <c r="G252" i="12"/>
  <c r="N252" i="12" s="1"/>
  <c r="G58" i="12"/>
  <c r="N58" i="12" s="1"/>
  <c r="F58" i="12"/>
  <c r="F267" i="12"/>
  <c r="G267" i="12"/>
  <c r="F259" i="12"/>
  <c r="G259" i="12"/>
  <c r="N259" i="12"/>
  <c r="F239" i="12"/>
  <c r="G239" i="12"/>
  <c r="N239" i="12" s="1"/>
  <c r="F139" i="12"/>
  <c r="G139" i="12"/>
  <c r="N139" i="12"/>
  <c r="G65" i="12"/>
  <c r="N65" i="12"/>
  <c r="F65" i="12"/>
  <c r="G269" i="12"/>
  <c r="N269" i="12" s="1"/>
  <c r="F269" i="12"/>
  <c r="G11" i="12"/>
  <c r="N11" i="12" s="1"/>
  <c r="F11" i="12"/>
  <c r="K124" i="14"/>
  <c r="M92" i="10"/>
  <c r="K13" i="12"/>
  <c r="L13" i="12"/>
  <c r="N13" i="12"/>
  <c r="I8" i="5"/>
  <c r="H11" i="5"/>
  <c r="I11" i="5"/>
  <c r="N8" i="12"/>
  <c r="K18" i="10"/>
  <c r="M13" i="10"/>
  <c r="I41" i="10"/>
  <c r="I108" i="10" s="1"/>
  <c r="D124" i="14"/>
  <c r="I40" i="10"/>
  <c r="M40" i="10" s="1"/>
  <c r="K108" i="10" l="1"/>
  <c r="I110" i="10"/>
  <c r="I94" i="10"/>
  <c r="F117" i="7"/>
  <c r="F116" i="7" s="1"/>
  <c r="I53" i="10"/>
  <c r="I49" i="10"/>
  <c r="M47" i="10"/>
  <c r="I102" i="10"/>
  <c r="W6" i="11"/>
  <c r="Z4" i="11" s="1"/>
  <c r="AB4" i="11" s="1"/>
  <c r="AC4" i="11" s="1"/>
  <c r="F149" i="7"/>
  <c r="D6" i="2"/>
  <c r="I128" i="10"/>
  <c r="Q29" i="2"/>
  <c r="I29" i="12"/>
  <c r="H210" i="5"/>
  <c r="I210" i="5" s="1"/>
  <c r="H320" i="5"/>
  <c r="I320" i="5" s="1"/>
  <c r="H126" i="5"/>
  <c r="I126" i="5" s="1"/>
  <c r="N123" i="12"/>
  <c r="M15" i="10"/>
  <c r="H336" i="5"/>
  <c r="I336" i="5" s="1"/>
  <c r="P81" i="2"/>
  <c r="P6" i="2" s="1"/>
  <c r="O81" i="2"/>
  <c r="D81" i="12"/>
  <c r="D81" i="5"/>
  <c r="L104" i="10"/>
  <c r="L93" i="10"/>
  <c r="D338" i="12"/>
  <c r="O338" i="2"/>
  <c r="N245" i="12"/>
  <c r="O168" i="2"/>
  <c r="P168" i="2"/>
  <c r="J133" i="14"/>
  <c r="H91" i="5"/>
  <c r="I91" i="5" s="1"/>
  <c r="H27" i="5"/>
  <c r="I27" i="5" s="1"/>
  <c r="Q267" i="2"/>
  <c r="I267" i="12"/>
  <c r="G79" i="5"/>
  <c r="I79" i="12"/>
  <c r="O79" i="2"/>
  <c r="O244" i="2"/>
  <c r="P244" i="2"/>
  <c r="D115" i="14"/>
  <c r="H145" i="5"/>
  <c r="I145" i="5" s="1"/>
  <c r="G133" i="14"/>
  <c r="Q247" i="2"/>
  <c r="G247" i="5"/>
  <c r="H247" i="5" s="1"/>
  <c r="I247" i="5" s="1"/>
  <c r="P84" i="2"/>
  <c r="D84" i="5"/>
  <c r="F84" i="5" s="1"/>
  <c r="H84" i="5" s="1"/>
  <c r="I84" i="5" s="1"/>
  <c r="P236" i="2"/>
  <c r="D236" i="5"/>
  <c r="F236" i="5" s="1"/>
  <c r="H236" i="5" s="1"/>
  <c r="I236" i="5" s="1"/>
  <c r="G335" i="5"/>
  <c r="H335" i="5" s="1"/>
  <c r="I335" i="5" s="1"/>
  <c r="Q335" i="2"/>
  <c r="I311" i="12"/>
  <c r="Q311" i="2"/>
  <c r="G287" i="5"/>
  <c r="H287" i="5" s="1"/>
  <c r="I287" i="5" s="1"/>
  <c r="I287" i="12"/>
  <c r="I263" i="12"/>
  <c r="Q263" i="2"/>
  <c r="H31" i="5"/>
  <c r="I31" i="5" s="1"/>
  <c r="G125" i="12"/>
  <c r="N125" i="12" s="1"/>
  <c r="H144" i="5"/>
  <c r="I144" i="5" s="1"/>
  <c r="F54" i="12"/>
  <c r="F101" i="12"/>
  <c r="G213" i="12"/>
  <c r="N213" i="12" s="1"/>
  <c r="L88" i="12"/>
  <c r="N88" i="12" s="1"/>
  <c r="L169" i="12"/>
  <c r="N169" i="12" s="1"/>
  <c r="K196" i="12"/>
  <c r="D104" i="14"/>
  <c r="D101" i="14"/>
  <c r="D106" i="14" s="1"/>
  <c r="L39" i="10" s="1"/>
  <c r="D140" i="14"/>
  <c r="D67" i="14"/>
  <c r="P88" i="14"/>
  <c r="N78" i="14"/>
  <c r="N84" i="14" s="1"/>
  <c r="O67" i="14"/>
  <c r="O73" i="14" s="1"/>
  <c r="N71" i="14"/>
  <c r="D71" i="14" s="1"/>
  <c r="O78" i="14"/>
  <c r="O84" i="14" s="1"/>
  <c r="O82" i="14"/>
  <c r="O89" i="14"/>
  <c r="O95" i="14" s="1"/>
  <c r="Q93" i="14"/>
  <c r="R89" i="14"/>
  <c r="R95" i="14" s="1"/>
  <c r="R147" i="14" s="1"/>
  <c r="L88" i="14"/>
  <c r="J81" i="14"/>
  <c r="D81" i="14" s="1"/>
  <c r="L78" i="14"/>
  <c r="L84" i="14" s="1"/>
  <c r="Q71" i="14"/>
  <c r="Q73" i="14" s="1"/>
  <c r="M67" i="14"/>
  <c r="M73" i="14" s="1"/>
  <c r="M147" i="14" s="1"/>
  <c r="J69" i="14"/>
  <c r="J73" i="14" s="1"/>
  <c r="J78" i="14"/>
  <c r="J84" i="14" s="1"/>
  <c r="K67" i="14"/>
  <c r="K73" i="14" s="1"/>
  <c r="K147" i="14" s="1"/>
  <c r="P93" i="14"/>
  <c r="N89" i="14"/>
  <c r="N95" i="14" s="1"/>
  <c r="F80" i="14"/>
  <c r="D80" i="14" s="1"/>
  <c r="H78" i="14"/>
  <c r="H84" i="14" s="1"/>
  <c r="H147" i="14" s="1"/>
  <c r="N69" i="14"/>
  <c r="N73" i="14" s="1"/>
  <c r="I67" i="14"/>
  <c r="I73" i="14" s="1"/>
  <c r="I147" i="14" s="1"/>
  <c r="E78" i="14"/>
  <c r="E82" i="14"/>
  <c r="E89" i="14"/>
  <c r="Q92" i="14"/>
  <c r="L89" i="14"/>
  <c r="F78" i="14"/>
  <c r="G67" i="14"/>
  <c r="G73" i="14" s="1"/>
  <c r="G147" i="14" s="1"/>
  <c r="J89" i="14"/>
  <c r="J95" i="14" s="1"/>
  <c r="J147" i="14" l="1"/>
  <c r="D93" i="14"/>
  <c r="D82" i="14"/>
  <c r="P95" i="14"/>
  <c r="P147" i="14" s="1"/>
  <c r="L287" i="12"/>
  <c r="N287" i="12" s="1"/>
  <c r="K287" i="12"/>
  <c r="K267" i="12"/>
  <c r="L267" i="12"/>
  <c r="N267" i="12" s="1"/>
  <c r="K29" i="12"/>
  <c r="L29" i="12"/>
  <c r="K110" i="10"/>
  <c r="K94" i="10"/>
  <c r="K98" i="10" s="1"/>
  <c r="D78" i="14"/>
  <c r="D84" i="14" s="1"/>
  <c r="J39" i="10" s="1"/>
  <c r="J43" i="10" s="1"/>
  <c r="J60" i="10" s="1"/>
  <c r="J63" i="10" s="1"/>
  <c r="E84" i="14"/>
  <c r="Q6" i="2"/>
  <c r="I93" i="10"/>
  <c r="M102" i="10"/>
  <c r="I104" i="10"/>
  <c r="D69" i="14"/>
  <c r="D73" i="14" s="1"/>
  <c r="L41" i="10"/>
  <c r="D142" i="14"/>
  <c r="F6" i="12"/>
  <c r="F338" i="12"/>
  <c r="G338" i="12"/>
  <c r="N338" i="12" s="1"/>
  <c r="I130" i="10"/>
  <c r="M128" i="10"/>
  <c r="L311" i="12"/>
  <c r="N311" i="12" s="1"/>
  <c r="K311" i="12"/>
  <c r="L43" i="10"/>
  <c r="L60" i="10" s="1"/>
  <c r="L63" i="10" s="1"/>
  <c r="F84" i="14"/>
  <c r="F147" i="14" s="1"/>
  <c r="Q147" i="14"/>
  <c r="N147" i="14"/>
  <c r="O6" i="2"/>
  <c r="I55" i="10"/>
  <c r="I69" i="10" s="1"/>
  <c r="M53" i="10"/>
  <c r="D92" i="14"/>
  <c r="Q95" i="14"/>
  <c r="O147" i="14"/>
  <c r="L79" i="12"/>
  <c r="N79" i="12" s="1"/>
  <c r="K79" i="12"/>
  <c r="F81" i="5"/>
  <c r="D6" i="5"/>
  <c r="D89" i="14"/>
  <c r="E95" i="14"/>
  <c r="D88" i="14"/>
  <c r="L95" i="14"/>
  <c r="L147" i="14" s="1"/>
  <c r="K263" i="12"/>
  <c r="L263" i="12"/>
  <c r="N263" i="12" s="1"/>
  <c r="H79" i="5"/>
  <c r="I79" i="5" s="1"/>
  <c r="G6" i="5"/>
  <c r="F81" i="12"/>
  <c r="G81" i="12"/>
  <c r="D6" i="12"/>
  <c r="F115" i="7"/>
  <c r="I6" i="12"/>
  <c r="I39" i="10" l="1"/>
  <c r="H81" i="5"/>
  <c r="I81" i="5" s="1"/>
  <c r="I6" i="5" s="1"/>
  <c r="F6" i="5"/>
  <c r="M69" i="10"/>
  <c r="I71" i="10"/>
  <c r="E147" i="14"/>
  <c r="L108" i="10"/>
  <c r="M41" i="10"/>
  <c r="H6" i="5"/>
  <c r="F114" i="7"/>
  <c r="F122" i="7"/>
  <c r="E123" i="7" s="1"/>
  <c r="D95" i="14"/>
  <c r="K39" i="10" s="1"/>
  <c r="K43" i="10" s="1"/>
  <c r="K60" i="10" s="1"/>
  <c r="K63" i="10" s="1"/>
  <c r="N29" i="12"/>
  <c r="N6" i="12" s="1"/>
  <c r="L6" i="12"/>
  <c r="K6" i="12"/>
  <c r="N81" i="12"/>
  <c r="G6" i="12"/>
  <c r="M93" i="10"/>
  <c r="I98" i="10"/>
  <c r="E136" i="7" l="1"/>
  <c r="I121" i="10"/>
  <c r="F136" i="7"/>
  <c r="D147" i="14"/>
  <c r="L110" i="10"/>
  <c r="L94" i="10"/>
  <c r="M108" i="10"/>
  <c r="M39" i="10"/>
  <c r="I43" i="10"/>
  <c r="I60" i="10" s="1"/>
  <c r="M94" i="10" l="1"/>
  <c r="L98" i="10"/>
  <c r="M121" i="10"/>
  <c r="I123" i="10"/>
  <c r="I63" i="10"/>
  <c r="M60" i="10"/>
</calcChain>
</file>

<file path=xl/comments1.xml><?xml version="1.0" encoding="utf-8"?>
<comments xmlns="http://schemas.openxmlformats.org/spreadsheetml/2006/main">
  <authors>
    <author>colleenl</author>
  </authors>
  <commentList>
    <comment ref="B55" authorId="0">
      <text>
        <r>
          <rPr>
            <b/>
            <sz val="10"/>
            <color indexed="81"/>
            <rFont val="Tahoma"/>
            <family val="2"/>
          </rPr>
          <t>colleenl:</t>
        </r>
        <r>
          <rPr>
            <sz val="10"/>
            <color indexed="81"/>
            <rFont val="Tahoma"/>
            <family val="2"/>
          </rPr>
          <t xml:space="preserve">
Account will have debit balance if current year shift exceeds May-July tax receipts.
Otherwise, zero.</t>
        </r>
      </text>
    </comment>
    <comment ref="B117" authorId="0">
      <text>
        <r>
          <rPr>
            <b/>
            <sz val="10"/>
            <color indexed="81"/>
            <rFont val="Tahoma"/>
            <family val="2"/>
          </rPr>
          <t xml:space="preserve">colleenl:
</t>
        </r>
        <r>
          <rPr>
            <sz val="10"/>
            <color indexed="81"/>
            <rFont val="Tahoma"/>
            <family val="2"/>
          </rPr>
          <t>Credit</t>
        </r>
        <r>
          <rPr>
            <sz val="10"/>
            <color indexed="81"/>
            <rFont val="Tahoma"/>
            <family val="2"/>
          </rPr>
          <t xml:space="preserve"> balance when state aids are reduced because of shift.
Debit balance when state aids are repaid because shift is reduced.
Zero when shift percentage is zero in both years.
Account 020+299=0</t>
        </r>
      </text>
    </comment>
    <comment ref="B130" authorId="0">
      <text>
        <r>
          <rPr>
            <b/>
            <sz val="10"/>
            <color indexed="81"/>
            <rFont val="Tahoma"/>
            <family val="2"/>
          </rPr>
          <t xml:space="preserve">colleenl:
</t>
        </r>
        <r>
          <rPr>
            <sz val="10"/>
            <color indexed="81"/>
            <rFont val="Tahoma"/>
            <family val="2"/>
          </rPr>
          <t>D</t>
        </r>
        <r>
          <rPr>
            <sz val="10"/>
            <color indexed="81"/>
            <rFont val="Tahoma"/>
            <family val="2"/>
          </rPr>
          <t>ebit balance when state aids are reduced because of shift.
Credit balance when state aids are repaid because shift is reduced.
Zero when shift percentage is zero in both years.
Account 020+299=0</t>
        </r>
      </text>
    </comment>
  </commentList>
</comments>
</file>

<file path=xl/comments2.xml><?xml version="1.0" encoding="utf-8"?>
<comments xmlns="http://schemas.openxmlformats.org/spreadsheetml/2006/main">
  <authors>
    <author>colleenl</author>
    <author>Leemon, Colleen</author>
  </authors>
  <commentList>
    <comment ref="D4" authorId="0">
      <text>
        <r>
          <rPr>
            <b/>
            <sz val="10"/>
            <color indexed="81"/>
            <rFont val="Tahoma"/>
            <family val="2"/>
          </rPr>
          <t>colleenl:</t>
        </r>
        <r>
          <rPr>
            <sz val="10"/>
            <color indexed="81"/>
            <rFont val="Tahoma"/>
            <family val="2"/>
          </rPr>
          <t xml:space="preserve">
From Revenue plus taconite credits
</t>
        </r>
      </text>
    </comment>
    <comment ref="E4" authorId="1">
      <text>
        <r>
          <rPr>
            <b/>
            <sz val="8"/>
            <color indexed="81"/>
            <rFont val="Tahoma"/>
            <family val="2"/>
          </rPr>
          <t>Leemon, Colleen:</t>
        </r>
        <r>
          <rPr>
            <sz val="8"/>
            <color indexed="81"/>
            <rFont val="Tahoma"/>
            <family val="2"/>
          </rPr>
          <t xml:space="preserve">
Total prelimary credits from Revenue plus taconite credits from counties.
</t>
        </r>
      </text>
    </comment>
  </commentList>
</comments>
</file>

<file path=xl/comments3.xml><?xml version="1.0" encoding="utf-8"?>
<comments xmlns="http://schemas.openxmlformats.org/spreadsheetml/2006/main">
  <authors>
    <author>colleenl</author>
    <author>Leemon, Colleen</author>
  </authors>
  <commentList>
    <comment ref="N3" authorId="0">
      <text>
        <r>
          <rPr>
            <b/>
            <sz val="8"/>
            <color indexed="81"/>
            <rFont val="Arial"/>
            <family val="2"/>
          </rPr>
          <t xml:space="preserve">colleenl:
</t>
        </r>
        <r>
          <rPr>
            <sz val="8"/>
            <color indexed="81"/>
            <rFont val="Arial"/>
            <family val="2"/>
          </rPr>
          <t>Amounts in this column are used as May-June 2011 tax receipts for metering of Ideas payments.  Also used as estimate of May-June 2012 tax receipts if no change in tax shift.</t>
        </r>
      </text>
    </comment>
    <comment ref="Q4" authorId="1">
      <text>
        <r>
          <rPr>
            <b/>
            <sz val="8"/>
            <color indexed="81"/>
            <rFont val="Arial"/>
            <family val="2"/>
          </rPr>
          <t>colleenl:</t>
        </r>
        <r>
          <rPr>
            <sz val="8"/>
            <color indexed="81"/>
            <rFont val="Arial"/>
            <family val="2"/>
          </rPr>
          <t xml:space="preserve">
Amounts in this column are used for FY 2012 total tax receipts for Ideas, prior to adjusting for tax shift.</t>
        </r>
      </text>
    </comment>
  </commentList>
</comments>
</file>

<file path=xl/connections.xml><?xml version="1.0" encoding="utf-8"?>
<connections xmlns="http://schemas.openxmlformats.org/spreadsheetml/2006/main">
  <connection id="1" name="Connection" type="1" refreshedVersion="3" background="1" saveData="1">
    <dbPr connection="Description=Databridge;DRIVER=SQL Server;SERVER=MDEDATAB;UID=databridge_ro;APP=Microsoft Data Access Components;WSID=PFD5BBYM11;DATABASE=DataBridge;Network=DBMSSOCN;Trusted_Connection=Yes" command="SELECT generalledger2.dat_yer, generalledger2.dst_num, generalledger2.dst_tye, generalledger2.gen_lgr_num, generalledger2.fun_num, generalledger2.end_bal_amt_x000d__x000a_FROM DataBridge.databridge_app_user.generalledger2 generalledger2_x000d__x000a_WHERE (generalledger2.dat_yer='09-10') AND (generalledger2.gen_lgr_num=$2.14) AND (generalledger2.fun_num=1)_x000d__x000a_ORDER BY generalledger2.dst_num, generalledger2.dst_tye, generalledger2.fun_num"/>
  </connection>
  <connection id="2" name="Connection1" type="1" refreshedVersion="3" background="1" saveData="1">
    <dbPr connection="Description=Databridge;DRIVER=SQL Server;SERVER=MDEDATAB;UID=databridge_ro;APP=Microsoft Data Access Components;WSID=PFD5BBYM11;DATABASE=DataBridge;Network=DBMSSOCN;Trusted_Connection=Yes" command="SELECT generalledger2.dat_yer, generalledger2.dst_num, generalledger2.dst_tye, generalledger2.gen_lgr_num, generalledger2.fun_num, generalledger2.end_bal_amt_x000d__x000a_FROM DataBridge.databridge_app_user.generalledger2 generalledger2_x000d__x000a_WHERE (generalledger2.dat_yer='09-10') AND (generalledger2.gen_lgr_num=$2.14) AND (generalledger2.fun_num=4)_x000d__x000a_ORDER BY generalledger2.dst_num, generalledger2.dst_tye"/>
  </connection>
</connections>
</file>

<file path=xl/sharedStrings.xml><?xml version="1.0" encoding="utf-8"?>
<sst xmlns="http://schemas.openxmlformats.org/spreadsheetml/2006/main" count="3135" uniqueCount="711">
  <si>
    <t>This section shows how to determine the balance to be reflected in each account at year-end after all tax entries (including the property tax shift entries) have been made.  Balance sheet accounts are listed first and then revenue source codes.  Also shown is the source document where the data for each step of the reconcilation can be obtained.</t>
  </si>
  <si>
    <t xml:space="preserve">If you have questions about the property tax shift or about using  this spreadsheet, contact Colleen Leemon by phone at 651-582-8566 or by e-mail at colleen.leemon@state.mn.us. </t>
  </si>
  <si>
    <t>(adjustment to balance GNL 214 account with SRC 211)</t>
  </si>
  <si>
    <t>See comments by accounts GNL 214 and SRC 020 and 299</t>
  </si>
  <si>
    <t>OPEB</t>
  </si>
  <si>
    <r>
      <t>Note:</t>
    </r>
    <r>
      <rPr>
        <sz val="8"/>
        <color indexed="10"/>
        <rFont val="Arial"/>
        <family val="2"/>
      </rPr>
      <t xml:space="preserve">  District should override when actual data is available</t>
    </r>
  </si>
  <si>
    <t xml:space="preserve">AITKIN          </t>
  </si>
  <si>
    <t xml:space="preserve">MINNEAPOLIS     </t>
  </si>
  <si>
    <t xml:space="preserve">HILL CITY       </t>
  </si>
  <si>
    <t xml:space="preserve">MCGREGOR        </t>
  </si>
  <si>
    <t xml:space="preserve">SOUTH ST. PAUL  </t>
  </si>
  <si>
    <t xml:space="preserve">ANOKA-HENNEPIN  </t>
  </si>
  <si>
    <t xml:space="preserve">CENTENNIAL      </t>
  </si>
  <si>
    <t>COLUMBIA HEIGHTS</t>
  </si>
  <si>
    <t xml:space="preserve">FRIDLEY         </t>
  </si>
  <si>
    <t xml:space="preserve">ST. FRANCIS     </t>
  </si>
  <si>
    <t>SPRING LAKE PARK</t>
  </si>
  <si>
    <t xml:space="preserve">DETROIT LAKES   </t>
  </si>
  <si>
    <t xml:space="preserve">FRAZEE-VERGAS   </t>
  </si>
  <si>
    <t xml:space="preserve">BEMIDJI         </t>
  </si>
  <si>
    <t xml:space="preserve">BLACKDUCK       </t>
  </si>
  <si>
    <t xml:space="preserve">KELLIHER        </t>
  </si>
  <si>
    <t xml:space="preserve">RED LAKE        </t>
  </si>
  <si>
    <t xml:space="preserve">SAUK RAPIDS     </t>
  </si>
  <si>
    <t xml:space="preserve">FOLEY           </t>
  </si>
  <si>
    <t xml:space="preserve">ST. CLAIR       </t>
  </si>
  <si>
    <t xml:space="preserve">MANKATO         </t>
  </si>
  <si>
    <t xml:space="preserve">COMFREY         </t>
  </si>
  <si>
    <t xml:space="preserve">SLEEPY EYE      </t>
  </si>
  <si>
    <t xml:space="preserve">SPRINGFIELD     </t>
  </si>
  <si>
    <t xml:space="preserve">NEW ULM         </t>
  </si>
  <si>
    <t xml:space="preserve">BARNUM          </t>
  </si>
  <si>
    <t xml:space="preserve">CARLTON         </t>
  </si>
  <si>
    <t xml:space="preserve">CLOQUET         </t>
  </si>
  <si>
    <t xml:space="preserve">CROMWELL-WRIGHT </t>
  </si>
  <si>
    <t xml:space="preserve">MOOSE LAKE      </t>
  </si>
  <si>
    <t xml:space="preserve">ESKO            </t>
  </si>
  <si>
    <t xml:space="preserve">WRENSHALL       </t>
  </si>
  <si>
    <t xml:space="preserve">NORWOOD         </t>
  </si>
  <si>
    <t xml:space="preserve">WACONIA         </t>
  </si>
  <si>
    <t xml:space="preserve">WATERTOWN-MAYER </t>
  </si>
  <si>
    <t xml:space="preserve">CHASKA          </t>
  </si>
  <si>
    <t>WALKER-HACKENSAC</t>
  </si>
  <si>
    <t>CASS LAKE-BENA S</t>
  </si>
  <si>
    <t xml:space="preserve">PILLAGER        </t>
  </si>
  <si>
    <t>NORTHLAND COMMUN</t>
  </si>
  <si>
    <t xml:space="preserve">MONTEVIDEO      </t>
  </si>
  <si>
    <t xml:space="preserve">NORTH BRANCH    </t>
  </si>
  <si>
    <t xml:space="preserve">RUSH CITY       </t>
  </si>
  <si>
    <t xml:space="preserve">BARNESVILLE     </t>
  </si>
  <si>
    <t xml:space="preserve">HAWLEY          </t>
  </si>
  <si>
    <t xml:space="preserve">MOORHEAD        </t>
  </si>
  <si>
    <t xml:space="preserve">BAGLEY          </t>
  </si>
  <si>
    <t xml:space="preserve">COOK COUNTY     </t>
  </si>
  <si>
    <t xml:space="preserve">MOUNTAIN LAKE   </t>
  </si>
  <si>
    <t xml:space="preserve">WINDOM          </t>
  </si>
  <si>
    <t xml:space="preserve">BRAINERD        </t>
  </si>
  <si>
    <t xml:space="preserve">CROSBY-IRONTON  </t>
  </si>
  <si>
    <t xml:space="preserve">PEQUOT LAKES    </t>
  </si>
  <si>
    <t xml:space="preserve">BURNSVILLE      </t>
  </si>
  <si>
    <t xml:space="preserve">FARMINGTON      </t>
  </si>
  <si>
    <t xml:space="preserve">LAKEVILLE       </t>
  </si>
  <si>
    <t xml:space="preserve">RANDOLPH        </t>
  </si>
  <si>
    <t xml:space="preserve">ROSEMOUNT-APPLE </t>
  </si>
  <si>
    <t>WEST ST. PAUL-ME</t>
  </si>
  <si>
    <t>INVER GROVE HEIG</t>
  </si>
  <si>
    <t xml:space="preserve">HASTINGS        </t>
  </si>
  <si>
    <t xml:space="preserve">HAYFIELD        </t>
  </si>
  <si>
    <t>KASSON-MANTORVIL</t>
  </si>
  <si>
    <t xml:space="preserve">ALEXANDRIA      </t>
  </si>
  <si>
    <t xml:space="preserve">BRANDON         </t>
  </si>
  <si>
    <t xml:space="preserve">EVANSVILLE      </t>
  </si>
  <si>
    <t xml:space="preserve">OSAKIS          </t>
  </si>
  <si>
    <t xml:space="preserve">CHATFIELD       </t>
  </si>
  <si>
    <t xml:space="preserve">LANESBORO       </t>
  </si>
  <si>
    <t xml:space="preserve">MABEL-CANTON    </t>
  </si>
  <si>
    <t>RUSHFORD-PETERSO</t>
  </si>
  <si>
    <t xml:space="preserve">ALBERT LEA      </t>
  </si>
  <si>
    <t xml:space="preserve">ALDEN           </t>
  </si>
  <si>
    <t xml:space="preserve">CANNON FALLS    </t>
  </si>
  <si>
    <t xml:space="preserve">GOODHUE         </t>
  </si>
  <si>
    <t xml:space="preserve">PINE ISLAND     </t>
  </si>
  <si>
    <t xml:space="preserve">RED WING        </t>
  </si>
  <si>
    <t xml:space="preserve">ASHBY           </t>
  </si>
  <si>
    <t xml:space="preserve">HERMAN-NORCROSS </t>
  </si>
  <si>
    <t xml:space="preserve">HOPKINS         </t>
  </si>
  <si>
    <t xml:space="preserve">BLOOMINGTON     </t>
  </si>
  <si>
    <t xml:space="preserve">EDEN PRAIRIE    </t>
  </si>
  <si>
    <t xml:space="preserve">EDINA           </t>
  </si>
  <si>
    <t xml:space="preserve">MINNETONKA      </t>
  </si>
  <si>
    <t xml:space="preserve">WESTONKA        </t>
  </si>
  <si>
    <t xml:space="preserve">ORONO           </t>
  </si>
  <si>
    <t xml:space="preserve">OSSEO           </t>
  </si>
  <si>
    <t xml:space="preserve">RICHFIELD       </t>
  </si>
  <si>
    <t xml:space="preserve">ROBBINSDALE     </t>
  </si>
  <si>
    <t xml:space="preserve">ST. ANTHONY-NEW </t>
  </si>
  <si>
    <t xml:space="preserve">ST. LOUIS PARK  </t>
  </si>
  <si>
    <t xml:space="preserve">WAYZATA         </t>
  </si>
  <si>
    <t xml:space="preserve">BROOKLYN CENTER </t>
  </si>
  <si>
    <t xml:space="preserve">HOUSTON         </t>
  </si>
  <si>
    <t xml:space="preserve">SPRING GROVE    </t>
  </si>
  <si>
    <t xml:space="preserve">CALEDONIA       </t>
  </si>
  <si>
    <t>LACRESCENT-HOKAH</t>
  </si>
  <si>
    <t xml:space="preserve">LAPORTE         </t>
  </si>
  <si>
    <t xml:space="preserve">NEVIS           </t>
  </si>
  <si>
    <t xml:space="preserve">PARK RAPIDS     </t>
  </si>
  <si>
    <t xml:space="preserve">BRAHAM          </t>
  </si>
  <si>
    <t xml:space="preserve">GREENWAY        </t>
  </si>
  <si>
    <t xml:space="preserve">DEER RIVER      </t>
  </si>
  <si>
    <t xml:space="preserve">GRAND RAPIDS    </t>
  </si>
  <si>
    <t>NASHWAUK-KEEWATI</t>
  </si>
  <si>
    <t xml:space="preserve">FRANCONIA       </t>
  </si>
  <si>
    <t>HERON LAKE-OKABE</t>
  </si>
  <si>
    <t xml:space="preserve">MORA            </t>
  </si>
  <si>
    <t xml:space="preserve">OGILVIE         </t>
  </si>
  <si>
    <t>NEW LONDON-SPICE</t>
  </si>
  <si>
    <t xml:space="preserve">WILLMAR         </t>
  </si>
  <si>
    <t xml:space="preserve">LANCASTER       </t>
  </si>
  <si>
    <t>INTERNATIONAL FA</t>
  </si>
  <si>
    <t>LITTLEFORK-BIG F</t>
  </si>
  <si>
    <t>SOUTH KOOCHICHIN</t>
  </si>
  <si>
    <t xml:space="preserve">DAWSON-BOYD     </t>
  </si>
  <si>
    <t xml:space="preserve">LAKE SUPERIOR   </t>
  </si>
  <si>
    <t>LAKE OF THE WOOD</t>
  </si>
  <si>
    <t>CLEVELAND PUBLIC</t>
  </si>
  <si>
    <t xml:space="preserve">LECENTER        </t>
  </si>
  <si>
    <t>MONTGOMERY-LONSD</t>
  </si>
  <si>
    <t xml:space="preserve">HENDRICKS       </t>
  </si>
  <si>
    <t xml:space="preserve">IVANHOE         </t>
  </si>
  <si>
    <t xml:space="preserve">LAKE BENTON     </t>
  </si>
  <si>
    <t xml:space="preserve">MARSHALL        </t>
  </si>
  <si>
    <t xml:space="preserve">MINNEOTA        </t>
  </si>
  <si>
    <t xml:space="preserve">LYND            </t>
  </si>
  <si>
    <t xml:space="preserve">HUTCHINSON      </t>
  </si>
  <si>
    <t xml:space="preserve">LESTER PRAIRIE  </t>
  </si>
  <si>
    <t xml:space="preserve">MAHNOMEN        </t>
  </si>
  <si>
    <t xml:space="preserve">WAUBUN          </t>
  </si>
  <si>
    <t xml:space="preserve">MARSHALL COUNTY </t>
  </si>
  <si>
    <t xml:space="preserve">GRYGLA          </t>
  </si>
  <si>
    <t xml:space="preserve">TRUMAN          </t>
  </si>
  <si>
    <t>EDEN VALLEY-WATK</t>
  </si>
  <si>
    <t xml:space="preserve">LITCHFIELD      </t>
  </si>
  <si>
    <t xml:space="preserve">DASSEL-COKATO   </t>
  </si>
  <si>
    <t xml:space="preserve">ISLE            </t>
  </si>
  <si>
    <t xml:space="preserve">PRINCETON       </t>
  </si>
  <si>
    <t xml:space="preserve">ONAMIA          </t>
  </si>
  <si>
    <t xml:space="preserve">LITTLE FALLS    </t>
  </si>
  <si>
    <t xml:space="preserve">PIERZ           </t>
  </si>
  <si>
    <t xml:space="preserve">ROYALTON        </t>
  </si>
  <si>
    <t xml:space="preserve">SWANVILLE       </t>
  </si>
  <si>
    <t xml:space="preserve">UPSALA          </t>
  </si>
  <si>
    <t xml:space="preserve">AUSTIN          </t>
  </si>
  <si>
    <t xml:space="preserve">GRAND MEADOW    </t>
  </si>
  <si>
    <t xml:space="preserve">LYLE            </t>
  </si>
  <si>
    <t xml:space="preserve">LEROY           </t>
  </si>
  <si>
    <t xml:space="preserve">SOUTHLAND       </t>
  </si>
  <si>
    <t xml:space="preserve">FULDA           </t>
  </si>
  <si>
    <t xml:space="preserve">NICOLLET        </t>
  </si>
  <si>
    <t xml:space="preserve">ST. PETER       </t>
  </si>
  <si>
    <t xml:space="preserve">ADRIAN          </t>
  </si>
  <si>
    <t xml:space="preserve">BREWSTER        </t>
  </si>
  <si>
    <t xml:space="preserve">ELLSWORTH       </t>
  </si>
  <si>
    <t xml:space="preserve">ROUND LAKE      </t>
  </si>
  <si>
    <t xml:space="preserve">WORTHINGTON     </t>
  </si>
  <si>
    <t xml:space="preserve">BYRON           </t>
  </si>
  <si>
    <t xml:space="preserve">DOVER-EYOTA     </t>
  </si>
  <si>
    <t xml:space="preserve">STEWARTVILLE    </t>
  </si>
  <si>
    <t xml:space="preserve">ROCHESTER       </t>
  </si>
  <si>
    <t xml:space="preserve">BATTLE LAKE     </t>
  </si>
  <si>
    <t xml:space="preserve">FERGUS FALLS    </t>
  </si>
  <si>
    <t xml:space="preserve">HENNING         </t>
  </si>
  <si>
    <t xml:space="preserve">PARKERS PRAIRIE </t>
  </si>
  <si>
    <t xml:space="preserve">PELICAN RAPIDS  </t>
  </si>
  <si>
    <t xml:space="preserve">PERHAM          </t>
  </si>
  <si>
    <t xml:space="preserve">UNDERWOOD       </t>
  </si>
  <si>
    <t xml:space="preserve">NEW YORK MILLS  </t>
  </si>
  <si>
    <t xml:space="preserve">GOODRIDGE       </t>
  </si>
  <si>
    <t>THIEF RIVER FALL</t>
  </si>
  <si>
    <t xml:space="preserve">WILLOW RIVER    </t>
  </si>
  <si>
    <t xml:space="preserve">PINE CITY       </t>
  </si>
  <si>
    <t xml:space="preserve">EDGERTON        </t>
  </si>
  <si>
    <t xml:space="preserve">CLIMAX          </t>
  </si>
  <si>
    <t xml:space="preserve">CROOKSTON       </t>
  </si>
  <si>
    <t>EAST GRAND FORKS</t>
  </si>
  <si>
    <t>FERTILE-BELTRAMI</t>
  </si>
  <si>
    <t xml:space="preserve">FISHER          </t>
  </si>
  <si>
    <t xml:space="preserve">FOSSTON         </t>
  </si>
  <si>
    <t xml:space="preserve">CYRUS           </t>
  </si>
  <si>
    <t xml:space="preserve">MOUNDS VIEW     </t>
  </si>
  <si>
    <t>NORTH ST PAUL-MA</t>
  </si>
  <si>
    <t xml:space="preserve">ROSEVILLE       </t>
  </si>
  <si>
    <t xml:space="preserve">WHITE BEAR LAKE </t>
  </si>
  <si>
    <t xml:space="preserve">ST. PAUL        </t>
  </si>
  <si>
    <t xml:space="preserve">OKLEE           </t>
  </si>
  <si>
    <t xml:space="preserve">PLUMMER         </t>
  </si>
  <si>
    <t xml:space="preserve">RED LAKE FALLS  </t>
  </si>
  <si>
    <t xml:space="preserve">MILROY          </t>
  </si>
  <si>
    <t xml:space="preserve">WABASSO         </t>
  </si>
  <si>
    <t xml:space="preserve">FARIBAULT       </t>
  </si>
  <si>
    <t xml:space="preserve">NORTHFIELD      </t>
  </si>
  <si>
    <t>HILLS-BEAVER CRE</t>
  </si>
  <si>
    <t xml:space="preserve">BADGER          </t>
  </si>
  <si>
    <t xml:space="preserve">ROSEAU          </t>
  </si>
  <si>
    <t xml:space="preserve">WARROAD         </t>
  </si>
  <si>
    <t xml:space="preserve">CHISHOLM        </t>
  </si>
  <si>
    <t xml:space="preserve">ELY             </t>
  </si>
  <si>
    <t xml:space="preserve">FLOODWOOD       </t>
  </si>
  <si>
    <t xml:space="preserve">HERMANTOWN      </t>
  </si>
  <si>
    <t xml:space="preserve">HIBBING         </t>
  </si>
  <si>
    <t xml:space="preserve">PROCTOR         </t>
  </si>
  <si>
    <t xml:space="preserve">VIRGINIA        </t>
  </si>
  <si>
    <t xml:space="preserve">NETT LAKE       </t>
  </si>
  <si>
    <t xml:space="preserve">DULUTH          </t>
  </si>
  <si>
    <t>MOUNTAIN IRON-BU</t>
  </si>
  <si>
    <t xml:space="preserve">BELLE PLAINE    </t>
  </si>
  <si>
    <t xml:space="preserve">JORDAN          </t>
  </si>
  <si>
    <t>PRIOR LAKE-SAVAG</t>
  </si>
  <si>
    <t xml:space="preserve">SHAKOPEE        </t>
  </si>
  <si>
    <t xml:space="preserve">NEW PRAGUE AREA </t>
  </si>
  <si>
    <t xml:space="preserve">BECKER          </t>
  </si>
  <si>
    <t xml:space="preserve">BIG LAKE        </t>
  </si>
  <si>
    <t xml:space="preserve">ELK RIVER       </t>
  </si>
  <si>
    <t xml:space="preserve">HOLDINGFORD     </t>
  </si>
  <si>
    <t xml:space="preserve">KIMBALL         </t>
  </si>
  <si>
    <t xml:space="preserve">MELROSE         </t>
  </si>
  <si>
    <t xml:space="preserve">PAYNESVILLE     </t>
  </si>
  <si>
    <t xml:space="preserve">ST. CLOUD       </t>
  </si>
  <si>
    <t xml:space="preserve">SAUK CENTRE     </t>
  </si>
  <si>
    <t xml:space="preserve">ALBANY          </t>
  </si>
  <si>
    <t xml:space="preserve">SARTELL         </t>
  </si>
  <si>
    <t xml:space="preserve">ROCORI          </t>
  </si>
  <si>
    <t>BLOOMING PRAIRIE</t>
  </si>
  <si>
    <t xml:space="preserve">OWATONNA        </t>
  </si>
  <si>
    <t xml:space="preserve">MEDFORD         </t>
  </si>
  <si>
    <t xml:space="preserve">HANCOCK         </t>
  </si>
  <si>
    <t xml:space="preserve">MORRIS          </t>
  </si>
  <si>
    <t xml:space="preserve">CHOKIO-ALBERTA  </t>
  </si>
  <si>
    <t>KERKHOVEN-MURDOC</t>
  </si>
  <si>
    <t xml:space="preserve">BENSON          </t>
  </si>
  <si>
    <t xml:space="preserve">BERTHA-HEWITT   </t>
  </si>
  <si>
    <t xml:space="preserve">BROWERVILLE     </t>
  </si>
  <si>
    <t xml:space="preserve">BROWNS VALLEY   </t>
  </si>
  <si>
    <t>WHEATON AREA SCH</t>
  </si>
  <si>
    <t xml:space="preserve">WABASHA-KELLOGG </t>
  </si>
  <si>
    <t xml:space="preserve">LAKE CITY       </t>
  </si>
  <si>
    <t xml:space="preserve">PRINSBURG       </t>
  </si>
  <si>
    <t xml:space="preserve">VERNDALE        </t>
  </si>
  <si>
    <t xml:space="preserve">SEBEKA          </t>
  </si>
  <si>
    <t xml:space="preserve">MENAHGA         </t>
  </si>
  <si>
    <t xml:space="preserve">WASECA          </t>
  </si>
  <si>
    <t xml:space="preserve">FOREST LAKE     </t>
  </si>
  <si>
    <t xml:space="preserve">MAHTOMEDI       </t>
  </si>
  <si>
    <t>SOUTH WASHINGTON</t>
  </si>
  <si>
    <t xml:space="preserve">STILLWATER      </t>
  </si>
  <si>
    <t xml:space="preserve">BUTTERFIELD     </t>
  </si>
  <si>
    <t xml:space="preserve">MADELIA         </t>
  </si>
  <si>
    <t xml:space="preserve">ST. JAMES       </t>
  </si>
  <si>
    <t xml:space="preserve">BRECKENRIDGE    </t>
  </si>
  <si>
    <t xml:space="preserve">ROTHSAY         </t>
  </si>
  <si>
    <t xml:space="preserve">CAMPBELL-TINTAH </t>
  </si>
  <si>
    <t xml:space="preserve">LEWISTON-ALTURA </t>
  </si>
  <si>
    <t xml:space="preserve">ST. CHARLES     </t>
  </si>
  <si>
    <t>WINONA AREA PUBL</t>
  </si>
  <si>
    <t xml:space="preserve">ANNANDALE       </t>
  </si>
  <si>
    <t xml:space="preserve">BUFFALO         </t>
  </si>
  <si>
    <t xml:space="preserve">DELANO          </t>
  </si>
  <si>
    <t xml:space="preserve">MAPLE LAKE      </t>
  </si>
  <si>
    <t xml:space="preserve">MONTICELLO      </t>
  </si>
  <si>
    <t xml:space="preserve">ROCKFORD        </t>
  </si>
  <si>
    <t>ST. MICHAEL-ALBE</t>
  </si>
  <si>
    <t xml:space="preserve">CANBY           </t>
  </si>
  <si>
    <t>CAMBRIDGE-ISANTI</t>
  </si>
  <si>
    <t xml:space="preserve">MILACA          </t>
  </si>
  <si>
    <t xml:space="preserve">ULEN-HITTERDAL  </t>
  </si>
  <si>
    <t>LAKE CRYSTAL-WEL</t>
  </si>
  <si>
    <t xml:space="preserve">TRITON          </t>
  </si>
  <si>
    <t>UNITED SOUTH CEN</t>
  </si>
  <si>
    <t xml:space="preserve">MAPLE RIVER     </t>
  </si>
  <si>
    <t xml:space="preserve">KINGSLAND       </t>
  </si>
  <si>
    <t>ST. LOUIS COUNTY</t>
  </si>
  <si>
    <t>WATERVILLE-ELYSI</t>
  </si>
  <si>
    <t xml:space="preserve">CHISAGO LAKES   </t>
  </si>
  <si>
    <t xml:space="preserve">MINNEWASKA      </t>
  </si>
  <si>
    <t xml:space="preserve">EVELETH-GILBERT </t>
  </si>
  <si>
    <t>WADENA-DEER CREE</t>
  </si>
  <si>
    <t>BUFFALO LAKE-HEC</t>
  </si>
  <si>
    <t>DILWORTH-GLYNDON</t>
  </si>
  <si>
    <t>HINCKLEY-FINLAYS</t>
  </si>
  <si>
    <t xml:space="preserve">LAKEVIEW        </t>
  </si>
  <si>
    <t xml:space="preserve">N.R.H.E.G.      </t>
  </si>
  <si>
    <t>MURRAY COUNTY CE</t>
  </si>
  <si>
    <t xml:space="preserve">STAPLES-MOTLEY  </t>
  </si>
  <si>
    <t xml:space="preserve">KITTSON CENTRAL </t>
  </si>
  <si>
    <t>KENYON-WANAMINGO</t>
  </si>
  <si>
    <t>PINE RIVER-BACKU</t>
  </si>
  <si>
    <t>WARREN-ALVARADO-</t>
  </si>
  <si>
    <t xml:space="preserve">M.A.C.C.R.A.Y.  </t>
  </si>
  <si>
    <t xml:space="preserve">LUVERNE         </t>
  </si>
  <si>
    <t xml:space="preserve">YELLOW MEDICINE </t>
  </si>
  <si>
    <t>FILLMORE CENTRAL</t>
  </si>
  <si>
    <t>NORMAN COUNTY EA</t>
  </si>
  <si>
    <t xml:space="preserve">SIBLEY EAST     </t>
  </si>
  <si>
    <t>CLEARBROOK-GONVI</t>
  </si>
  <si>
    <t>WEST CENTRAL ARE</t>
  </si>
  <si>
    <t xml:space="preserve">TRI-COUNTY      </t>
  </si>
  <si>
    <t>BELGRADE-BROOTEN</t>
  </si>
  <si>
    <t xml:space="preserve">G.F.W.          </t>
  </si>
  <si>
    <t xml:space="preserve">A.C.G.C.        </t>
  </si>
  <si>
    <t>LESUEUR-HENDERSO</t>
  </si>
  <si>
    <t>MARTIN COUNTY WE</t>
  </si>
  <si>
    <t>NORMAN COUNTY WE</t>
  </si>
  <si>
    <t>BIRD ISLAND-OLIV</t>
  </si>
  <si>
    <t>GRANADA HUNTLEY-</t>
  </si>
  <si>
    <t xml:space="preserve">EAST CENTRAL    </t>
  </si>
  <si>
    <t xml:space="preserve">WIN-E-MAC       </t>
  </si>
  <si>
    <t>GREENBUSH-MIDDLE</t>
  </si>
  <si>
    <t>HOWARD LAKE-WAVE</t>
  </si>
  <si>
    <t>PIPESTONE AREA S</t>
  </si>
  <si>
    <t xml:space="preserve">MESABI EAST     </t>
  </si>
  <si>
    <t>FAIRMONT AREA SC</t>
  </si>
  <si>
    <t>LONG PRAIRIE-GRE</t>
  </si>
  <si>
    <t xml:space="preserve">CEDAR MOUNTAIN  </t>
  </si>
  <si>
    <t>EAGLE VALLEY PUB</t>
  </si>
  <si>
    <t>ZUMBROTA-MAZEPPA</t>
  </si>
  <si>
    <t>JANESVILLE-WALDO</t>
  </si>
  <si>
    <t>LAC QUI PARLE VA</t>
  </si>
  <si>
    <t xml:space="preserve">ADA-BORUP       </t>
  </si>
  <si>
    <t>STEPHEN-ARGYLE C</t>
  </si>
  <si>
    <t>GLENCOE-SILVER L</t>
  </si>
  <si>
    <t xml:space="preserve">BLUE EARTH AREA </t>
  </si>
  <si>
    <t>RED ROCK CENTRAL</t>
  </si>
  <si>
    <t>GLENVILLE-EMMONS</t>
  </si>
  <si>
    <t>CLINTON-GRACEVIL</t>
  </si>
  <si>
    <t>LAKE PARK AUDUBO</t>
  </si>
  <si>
    <t xml:space="preserve">RENVILLE COUNTY </t>
  </si>
  <si>
    <t>JACKSON COUNTY C</t>
  </si>
  <si>
    <t>REDWOOD AREA SCH</t>
  </si>
  <si>
    <t>WESTBROOK-WALNUT</t>
  </si>
  <si>
    <t>Comm Service</t>
  </si>
  <si>
    <t>Reemploy</t>
  </si>
  <si>
    <t>Hea Ben</t>
  </si>
  <si>
    <t>Fund 1 Credit</t>
  </si>
  <si>
    <t>Fund 4 Credit</t>
  </si>
  <si>
    <t>100% Shift Total</t>
  </si>
  <si>
    <t>Add'l Referendum</t>
  </si>
  <si>
    <t xml:space="preserve">PRIOR LAKE      </t>
  </si>
  <si>
    <t>Total Aid Adjust</t>
  </si>
  <si>
    <t>State Total</t>
  </si>
  <si>
    <t>PINE POINT</t>
  </si>
  <si>
    <t>Genl RMV Other</t>
  </si>
  <si>
    <t>Genl NTC Voter</t>
  </si>
  <si>
    <t>Genl NTC Other</t>
  </si>
  <si>
    <t>Integ--1st Class</t>
  </si>
  <si>
    <t>Hea Ben Adjust</t>
  </si>
  <si>
    <t>Int Adj PY--1st Class</t>
  </si>
  <si>
    <t>Int Adj 2YP--1st Class</t>
  </si>
  <si>
    <t>General Shift Aid Adjust</t>
  </si>
  <si>
    <t xml:space="preserve"> Comm Serv Aid Adjust</t>
  </si>
  <si>
    <t>Comm Serv at Shift %</t>
  </si>
  <si>
    <t>Refer Aid Adjust</t>
  </si>
  <si>
    <t>Addl Refer Shift</t>
  </si>
  <si>
    <t>Genl with Aid Adjust</t>
  </si>
  <si>
    <t>Refer with Aid Adjust</t>
  </si>
  <si>
    <t>Refer No Aid Adjust</t>
  </si>
  <si>
    <t>100% Shift</t>
  </si>
  <si>
    <t>Reemploy Resv</t>
  </si>
  <si>
    <t>Reemploy Unrsv</t>
  </si>
  <si>
    <t>Addl Retire</t>
  </si>
  <si>
    <t>PROPERTY TAX SHIFT YEAR-END RECONCILIATION</t>
  </si>
  <si>
    <t>Enter District Number</t>
  </si>
  <si>
    <t>A</t>
  </si>
  <si>
    <t>General - Shift &amp; Adjust Aid</t>
  </si>
  <si>
    <t>B</t>
  </si>
  <si>
    <t xml:space="preserve">General - Operating Referendum (with aid adjust) </t>
  </si>
  <si>
    <t>C</t>
  </si>
  <si>
    <t>General - Operating Referendum (no aid adjust)</t>
  </si>
  <si>
    <t>D</t>
  </si>
  <si>
    <t>General - Addl Referendum Shift</t>
  </si>
  <si>
    <t>E</t>
  </si>
  <si>
    <t>F</t>
  </si>
  <si>
    <t>G</t>
  </si>
  <si>
    <t>General - Reemploy Ins (Reserved)</t>
  </si>
  <si>
    <t>H</t>
  </si>
  <si>
    <t>General - Reemploy Ins (Unreserved)</t>
  </si>
  <si>
    <t>I</t>
  </si>
  <si>
    <t>General - Legislative Changes</t>
  </si>
  <si>
    <t>J</t>
  </si>
  <si>
    <t>General Fund Total</t>
  </si>
  <si>
    <t>K</t>
  </si>
  <si>
    <t>Comm Serv - Shift &amp; Adjust Aid</t>
  </si>
  <si>
    <t>L</t>
  </si>
  <si>
    <t>Comm Serv - 100% Shift, No Adjust</t>
  </si>
  <si>
    <t>M</t>
  </si>
  <si>
    <t>Comm Serv - Legislative Change</t>
  </si>
  <si>
    <t>N</t>
  </si>
  <si>
    <t>Comm Serv Fund Total</t>
  </si>
  <si>
    <t>O</t>
  </si>
  <si>
    <t>Total</t>
  </si>
  <si>
    <t>Definitions of levy categories within funds</t>
  </si>
  <si>
    <t>Shift &amp; Adjust Aid</t>
  </si>
  <si>
    <t>Operating referendum (with aid adjust)</t>
  </si>
  <si>
    <t>Operating referendum (no aid adjust)</t>
  </si>
  <si>
    <t>Addl referendum shift</t>
  </si>
  <si>
    <t>due to the net of changes in the allocation of HACA and the increase in referendum equalization aid.</t>
  </si>
  <si>
    <t>This amount will be constant from year to year.</t>
  </si>
  <si>
    <t>100% shift, no adjust</t>
  </si>
  <si>
    <t>Reemploy Ins (reserved)</t>
  </si>
  <si>
    <t>Reemploy Ins (unreserved)</t>
  </si>
  <si>
    <t>Legislative changes</t>
  </si>
  <si>
    <t>ASSUMPTIONS:</t>
  </si>
  <si>
    <t>1)</t>
  </si>
  <si>
    <t>2)</t>
  </si>
  <si>
    <t>have been coded to 214 to zero out the account.  If not, the following entry should be made:</t>
  </si>
  <si>
    <t>Debit</t>
  </si>
  <si>
    <t>Credit</t>
  </si>
  <si>
    <t>REV</t>
  </si>
  <si>
    <t>01-005-000-000-211-000</t>
  </si>
  <si>
    <t>Gen Ed Revenue</t>
  </si>
  <si>
    <t>GNL</t>
  </si>
  <si>
    <t>01-214</t>
  </si>
  <si>
    <t>Adv of Unearned Gen Ed</t>
  </si>
  <si>
    <t>3)</t>
  </si>
  <si>
    <t>If not, the following entries should be made:</t>
  </si>
  <si>
    <t>01-005-000-000-299-000</t>
  </si>
  <si>
    <t>Prop Tax Shift Adjustment</t>
  </si>
  <si>
    <t>04-005-000-000-299-000</t>
  </si>
  <si>
    <t>01-005-000-XXX-XXX-000</t>
  </si>
  <si>
    <t>State Aid Receivable or State Aid Revenue</t>
  </si>
  <si>
    <t>04-005-000-XXX-XXX-000</t>
  </si>
  <si>
    <t>General
Fund</t>
  </si>
  <si>
    <t>Comm Service Fund</t>
  </si>
  <si>
    <t>Mobile Home Taxes</t>
  </si>
  <si>
    <t>Total May/June/July Tax Settlement Receipts</t>
  </si>
  <si>
    <t>01-235</t>
  </si>
  <si>
    <t>Prop Tax Sub Years</t>
  </si>
  <si>
    <t>04-235</t>
  </si>
  <si>
    <t>04-214</t>
  </si>
  <si>
    <t>Local Property Taxes--Reemployment</t>
  </si>
  <si>
    <t>01-005-000-830-001-000</t>
  </si>
  <si>
    <t>Local Property Taxes--Career Technical</t>
  </si>
  <si>
    <t>01-005-000-830-211-000 (if not enough tax receipts)</t>
  </si>
  <si>
    <t>Gen Ed Revenue--Career Technical</t>
  </si>
  <si>
    <t xml:space="preserve">01-005-000-000-001-000 </t>
  </si>
  <si>
    <t>Local Property Taxes</t>
  </si>
  <si>
    <t>01-005-000-000-211-000 (if not enough tax receipts)</t>
  </si>
  <si>
    <t>04-005-000-XXX-001-000</t>
  </si>
  <si>
    <t>04-005-000-XXX-211-000</t>
  </si>
  <si>
    <t xml:space="preserve">01-005-000-000-296-000 </t>
  </si>
  <si>
    <t>Property Tax Shift Offset Adjustment</t>
  </si>
  <si>
    <t>04-005-000-000-211-000</t>
  </si>
  <si>
    <t xml:space="preserve">04-005-000-000-296-000 </t>
  </si>
  <si>
    <t>(reverse prior year shift)</t>
  </si>
  <si>
    <t>01-005-000-000-020-000</t>
  </si>
  <si>
    <t>Prop Tax Shift Revenue</t>
  </si>
  <si>
    <t>04-005-000-000-020-000</t>
  </si>
  <si>
    <t>State Aid Adjustment for Shift</t>
  </si>
  <si>
    <t>01-101</t>
  </si>
  <si>
    <t>Cash</t>
  </si>
  <si>
    <t>04-101</t>
  </si>
  <si>
    <t>01-213</t>
  </si>
  <si>
    <t>Property Tax Shift Adjustment</t>
  </si>
  <si>
    <t>(modification by fund to correct (increase or decrease) property tax shift adjustment and redistribution of prior adjustment per Ideas report)</t>
  </si>
  <si>
    <t>General - 100% Shift, No Adjust</t>
  </si>
  <si>
    <t>General - Career Technical</t>
  </si>
  <si>
    <t>Career Technical</t>
  </si>
  <si>
    <t>Shift at</t>
  </si>
  <si>
    <t>General Fund</t>
  </si>
  <si>
    <t>Comm Serv Fund</t>
  </si>
  <si>
    <t>PROPERTY TAX SHIFT</t>
  </si>
  <si>
    <t>Early Recognition Levies</t>
  </si>
  <si>
    <t>Other Levies</t>
  </si>
  <si>
    <t>Column 3 is the revenue change to be recognized as a result of the levies shifted with with no aid reduction (net of column 1 and column 2 for these categories).</t>
  </si>
  <si>
    <t>Balance Sheet Acccounts:</t>
  </si>
  <si>
    <t>Tax Settlement Reports (Form 52)</t>
  </si>
  <si>
    <t>(Do not include any July payments)</t>
  </si>
  <si>
    <t>General Ledger</t>
  </si>
  <si>
    <t>Taxes Receivable Report (Form 51)</t>
  </si>
  <si>
    <t>Amount by which tax shift exceeds property tax receipts</t>
  </si>
  <si>
    <t>Revenue Accounts:</t>
  </si>
  <si>
    <t>Amount of General Ed Aid recognized early for shift with aid reduction</t>
  </si>
  <si>
    <t>The following categories are mutually exclusive, that is, each levy appears in one category only.</t>
  </si>
  <si>
    <t>Total General Aid Adjust</t>
  </si>
  <si>
    <t>Prinsburg Exclusion NTC Voter</t>
  </si>
  <si>
    <t>Prinsburg Exclusion RMV Voter</t>
  </si>
  <si>
    <t>Property Taxes for Subsequent Years (GNL 235) entries have already taken place.  Prior to the tax shift entries the balance</t>
  </si>
  <si>
    <t>Reemploy Adjust Reserved</t>
  </si>
  <si>
    <t>Reemploy Adjust Unreserved</t>
  </si>
  <si>
    <t>CSE Levy for Credit Allocation</t>
  </si>
  <si>
    <t>Genl Levy for Credit Allocation</t>
  </si>
  <si>
    <t>Estimated Fund 1 Credits</t>
  </si>
  <si>
    <t>Estimated Fund 4 Credits</t>
  </si>
  <si>
    <t>Total Levy for Credit Allocation</t>
  </si>
  <si>
    <t>Computed Credits for Tax Shift</t>
  </si>
  <si>
    <t>Total Levy</t>
  </si>
  <si>
    <t>Estimated Gened Recognition</t>
  </si>
  <si>
    <t>Includes selected levies that have been adjusted based on legislation that changes a levy authority after the levy has</t>
  </si>
  <si>
    <t>Legislative Changes Genl Fund</t>
  </si>
  <si>
    <t>Legislative Changes Comm Serv</t>
  </si>
  <si>
    <t>Leg Changes Genl Fund</t>
  </si>
  <si>
    <t>Leg Changes Comm Serv</t>
  </si>
  <si>
    <t>Total Gross Shift</t>
  </si>
  <si>
    <t>The first section shows the property tax shift report for the school district, with a definition for each tax shift category.</t>
  </si>
  <si>
    <t>RTR</t>
  </si>
  <si>
    <t>PLAINVIEW-ELGIN-MILLV</t>
  </si>
  <si>
    <t>Shift at 0%</t>
  </si>
  <si>
    <t>Includes levies that are shifted at 100% and for which there is no reduction to state aid.  This category</t>
  </si>
  <si>
    <t>includes integration for first class districts, additional retirement, health benefits, and related adjustments.</t>
  </si>
  <si>
    <t>01-005-000-000-001-000</t>
  </si>
  <si>
    <t>Community Service Fund</t>
  </si>
  <si>
    <t>Shiftable Oth Gen
(E+F+G-U-X-Y-AA)</t>
  </si>
  <si>
    <t>Shiftable Comm Serv (H-T-V)</t>
  </si>
  <si>
    <t>Notes:</t>
  </si>
  <si>
    <t>To select a specific district, type the district number in cell A3  (use 1.2 for Minneapolis) and press enter.  Information for the selected district will then appear in the report.  Running a macro is not required.</t>
  </si>
  <si>
    <t>Reconciation of Property Tax Accounts</t>
  </si>
  <si>
    <t>General</t>
  </si>
  <si>
    <t>Comm Serv</t>
  </si>
  <si>
    <t>Debt</t>
  </si>
  <si>
    <t>Report of Credits from Dept of Revenue</t>
  </si>
  <si>
    <t>Credits on Taxes receivable minus credits from Revenue</t>
  </si>
  <si>
    <t>Tax Shift Entry</t>
  </si>
  <si>
    <t>Levy Limitation &amp; Certification Report</t>
  </si>
  <si>
    <t>Entries to record property taxes</t>
  </si>
  <si>
    <t>Jan 1</t>
  </si>
  <si>
    <t>GL 110</t>
  </si>
  <si>
    <t>Current Taxes Receivable</t>
  </si>
  <si>
    <t>GL 235</t>
  </si>
  <si>
    <t>Deferred Revenue</t>
  </si>
  <si>
    <t>To record current year levy as taxes receivable</t>
  </si>
  <si>
    <t>GL 111</t>
  </si>
  <si>
    <t>Delinquent Taxes Receivable</t>
  </si>
  <si>
    <t>To transfer current taxes receivable to delinquent taxes</t>
  </si>
  <si>
    <t>Jan - July</t>
  </si>
  <si>
    <t>GL 101</t>
  </si>
  <si>
    <t>SRC 009</t>
  </si>
  <si>
    <t>Fiscal Disparities</t>
  </si>
  <si>
    <t>SRC 014</t>
  </si>
  <si>
    <t>Taconite Homestead Credit</t>
  </si>
  <si>
    <t>SRC 019</t>
  </si>
  <si>
    <t>Miscellaneous tax revenue</t>
  </si>
  <si>
    <t>To record first half tax settlements received from counties</t>
  </si>
  <si>
    <t>June 30</t>
  </si>
  <si>
    <t>GL 214</t>
  </si>
  <si>
    <t>Advance of Unearned Gened</t>
  </si>
  <si>
    <t>SRC 001</t>
  </si>
  <si>
    <t>Tax Revenue</t>
  </si>
  <si>
    <t>Tax Revenue (Portions with Finance Codes)</t>
  </si>
  <si>
    <t>To record current year tax shift</t>
  </si>
  <si>
    <t>July 1</t>
  </si>
  <si>
    <t>To reverse prior year tax shift</t>
  </si>
  <si>
    <t>To record levy revenue for current year</t>
  </si>
  <si>
    <t>To reduce taxes receivable for amount to be paid by state credits</t>
  </si>
  <si>
    <t>To reduce taxes receivable for amount to be paid by fiscal disparities</t>
  </si>
  <si>
    <t>To reduce taxes receivable for amount to be paid by taconite homestead credit</t>
  </si>
  <si>
    <t>Debit/Credit</t>
  </si>
  <si>
    <t>Credit/Debit</t>
  </si>
  <si>
    <t>To adjust taxes receivable for county auditor adjustments</t>
  </si>
  <si>
    <t>Oct - Jan</t>
  </si>
  <si>
    <t>GL 009</t>
  </si>
  <si>
    <t>GL 014</t>
  </si>
  <si>
    <t>To record second half tax settlements received from counties</t>
  </si>
  <si>
    <t>To reduce taxes receivable for abatements</t>
  </si>
  <si>
    <t>To reduce taxes receivable for seventh-year write offs</t>
  </si>
  <si>
    <t>GL 231</t>
  </si>
  <si>
    <t>Deferred Revenue--Delinquent Taxes</t>
  </si>
  <si>
    <t>To adjust deferred revenue for delinquent taxes</t>
  </si>
  <si>
    <t>Community Serv</t>
  </si>
  <si>
    <t>Debt Service</t>
  </si>
  <si>
    <r>
      <t xml:space="preserve">The </t>
    </r>
    <r>
      <rPr>
        <b/>
        <sz val="8"/>
        <rFont val="Arial"/>
        <family val="2"/>
      </rPr>
      <t xml:space="preserve">"Reports" tab </t>
    </r>
    <r>
      <rPr>
        <sz val="8"/>
        <rFont val="Arial"/>
        <family val="2"/>
      </rPr>
      <t>shows the property tax shift report for a selected school district.</t>
    </r>
  </si>
  <si>
    <t>SRC 211</t>
  </si>
  <si>
    <t>Tax Shift Report (column 6)</t>
  </si>
  <si>
    <t>Tax Shift Report (column 2 - lines A+B or K )</t>
  </si>
  <si>
    <t>Tax Shift Report (column 1 - lines A+B or K)</t>
  </si>
  <si>
    <t>Year end receivable (payable) adjustment for property tax shift</t>
  </si>
  <si>
    <t>Tax Shift Report (column 2 - lines C+D+E+F+G+H+I or L+M)</t>
  </si>
  <si>
    <t>Tax Shift Report (column 1 - lines C+D+E+F+G+H+I or L+M)</t>
  </si>
  <si>
    <t>All other fields will compute, including those that come from the Tax Shift spreadsheet</t>
  </si>
  <si>
    <t>Note:</t>
  </si>
  <si>
    <t>Tax Shift Report (column 1 - line J or N)</t>
  </si>
  <si>
    <t>Tax Shift Report (column 5 - line J or N)</t>
  </si>
  <si>
    <t>Tax Shift Report (column 6 - line J or N)</t>
  </si>
  <si>
    <t>Certified Levy</t>
  </si>
  <si>
    <t>Debit (Credit)</t>
  </si>
  <si>
    <t>(Credit)</t>
  </si>
  <si>
    <t>Increase (decrease) to credits by county</t>
  </si>
  <si>
    <t>Asset  and expenditure accounts would normally have a debit balance</t>
  </si>
  <si>
    <t>Liability and revenue accounts would normally have a credit balance</t>
  </si>
  <si>
    <t>Account balances are indicated as debit or (credit) balance</t>
  </si>
  <si>
    <t>Data entered on Funds tab will carryover and be used to allocate adjustments and abatements</t>
  </si>
  <si>
    <t>On Reports tab enter your district # in cell A3 so correct tax shift amounts carryover</t>
  </si>
  <si>
    <t>On this tab enter data in highlighted fields only--from source indicated</t>
  </si>
  <si>
    <t>Enter debits as positive and credits as negative, as indicated in column H</t>
  </si>
  <si>
    <t>Year end payable (receivable) for property tax shift</t>
  </si>
  <si>
    <t>Date</t>
  </si>
  <si>
    <t>Subtotal</t>
  </si>
  <si>
    <t>Enter certified levies for each year below</t>
  </si>
  <si>
    <t>Also used to allocate adjustments and abatements on Accounts tab</t>
  </si>
  <si>
    <t>This data is used to report certified levies on Accounts tab</t>
  </si>
  <si>
    <t>Debt Serv</t>
  </si>
  <si>
    <t>Pay 2007</t>
  </si>
  <si>
    <t>Pay 2006</t>
  </si>
  <si>
    <t>Pay 2005</t>
  </si>
  <si>
    <t>Pay 2004</t>
  </si>
  <si>
    <t>Taxes receivable</t>
  </si>
  <si>
    <t>Fiscal disparities</t>
  </si>
  <si>
    <t>Miscellaneous taxes</t>
  </si>
  <si>
    <t>Total settlement</t>
  </si>
  <si>
    <t>County</t>
  </si>
  <si>
    <t>Pay 2008</t>
  </si>
  <si>
    <t>Taconite homestead</t>
  </si>
  <si>
    <t>Taconite homestead credit</t>
  </si>
  <si>
    <t>Amounts will be allocated to funds based upon certified levies above</t>
  </si>
  <si>
    <t>Settlements will be totaled by year and fund for carryover to Accounts tab</t>
  </si>
  <si>
    <t>Total Certified Levy</t>
  </si>
  <si>
    <t>Delinquent Taxes receivable</t>
  </si>
  <si>
    <t>Current Taxes receivable</t>
  </si>
  <si>
    <t>State Aid Adjustment
Src Code 299</t>
  </si>
  <si>
    <t>Revenue Adjustment
Src Code 299</t>
  </si>
  <si>
    <t>If settlement sheet from the county already shows settlements by fund:</t>
  </si>
  <si>
    <r>
      <t xml:space="preserve">Debit
</t>
    </r>
    <r>
      <rPr>
        <sz val="8"/>
        <rFont val="Arial"/>
        <family val="2"/>
      </rPr>
      <t>(Credit)</t>
    </r>
  </si>
  <si>
    <r>
      <t xml:space="preserve">Credit
</t>
    </r>
    <r>
      <rPr>
        <sz val="8"/>
        <rFont val="Arial"/>
        <family val="2"/>
      </rPr>
      <t>(Debit)</t>
    </r>
  </si>
  <si>
    <t>If more columns are needed, insert between column M and S</t>
  </si>
  <si>
    <t>Lesser of Gross Shift or Tax Receipts (but not less than zero)</t>
  </si>
  <si>
    <t>Positve amount indicates state aid payment</t>
  </si>
  <si>
    <t xml:space="preserve">Negative amount indicates reduction to state aid payments </t>
  </si>
  <si>
    <t>Pay 2009</t>
  </si>
  <si>
    <t>The entries start with the levy being certified by the school board and work through a full year of accounting entries.</t>
  </si>
  <si>
    <t>Note:  Property tax shift entry shown on "Report" tab combines the June 30th entry to record the current year tax shift (entry just above this note) with the prior July 1st entry to reverse the prior year tax shift (entry similar to entry below, but for the previous July 1st).</t>
  </si>
  <si>
    <t>Genl RMV Voter</t>
  </si>
  <si>
    <t>Includes reemployment insurance levy adjustments for FY 2003 shifted at 100% with no aid adjustment.</t>
  </si>
  <si>
    <t>Includes reemployment insurance levy and adjustments for FY 2004 and later shifted at 100% with no aid adjustment.</t>
  </si>
  <si>
    <t>This category is the Pay 2001 referendum levy shifted at 31%.  This amount will be constant from year to year.</t>
  </si>
  <si>
    <t>This is an additional revenue shift for districts that had a decrease in Pay 1994 referendum levy</t>
  </si>
  <si>
    <t>Entry to GNL 214 minus entries to SRC 211</t>
  </si>
  <si>
    <t>Entry toGNL 214 minus entries to SRC 211</t>
  </si>
  <si>
    <t>Enter data in green highlighted cells</t>
  </si>
  <si>
    <t>Unprotect this tab and enter settlement data directly into cells E56 through S145, orange outlined section below</t>
  </si>
  <si>
    <t>Caution:  You will be overriding the formulas in these cells</t>
  </si>
  <si>
    <t>dat_yer</t>
  </si>
  <si>
    <t>dst_num</t>
  </si>
  <si>
    <t>dst_tye</t>
  </si>
  <si>
    <t>gen_lgr_num</t>
  </si>
  <si>
    <t>fun_num</t>
  </si>
  <si>
    <t>end_bal_amt</t>
  </si>
  <si>
    <t>Pay 2001
Refer Shift</t>
  </si>
  <si>
    <t>Total General Fund Shift</t>
  </si>
  <si>
    <t>Total Comm Serv Fund Shift</t>
  </si>
  <si>
    <t>Pay 2010</t>
  </si>
  <si>
    <t>09 Pay 10</t>
  </si>
  <si>
    <t>FY 2010</t>
  </si>
  <si>
    <t xml:space="preserve">ORTONVILLE-BELLINGHAM  </t>
  </si>
  <si>
    <t>TRACY AREA</t>
  </si>
  <si>
    <t>Watch for consolidated districts</t>
  </si>
  <si>
    <t>Genl RMV Voter Levy</t>
  </si>
  <si>
    <t>Genl RMV Other Levy</t>
  </si>
  <si>
    <t>Genl NTC Voter Levy</t>
  </si>
  <si>
    <t>Genl NTC Other Levy</t>
  </si>
  <si>
    <t>Comm Service Levy</t>
  </si>
  <si>
    <t>Debt Voter Levy</t>
  </si>
  <si>
    <t>Debt Other Levy</t>
  </si>
  <si>
    <t>OPEB Voter Levy</t>
  </si>
  <si>
    <t>OPEB Other Levy</t>
  </si>
  <si>
    <t>Career technical levy and adjustment shifted at 100% with no aid adjustment.</t>
  </si>
  <si>
    <t>Career Tech Adjust</t>
  </si>
  <si>
    <t>Certain levies have been--and will continue to be--shifted 100% with no aid reduction.  Recognizing these levies early gets the revenue into the same fiscal year as the related expenditures.  There is no state aid adjustment for this portion of the shift.</t>
  </si>
  <si>
    <t>Starting in fiscal year 2004, the shift was expanded to include all other general and community service fund levies, net of tax credits.  There is a corresponding state aid adjustment for this portion of the property tax shift, making this portion of the shift revenue neutral to school districts each year.  If the shift at the end of the current year is larger than the shift at the end of the previous year, state aid for the current year is reduced for the net increase in the shift.  If the shift at the end of the current year is less than the shift at the end of the previous year, state aid for the current year is increased for the net decrease in the shift.</t>
  </si>
  <si>
    <t>06/30/10</t>
  </si>
  <si>
    <t>Est Pay 2010 Credits</t>
  </si>
  <si>
    <t>Levy</t>
  </si>
  <si>
    <t>Credits</t>
  </si>
  <si>
    <t>Net Levy</t>
  </si>
  <si>
    <t>Tax Settlement Reports (Form 52) for each July</t>
  </si>
  <si>
    <t>Total May-June 2010 Tax Receipts for Ideas</t>
  </si>
  <si>
    <t>Pay 2011</t>
  </si>
  <si>
    <t>10 Pay 11</t>
  </si>
  <si>
    <t>FY 2011</t>
  </si>
  <si>
    <t>06/30/11</t>
  </si>
  <si>
    <t>07/01/2010 to 06/30/2011</t>
  </si>
  <si>
    <t>07/01/2010 to 04/30/2011</t>
  </si>
  <si>
    <t>05/01/2011 to 06/30/2011</t>
  </si>
  <si>
    <t>FY 2012</t>
  </si>
  <si>
    <t>Column 4 is the net shift amount to be recognized as a result of levies shifted with an aid reduction.  A negative amount in this column represents a debit balance in source 020 and related crebit balance in source 299.</t>
  </si>
  <si>
    <t>Column 5 is the state aid payment (reduction) that is being made in the current year for the property tax shift.</t>
  </si>
  <si>
    <t>Column 6 represents the state aid payment (reduction) that will be made next year, for this year's tax shift.  Column 4 plus column 5 plus column 6 should equal zero.</t>
  </si>
  <si>
    <r>
      <t>Enter data on the</t>
    </r>
    <r>
      <rPr>
        <b/>
        <sz val="8"/>
        <rFont val="Arial"/>
        <family val="2"/>
      </rPr>
      <t xml:space="preserve"> Funds tab</t>
    </r>
    <r>
      <rPr>
        <sz val="8"/>
        <rFont val="Arial"/>
        <family val="2"/>
      </rPr>
      <t xml:space="preserve"> if you want to use the reconciliation feature in the Accounts tab. </t>
    </r>
  </si>
  <si>
    <r>
      <t xml:space="preserve">The </t>
    </r>
    <r>
      <rPr>
        <b/>
        <sz val="8"/>
        <rFont val="Arial"/>
        <family val="2"/>
      </rPr>
      <t>Accounts tab</t>
    </r>
    <r>
      <rPr>
        <sz val="8"/>
        <rFont val="Arial"/>
        <family val="2"/>
      </rPr>
      <t xml:space="preserve"> provides a year-end reconciliation for each tax-related account.</t>
    </r>
  </si>
  <si>
    <r>
      <t xml:space="preserve">The </t>
    </r>
    <r>
      <rPr>
        <b/>
        <sz val="8"/>
        <rFont val="Arial"/>
        <family val="2"/>
      </rPr>
      <t>Entries tab</t>
    </r>
    <r>
      <rPr>
        <sz val="8"/>
        <rFont val="Arial"/>
        <family val="2"/>
      </rPr>
      <t xml:space="preserve"> shows standard accounting entries for recording property taxes.</t>
    </r>
  </si>
  <si>
    <t>The other tabs in this spreadsheet provide the data that is used to create the tax shift report shown in the Reports tab.</t>
  </si>
  <si>
    <t>The second section discusses the assumptions that have been made in generating the entries to record the tax shift.  Also review the Accounts tab and Entries tab.</t>
  </si>
  <si>
    <t>This tab can serve as a year-end reconcilation tool.  Enter data in the highlighted fields on this tab and in the Funds tab.  All other fields in this tab will automatically be computed.</t>
  </si>
  <si>
    <t>Starting in fiscal year 2006, the shift percentage for other levies was set to zero percent.</t>
  </si>
  <si>
    <t>Starting in fiscal year 2011, the shift percentage for other levies was set to 48.6 percent.</t>
  </si>
  <si>
    <t>Prel Pay 2010 Credits</t>
  </si>
  <si>
    <t>09-10</t>
  </si>
  <si>
    <t>been certified (See Minnesota Statutes, section 126C.48, subdivision 6).  The revenue shift is at 100% and there is</t>
  </si>
  <si>
    <t>Query Date 01-04-11</t>
  </si>
  <si>
    <t>Not Revised</t>
  </si>
  <si>
    <t>STR 21,22-1</t>
  </si>
  <si>
    <t>STR 21,22-2</t>
  </si>
  <si>
    <t>STR 21,22-3</t>
  </si>
  <si>
    <t>STR 21,22-4</t>
  </si>
  <si>
    <t>STR 21,22-5</t>
  </si>
  <si>
    <t>STR 21,22-6</t>
  </si>
  <si>
    <t>STR 21,22-7</t>
  </si>
  <si>
    <t>STR 21,22-9</t>
  </si>
  <si>
    <t xml:space="preserve"> </t>
  </si>
  <si>
    <t>STR 21,22-8</t>
  </si>
  <si>
    <t>GDS Levy for Credit Allocation</t>
  </si>
  <si>
    <t>OPEB Levy for Credit Allocation</t>
  </si>
  <si>
    <t>Estimated Fund 7 Credits</t>
  </si>
  <si>
    <t>Estimated Fund 47 Credits</t>
  </si>
  <si>
    <t>School Tax Rpt &amp; Eliminate Credits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</si>
</sst>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7" formatCode="&quot;$&quot;#,##0.00_);\(&quot;$&quot;#,##0.00\)"/>
    <numFmt numFmtId="44" formatCode="_(&quot;$&quot;* #,##0.00_);_(&quot;$&quot;* \(#,##0.00\);_(&quot;$&quot;* &quot;-&quot;??_);_(@_)"/>
    <numFmt numFmtId="43" formatCode="_(* #,##0.00_);_(* \(#,##0.00\);_(* &quot;-&quot;??_);_(@_)"/>
    <numFmt numFmtId="164" formatCode="0.0%"/>
    <numFmt numFmtId="165" formatCode="0_);\(0\)"/>
    <numFmt numFmtId="166" formatCode="mm/dd/yy"/>
    <numFmt numFmtId="167" formatCode="mm/dd/yy;@"/>
    <numFmt numFmtId="168" formatCode="[$-409]mmmm\ d\,\ yyyy;@"/>
  </numFmts>
  <fonts count="15" x14ac:knownFonts="1">
    <font>
      <sz val="8"/>
      <name val="Arial"/>
      <family val="2"/>
    </font>
    <font>
      <sz val="10"/>
      <name val="Arial"/>
      <family val="2"/>
    </font>
    <font>
      <sz val="8"/>
      <name val="Arial"/>
      <family val="2"/>
    </font>
    <font>
      <b/>
      <sz val="8"/>
      <name val="Arial"/>
      <family val="2"/>
    </font>
    <font>
      <sz val="8"/>
      <name val="Arial"/>
      <family val="2"/>
    </font>
    <font>
      <sz val="8"/>
      <color indexed="10"/>
      <name val="Arial"/>
      <family val="2"/>
    </font>
    <font>
      <sz val="10"/>
      <color indexed="81"/>
      <name val="Tahoma"/>
      <family val="2"/>
    </font>
    <font>
      <b/>
      <sz val="10"/>
      <color indexed="81"/>
      <name val="Tahoma"/>
      <family val="2"/>
    </font>
    <font>
      <b/>
      <sz val="8"/>
      <color indexed="10"/>
      <name val="Arial"/>
      <family val="2"/>
    </font>
    <font>
      <b/>
      <sz val="8"/>
      <color indexed="81"/>
      <name val="Arial"/>
      <family val="2"/>
    </font>
    <font>
      <sz val="8"/>
      <color indexed="81"/>
      <name val="Arial"/>
      <family val="2"/>
    </font>
    <font>
      <sz val="8"/>
      <color indexed="81"/>
      <name val="Tahoma"/>
      <family val="2"/>
    </font>
    <font>
      <b/>
      <sz val="8"/>
      <color indexed="81"/>
      <name val="Tahoma"/>
      <family val="2"/>
    </font>
    <font>
      <sz val="11"/>
      <name val="Times New Roman"/>
    </font>
    <font>
      <sz val="11"/>
      <color theme="1"/>
      <name val="Calibri"/>
      <family val="2"/>
      <scheme val="minor"/>
    </font>
  </fonts>
  <fills count="9">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45"/>
        <bgColor indexed="64"/>
      </patternFill>
    </fill>
    <fill>
      <patternFill patternType="solid">
        <fgColor indexed="43"/>
        <bgColor indexed="64"/>
      </patternFill>
    </fill>
    <fill>
      <patternFill patternType="solid">
        <fgColor indexed="42"/>
        <bgColor indexed="64"/>
      </patternFill>
    </fill>
    <fill>
      <patternFill patternType="solid">
        <fgColor indexed="13"/>
        <bgColor indexed="64"/>
      </patternFill>
    </fill>
    <fill>
      <patternFill patternType="solid">
        <fgColor rgb="FFFFFF00"/>
        <bgColor indexed="64"/>
      </patternFill>
    </fill>
  </fills>
  <borders count="24">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double">
        <color indexed="64"/>
      </bottom>
      <diagonal/>
    </border>
    <border>
      <left/>
      <right style="thin">
        <color indexed="64"/>
      </right>
      <top/>
      <bottom style="double">
        <color indexed="64"/>
      </bottom>
      <diagonal/>
    </border>
    <border diagonalDown="1">
      <left/>
      <right/>
      <top/>
      <bottom/>
      <diagonal style="thin">
        <color indexed="64"/>
      </diagonal>
    </border>
    <border diagonalUp="1">
      <left/>
      <right/>
      <top/>
      <bottom/>
      <diagonal style="thin">
        <color indexed="64"/>
      </diagonal>
    </border>
    <border>
      <left/>
      <right/>
      <top style="thin">
        <color indexed="64"/>
      </top>
      <bottom style="double">
        <color indexed="64"/>
      </bottom>
      <diagonal/>
    </border>
    <border>
      <left style="thick">
        <color indexed="52"/>
      </left>
      <right/>
      <top style="thick">
        <color indexed="52"/>
      </top>
      <bottom/>
      <diagonal/>
    </border>
    <border>
      <left/>
      <right/>
      <top style="thick">
        <color indexed="52"/>
      </top>
      <bottom/>
      <diagonal/>
    </border>
    <border>
      <left/>
      <right style="thick">
        <color indexed="52"/>
      </right>
      <top style="thick">
        <color indexed="52"/>
      </top>
      <bottom/>
      <diagonal/>
    </border>
    <border>
      <left style="thick">
        <color indexed="52"/>
      </left>
      <right/>
      <top/>
      <bottom/>
      <diagonal/>
    </border>
    <border>
      <left/>
      <right style="thick">
        <color indexed="52"/>
      </right>
      <top/>
      <bottom/>
      <diagonal/>
    </border>
    <border>
      <left style="thick">
        <color indexed="52"/>
      </left>
      <right/>
      <top/>
      <bottom style="thick">
        <color indexed="52"/>
      </bottom>
      <diagonal/>
    </border>
    <border>
      <left/>
      <right/>
      <top/>
      <bottom style="thick">
        <color indexed="52"/>
      </bottom>
      <diagonal/>
    </border>
    <border>
      <left/>
      <right style="thick">
        <color indexed="52"/>
      </right>
      <top/>
      <bottom style="thick">
        <color indexed="52"/>
      </bottom>
      <diagonal/>
    </border>
    <border>
      <left style="medium">
        <color indexed="64"/>
      </left>
      <right/>
      <top/>
      <bottom/>
      <diagonal/>
    </border>
    <border>
      <left/>
      <right style="medium">
        <color indexed="64"/>
      </right>
      <top/>
      <bottom/>
      <diagonal/>
    </border>
  </borders>
  <cellStyleXfs count="38">
    <xf numFmtId="39" fontId="0" fillId="0" borderId="0"/>
    <xf numFmtId="43" fontId="1" fillId="0" borderId="0" applyFont="0" applyFill="0" applyBorder="0" applyAlignment="0" applyProtection="0"/>
    <xf numFmtId="3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7"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39" fontId="13" fillId="0" borderId="0"/>
    <xf numFmtId="39" fontId="2" fillId="0" borderId="0"/>
    <xf numFmtId="0" fontId="14" fillId="0" borderId="0"/>
  </cellStyleXfs>
  <cellXfs count="191">
    <xf numFmtId="39" fontId="0" fillId="0" borderId="0" xfId="0"/>
    <xf numFmtId="39" fontId="2" fillId="0" borderId="0" xfId="0" applyFont="1"/>
    <xf numFmtId="43" fontId="2" fillId="0" borderId="0" xfId="0" applyNumberFormat="1" applyFont="1"/>
    <xf numFmtId="43" fontId="2" fillId="0" borderId="0" xfId="0" applyNumberFormat="1" applyFont="1" applyFill="1"/>
    <xf numFmtId="39" fontId="2" fillId="0" borderId="0" xfId="0" applyFont="1" applyFill="1"/>
    <xf numFmtId="165" fontId="2" fillId="0" borderId="0" xfId="0" applyNumberFormat="1" applyFont="1"/>
    <xf numFmtId="165" fontId="2" fillId="0" borderId="0" xfId="0" applyNumberFormat="1" applyFont="1" applyAlignment="1">
      <alignment horizontal="center" wrapText="1"/>
    </xf>
    <xf numFmtId="39" fontId="2" fillId="0" borderId="0" xfId="0" applyFont="1" applyAlignment="1">
      <alignment horizontal="center" wrapText="1"/>
    </xf>
    <xf numFmtId="43" fontId="2" fillId="0" borderId="0" xfId="0" applyNumberFormat="1" applyFont="1" applyAlignment="1">
      <alignment horizontal="center" wrapText="1"/>
    </xf>
    <xf numFmtId="43" fontId="2" fillId="0" borderId="0" xfId="0" applyNumberFormat="1" applyFont="1" applyFill="1" applyAlignment="1">
      <alignment horizontal="center" wrapText="1"/>
    </xf>
    <xf numFmtId="39" fontId="3" fillId="0" borderId="0" xfId="0" applyFont="1"/>
    <xf numFmtId="165" fontId="3" fillId="0" borderId="0" xfId="0" applyNumberFormat="1" applyFont="1"/>
    <xf numFmtId="39" fontId="2" fillId="0" borderId="0" xfId="0" applyFont="1" applyAlignment="1">
      <alignment wrapText="1"/>
    </xf>
    <xf numFmtId="39" fontId="2" fillId="0" borderId="0" xfId="0" applyFont="1" applyAlignment="1"/>
    <xf numFmtId="39" fontId="3" fillId="0" borderId="0" xfId="0" applyFont="1" applyAlignment="1"/>
    <xf numFmtId="166" fontId="2" fillId="0" borderId="0" xfId="0" quotePrefix="1" applyNumberFormat="1" applyFont="1" applyAlignment="1">
      <alignment horizontal="right"/>
    </xf>
    <xf numFmtId="39" fontId="2" fillId="0" borderId="0" xfId="0" applyFont="1" applyAlignment="1">
      <alignment vertical="top" wrapText="1"/>
    </xf>
    <xf numFmtId="43" fontId="2" fillId="0" borderId="0" xfId="0" applyNumberFormat="1" applyFont="1" applyFill="1" applyBorder="1" applyAlignment="1">
      <alignment horizontal="center" wrapText="1"/>
    </xf>
    <xf numFmtId="165" fontId="2" fillId="0" borderId="0" xfId="0" applyNumberFormat="1" applyFont="1" applyFill="1"/>
    <xf numFmtId="39" fontId="0" fillId="0" borderId="0" xfId="0" applyFill="1"/>
    <xf numFmtId="39" fontId="4" fillId="0" borderId="0" xfId="0" applyFont="1" applyFill="1" applyAlignment="1">
      <alignment vertical="top" wrapText="1"/>
    </xf>
    <xf numFmtId="43" fontId="2" fillId="0" borderId="0" xfId="0" applyNumberFormat="1" applyFont="1" applyFill="1" applyBorder="1"/>
    <xf numFmtId="165" fontId="3" fillId="0" borderId="0" xfId="0" applyNumberFormat="1" applyFont="1" applyFill="1"/>
    <xf numFmtId="39" fontId="0" fillId="0" borderId="0" xfId="0" applyAlignment="1">
      <alignment vertical="top" wrapText="1"/>
    </xf>
    <xf numFmtId="49" fontId="3" fillId="0" borderId="0" xfId="0" applyNumberFormat="1" applyFont="1"/>
    <xf numFmtId="49" fontId="0" fillId="0" borderId="0" xfId="0" applyNumberFormat="1"/>
    <xf numFmtId="39" fontId="0" fillId="2" borderId="0" xfId="0" applyFill="1" applyProtection="1">
      <protection locked="0"/>
    </xf>
    <xf numFmtId="39" fontId="0" fillId="3" borderId="0" xfId="0" applyFill="1" applyProtection="1">
      <protection locked="0"/>
    </xf>
    <xf numFmtId="39" fontId="0" fillId="4" borderId="0" xfId="0" applyFill="1" applyProtection="1">
      <protection locked="0"/>
    </xf>
    <xf numFmtId="39" fontId="0" fillId="5" borderId="0" xfId="0" applyFill="1" applyProtection="1">
      <protection locked="0"/>
    </xf>
    <xf numFmtId="39" fontId="0" fillId="0" borderId="0" xfId="0" applyFill="1" applyProtection="1"/>
    <xf numFmtId="39" fontId="0" fillId="5" borderId="0" xfId="0" applyFill="1" applyAlignment="1" applyProtection="1">
      <alignment horizontal="right"/>
      <protection locked="0"/>
    </xf>
    <xf numFmtId="39" fontId="0" fillId="6" borderId="0" xfId="0" applyFill="1" applyAlignment="1" applyProtection="1">
      <alignment horizontal="right"/>
      <protection locked="0"/>
    </xf>
    <xf numFmtId="39" fontId="0" fillId="0" borderId="0" xfId="0" applyAlignment="1">
      <alignment wrapText="1"/>
    </xf>
    <xf numFmtId="44" fontId="2" fillId="2" borderId="1" xfId="18" applyNumberFormat="1" applyFont="1" applyFill="1" applyBorder="1" applyProtection="1">
      <protection locked="0"/>
    </xf>
    <xf numFmtId="43" fontId="2" fillId="2" borderId="0" xfId="18" applyNumberFormat="1" applyFont="1" applyFill="1" applyBorder="1" applyProtection="1">
      <protection locked="0"/>
    </xf>
    <xf numFmtId="44" fontId="2" fillId="2" borderId="0" xfId="18" applyNumberFormat="1" applyFont="1" applyFill="1" applyBorder="1" applyProtection="1">
      <protection locked="0"/>
    </xf>
    <xf numFmtId="43" fontId="2" fillId="2" borderId="1" xfId="0" applyNumberFormat="1" applyFont="1" applyFill="1" applyBorder="1" applyProtection="1">
      <protection locked="0"/>
    </xf>
    <xf numFmtId="43" fontId="2" fillId="2" borderId="2" xfId="18" applyNumberFormat="1" applyFont="1" applyFill="1" applyBorder="1" applyProtection="1">
      <protection locked="0"/>
    </xf>
    <xf numFmtId="43" fontId="2" fillId="2" borderId="3" xfId="0" applyNumberFormat="1" applyFont="1" applyFill="1" applyBorder="1" applyProtection="1">
      <protection locked="0"/>
    </xf>
    <xf numFmtId="0" fontId="3" fillId="7" borderId="0" xfId="1" applyNumberFormat="1" applyFont="1" applyFill="1" applyProtection="1">
      <protection locked="0"/>
    </xf>
    <xf numFmtId="167" fontId="0" fillId="0" borderId="0" xfId="0" applyNumberFormat="1"/>
    <xf numFmtId="39" fontId="0" fillId="0" borderId="0" xfId="0" applyFill="1" applyAlignment="1" applyProtection="1">
      <alignment horizontal="right"/>
    </xf>
    <xf numFmtId="39" fontId="0" fillId="0" borderId="0" xfId="0" applyProtection="1"/>
    <xf numFmtId="39" fontId="3" fillId="0" borderId="0" xfId="0" applyFont="1" applyAlignment="1" applyProtection="1">
      <alignment horizontal="left" indent="2"/>
    </xf>
    <xf numFmtId="165" fontId="3" fillId="0" borderId="0" xfId="0" applyNumberFormat="1" applyFont="1" applyAlignment="1" applyProtection="1">
      <alignment horizontal="left"/>
    </xf>
    <xf numFmtId="39" fontId="0" fillId="0" borderId="0" xfId="0" applyAlignment="1" applyProtection="1"/>
    <xf numFmtId="39" fontId="0" fillId="0" borderId="0" xfId="0" applyAlignment="1" applyProtection="1">
      <alignment horizontal="right"/>
    </xf>
    <xf numFmtId="167" fontId="0" fillId="0" borderId="0" xfId="0" applyNumberFormat="1" applyProtection="1"/>
    <xf numFmtId="165" fontId="2" fillId="0" borderId="0" xfId="0" applyNumberFormat="1" applyFont="1" applyAlignment="1" applyProtection="1">
      <alignment horizontal="left"/>
    </xf>
    <xf numFmtId="165" fontId="2" fillId="0" borderId="0" xfId="0" applyNumberFormat="1" applyFont="1" applyAlignment="1" applyProtection="1"/>
    <xf numFmtId="39" fontId="3" fillId="0" borderId="0" xfId="0" applyFont="1" applyAlignment="1" applyProtection="1">
      <alignment horizontal="center"/>
    </xf>
    <xf numFmtId="39" fontId="0" fillId="0" borderId="0" xfId="0" applyAlignment="1" applyProtection="1">
      <alignment horizontal="center"/>
    </xf>
    <xf numFmtId="165" fontId="0" fillId="0" borderId="0" xfId="0" applyNumberFormat="1" applyAlignment="1" applyProtection="1">
      <alignment horizontal="center"/>
    </xf>
    <xf numFmtId="165" fontId="0" fillId="0" borderId="0" xfId="0" applyNumberFormat="1" applyAlignment="1" applyProtection="1"/>
    <xf numFmtId="39" fontId="3" fillId="0" borderId="0" xfId="0" applyFont="1" applyProtection="1"/>
    <xf numFmtId="39" fontId="2" fillId="0" borderId="0" xfId="0" applyFont="1" applyProtection="1"/>
    <xf numFmtId="39" fontId="0" fillId="0" borderId="0" xfId="0" applyAlignment="1" applyProtection="1">
      <alignment horizontal="left"/>
    </xf>
    <xf numFmtId="39" fontId="0" fillId="0" borderId="0" xfId="0" applyBorder="1" applyAlignment="1" applyProtection="1">
      <alignment horizontal="right"/>
    </xf>
    <xf numFmtId="39" fontId="0" fillId="0" borderId="0" xfId="0" applyBorder="1" applyProtection="1"/>
    <xf numFmtId="39" fontId="0" fillId="0" borderId="0" xfId="0" applyFill="1" applyAlignment="1" applyProtection="1">
      <alignment horizontal="left" indent="1"/>
    </xf>
    <xf numFmtId="39" fontId="0" fillId="0" borderId="0" xfId="0" applyFill="1" applyBorder="1" applyAlignment="1" applyProtection="1">
      <alignment horizontal="right"/>
    </xf>
    <xf numFmtId="39" fontId="0" fillId="0" borderId="0" xfId="0" applyAlignment="1" applyProtection="1">
      <alignment horizontal="left" indent="1"/>
    </xf>
    <xf numFmtId="39" fontId="0" fillId="0" borderId="0" xfId="0" applyBorder="1" applyAlignment="1" applyProtection="1"/>
    <xf numFmtId="39" fontId="3" fillId="0" borderId="0" xfId="0" applyFont="1" applyAlignment="1" applyProtection="1">
      <alignment horizontal="left"/>
    </xf>
    <xf numFmtId="39" fontId="0" fillId="0" borderId="0" xfId="0" applyAlignment="1" applyProtection="1">
      <alignment horizontal="left" indent="2"/>
    </xf>
    <xf numFmtId="39" fontId="2" fillId="0" borderId="0" xfId="0" applyFont="1" applyAlignment="1" applyProtection="1">
      <alignment horizontal="left" indent="2"/>
    </xf>
    <xf numFmtId="39" fontId="3" fillId="0" borderId="0" xfId="0" applyFont="1" applyAlignment="1" applyProtection="1">
      <alignment horizontal="left" indent="1"/>
    </xf>
    <xf numFmtId="39" fontId="0" fillId="0" borderId="0" xfId="0" quotePrefix="1" applyProtection="1"/>
    <xf numFmtId="39" fontId="0" fillId="0" borderId="0" xfId="0" quotePrefix="1" applyAlignment="1" applyProtection="1">
      <alignment horizontal="left" indent="2"/>
    </xf>
    <xf numFmtId="39" fontId="3" fillId="0" borderId="0" xfId="0" quotePrefix="1" applyFont="1" applyProtection="1"/>
    <xf numFmtId="39" fontId="2" fillId="0" borderId="0" xfId="0" quotePrefix="1" applyFont="1" applyAlignment="1" applyProtection="1">
      <alignment horizontal="left" indent="2"/>
    </xf>
    <xf numFmtId="166" fontId="2" fillId="0" borderId="0" xfId="0" applyNumberFormat="1" applyFont="1" applyProtection="1"/>
    <xf numFmtId="39" fontId="2" fillId="0" borderId="0" xfId="0" applyFont="1" applyFill="1" applyProtection="1"/>
    <xf numFmtId="165" fontId="2" fillId="0" borderId="0" xfId="0" applyNumberFormat="1" applyFont="1" applyAlignment="1" applyProtection="1">
      <alignment horizontal="center"/>
    </xf>
    <xf numFmtId="39" fontId="2" fillId="0" borderId="0" xfId="0" applyFont="1" applyAlignment="1" applyProtection="1">
      <alignment horizontal="center" wrapText="1"/>
    </xf>
    <xf numFmtId="39" fontId="2" fillId="0" borderId="0" xfId="0" applyFont="1" applyBorder="1" applyAlignment="1" applyProtection="1">
      <alignment horizontal="center" wrapText="1"/>
    </xf>
    <xf numFmtId="39" fontId="2" fillId="0" borderId="1" xfId="0" applyFont="1" applyBorder="1" applyAlignment="1" applyProtection="1">
      <alignment horizontal="center" wrapText="1"/>
    </xf>
    <xf numFmtId="39" fontId="2" fillId="0" borderId="0" xfId="0" applyFont="1" applyBorder="1" applyProtection="1"/>
    <xf numFmtId="39" fontId="2" fillId="0" borderId="0" xfId="0" applyFont="1" applyAlignment="1" applyProtection="1">
      <alignment horizontal="center"/>
    </xf>
    <xf numFmtId="39" fontId="2" fillId="0" borderId="0" xfId="0" applyFont="1" applyFill="1" applyAlignment="1" applyProtection="1">
      <alignment horizontal="center"/>
    </xf>
    <xf numFmtId="39" fontId="2" fillId="0" borderId="0" xfId="0" applyFont="1" applyFill="1" applyBorder="1" applyProtection="1"/>
    <xf numFmtId="37" fontId="2" fillId="0" borderId="0" xfId="0" applyNumberFormat="1" applyFont="1" applyAlignment="1" applyProtection="1">
      <alignment horizontal="center"/>
    </xf>
    <xf numFmtId="0" fontId="2" fillId="0" borderId="0" xfId="0" applyNumberFormat="1" applyFont="1" applyProtection="1"/>
    <xf numFmtId="0" fontId="3" fillId="0" borderId="4" xfId="0" applyNumberFormat="1" applyFont="1" applyBorder="1" applyProtection="1"/>
    <xf numFmtId="39" fontId="2" fillId="0" borderId="5" xfId="0" applyFont="1" applyBorder="1" applyProtection="1"/>
    <xf numFmtId="39" fontId="2" fillId="0" borderId="6" xfId="0" applyFont="1" applyBorder="1" applyProtection="1"/>
    <xf numFmtId="0" fontId="3" fillId="0" borderId="7" xfId="0" applyNumberFormat="1" applyFont="1" applyBorder="1" applyProtection="1"/>
    <xf numFmtId="39" fontId="2" fillId="0" borderId="1" xfId="0" applyFont="1" applyBorder="1" applyProtection="1"/>
    <xf numFmtId="0" fontId="2" fillId="0" borderId="7" xfId="0" applyNumberFormat="1" applyFont="1" applyBorder="1" applyProtection="1"/>
    <xf numFmtId="39" fontId="2" fillId="0" borderId="0" xfId="0" applyFont="1" applyBorder="1" applyAlignment="1" applyProtection="1">
      <alignment horizontal="center"/>
    </xf>
    <xf numFmtId="39" fontId="2" fillId="0" borderId="1" xfId="0" applyFont="1" applyBorder="1" applyAlignment="1" applyProtection="1">
      <alignment horizontal="center"/>
    </xf>
    <xf numFmtId="39" fontId="2" fillId="0" borderId="7" xfId="0" applyFont="1" applyBorder="1" applyProtection="1"/>
    <xf numFmtId="39" fontId="2" fillId="0" borderId="7" xfId="0" applyFont="1" applyFill="1" applyBorder="1" applyProtection="1"/>
    <xf numFmtId="0" fontId="2" fillId="0" borderId="7" xfId="0" applyNumberFormat="1" applyFont="1" applyBorder="1" applyAlignment="1" applyProtection="1">
      <alignment horizontal="left"/>
    </xf>
    <xf numFmtId="39" fontId="2" fillId="0" borderId="0" xfId="0" quotePrefix="1" applyFont="1" applyFill="1" applyBorder="1" applyProtection="1"/>
    <xf numFmtId="39" fontId="2" fillId="0" borderId="0" xfId="0" applyFont="1" applyFill="1" applyBorder="1" applyAlignment="1" applyProtection="1">
      <alignment horizontal="right"/>
    </xf>
    <xf numFmtId="39" fontId="2" fillId="0" borderId="1" xfId="0" applyFont="1" applyFill="1" applyBorder="1" applyAlignment="1" applyProtection="1">
      <alignment horizontal="right"/>
    </xf>
    <xf numFmtId="39" fontId="2" fillId="0" borderId="8" xfId="0" applyFont="1" applyFill="1" applyBorder="1" applyProtection="1"/>
    <xf numFmtId="39" fontId="2" fillId="0" borderId="2" xfId="0" quotePrefix="1" applyFont="1" applyFill="1" applyBorder="1" applyProtection="1"/>
    <xf numFmtId="39" fontId="2" fillId="0" borderId="2" xfId="0" applyFont="1" applyBorder="1" applyProtection="1"/>
    <xf numFmtId="39" fontId="2" fillId="0" borderId="3" xfId="0" applyFont="1" applyFill="1" applyBorder="1" applyAlignment="1" applyProtection="1">
      <alignment horizontal="right"/>
    </xf>
    <xf numFmtId="39" fontId="3" fillId="0" borderId="4" xfId="0" applyFont="1" applyBorder="1" applyAlignment="1" applyProtection="1">
      <alignment horizontal="left"/>
    </xf>
    <xf numFmtId="39" fontId="2" fillId="0" borderId="5" xfId="0" applyFont="1" applyBorder="1" applyAlignment="1" applyProtection="1">
      <alignment horizontal="center" wrapText="1"/>
    </xf>
    <xf numFmtId="39" fontId="2" fillId="0" borderId="6" xfId="0" applyFont="1" applyBorder="1" applyAlignment="1" applyProtection="1">
      <alignment horizontal="center" wrapText="1"/>
    </xf>
    <xf numFmtId="39" fontId="2" fillId="0" borderId="7" xfId="0" applyFont="1" applyFill="1" applyBorder="1" applyAlignment="1" applyProtection="1">
      <alignment horizontal="left"/>
    </xf>
    <xf numFmtId="39" fontId="2" fillId="0" borderId="8" xfId="0" applyFont="1" applyBorder="1" applyProtection="1"/>
    <xf numFmtId="39" fontId="2" fillId="0" borderId="2" xfId="0" applyFont="1" applyFill="1" applyBorder="1" applyProtection="1"/>
    <xf numFmtId="43" fontId="2" fillId="0" borderId="5" xfId="18" applyNumberFormat="1" applyFont="1" applyFill="1" applyBorder="1" applyProtection="1"/>
    <xf numFmtId="43" fontId="2" fillId="0" borderId="6" xfId="0" applyNumberFormat="1" applyFont="1" applyFill="1" applyBorder="1" applyProtection="1"/>
    <xf numFmtId="39" fontId="2" fillId="0" borderId="0" xfId="0" applyFont="1" applyFill="1" applyBorder="1" applyAlignment="1" applyProtection="1">
      <alignment horizontal="left" indent="2"/>
    </xf>
    <xf numFmtId="44" fontId="2" fillId="0" borderId="9" xfId="0" applyNumberFormat="1" applyFont="1" applyFill="1" applyBorder="1" applyProtection="1"/>
    <xf numFmtId="44" fontId="2" fillId="0" borderId="10" xfId="0" applyNumberFormat="1" applyFont="1" applyFill="1" applyBorder="1" applyProtection="1"/>
    <xf numFmtId="39" fontId="2" fillId="0" borderId="3" xfId="0" applyFont="1" applyBorder="1" applyProtection="1"/>
    <xf numFmtId="39" fontId="3" fillId="0" borderId="0" xfId="0" applyFont="1" applyBorder="1" applyAlignment="1" applyProtection="1">
      <alignment horizontal="center" wrapText="1"/>
    </xf>
    <xf numFmtId="39" fontId="2" fillId="0" borderId="0" xfId="0" quotePrefix="1" applyFont="1" applyProtection="1"/>
    <xf numFmtId="39" fontId="2" fillId="0" borderId="11" xfId="0" applyFont="1" applyBorder="1" applyProtection="1"/>
    <xf numFmtId="39" fontId="2" fillId="0" borderId="12" xfId="0" applyFont="1" applyBorder="1" applyProtection="1"/>
    <xf numFmtId="39" fontId="2" fillId="0" borderId="11" xfId="0" applyFont="1" applyFill="1" applyBorder="1" applyProtection="1"/>
    <xf numFmtId="39" fontId="2" fillId="0" borderId="12" xfId="0" applyFont="1" applyFill="1" applyBorder="1" applyProtection="1"/>
    <xf numFmtId="39" fontId="2" fillId="0" borderId="13" xfId="0" applyFont="1" applyBorder="1" applyProtection="1"/>
    <xf numFmtId="39" fontId="2" fillId="0" borderId="0" xfId="0" quotePrefix="1" applyFont="1" applyFill="1" applyProtection="1"/>
    <xf numFmtId="39" fontId="2" fillId="0" borderId="13" xfId="0" applyFont="1" applyFill="1" applyBorder="1" applyProtection="1"/>
    <xf numFmtId="43" fontId="2" fillId="0" borderId="0" xfId="0" applyNumberFormat="1" applyFont="1" applyProtection="1"/>
    <xf numFmtId="39" fontId="8" fillId="0" borderId="0" xfId="0" applyFont="1" applyProtection="1"/>
    <xf numFmtId="165" fontId="0" fillId="0" borderId="0" xfId="0" applyNumberFormat="1" applyProtection="1"/>
    <xf numFmtId="39" fontId="0" fillId="0" borderId="14" xfId="0" applyBorder="1" applyAlignment="1" applyProtection="1">
      <alignment horizontal="right"/>
    </xf>
    <xf numFmtId="39" fontId="0" fillId="0" borderId="15" xfId="0" applyBorder="1" applyAlignment="1" applyProtection="1">
      <alignment horizontal="right"/>
    </xf>
    <xf numFmtId="39" fontId="0" fillId="0" borderId="16" xfId="0" applyBorder="1" applyAlignment="1" applyProtection="1">
      <alignment horizontal="right"/>
    </xf>
    <xf numFmtId="39" fontId="0" fillId="0" borderId="17" xfId="0" applyBorder="1" applyAlignment="1" applyProtection="1">
      <alignment horizontal="right"/>
    </xf>
    <xf numFmtId="39" fontId="0" fillId="0" borderId="18" xfId="0" applyBorder="1" applyAlignment="1" applyProtection="1">
      <alignment horizontal="right"/>
    </xf>
    <xf numFmtId="39" fontId="0" fillId="0" borderId="18" xfId="0" applyBorder="1" applyProtection="1"/>
    <xf numFmtId="39" fontId="0" fillId="0" borderId="17" xfId="0" applyFill="1" applyBorder="1" applyAlignment="1" applyProtection="1">
      <alignment horizontal="right"/>
    </xf>
    <xf numFmtId="39" fontId="0" fillId="0" borderId="18" xfId="0" applyFill="1" applyBorder="1" applyAlignment="1" applyProtection="1">
      <alignment horizontal="right"/>
    </xf>
    <xf numFmtId="39" fontId="0" fillId="0" borderId="17" xfId="0" applyBorder="1" applyAlignment="1" applyProtection="1"/>
    <xf numFmtId="39" fontId="0" fillId="0" borderId="18" xfId="0" applyBorder="1" applyAlignment="1" applyProtection="1"/>
    <xf numFmtId="39" fontId="0" fillId="0" borderId="19" xfId="0" applyBorder="1" applyAlignment="1" applyProtection="1">
      <alignment horizontal="right"/>
    </xf>
    <xf numFmtId="39" fontId="0" fillId="0" borderId="20" xfId="0" applyBorder="1" applyAlignment="1" applyProtection="1">
      <alignment horizontal="right"/>
    </xf>
    <xf numFmtId="39" fontId="0" fillId="0" borderId="21" xfId="0" applyBorder="1" applyAlignment="1" applyProtection="1">
      <alignment horizontal="right"/>
    </xf>
    <xf numFmtId="39" fontId="0" fillId="0" borderId="0" xfId="0" applyFill="1" applyAlignment="1" applyProtection="1">
      <alignment horizontal="center"/>
    </xf>
    <xf numFmtId="39" fontId="3" fillId="0" borderId="0" xfId="0" applyFont="1" applyFill="1" applyAlignment="1" applyProtection="1">
      <alignment horizontal="center"/>
    </xf>
    <xf numFmtId="39" fontId="3" fillId="0" borderId="0" xfId="0" applyFont="1" applyFill="1" applyProtection="1"/>
    <xf numFmtId="39" fontId="0" fillId="0" borderId="0" xfId="0" applyFill="1" applyProtection="1">
      <protection locked="0"/>
    </xf>
    <xf numFmtId="165" fontId="0" fillId="0" borderId="0" xfId="0" applyNumberFormat="1"/>
    <xf numFmtId="167" fontId="2" fillId="0" borderId="0" xfId="0" applyNumberFormat="1" applyFont="1" applyFill="1"/>
    <xf numFmtId="167" fontId="0" fillId="0" borderId="0" xfId="0" applyNumberFormat="1" applyFill="1" applyProtection="1"/>
    <xf numFmtId="39" fontId="2" fillId="0" borderId="0" xfId="0" quotePrefix="1" applyFont="1"/>
    <xf numFmtId="39" fontId="0" fillId="0" borderId="0" xfId="0" applyAlignment="1"/>
    <xf numFmtId="167" fontId="0" fillId="0" borderId="0" xfId="0" applyNumberFormat="1" applyFill="1"/>
    <xf numFmtId="43" fontId="2" fillId="0" borderId="0" xfId="0" applyNumberFormat="1" applyFont="1" applyFill="1" applyAlignment="1">
      <alignment horizontal="right"/>
    </xf>
    <xf numFmtId="43" fontId="0" fillId="0" borderId="0" xfId="0" applyNumberFormat="1" applyFill="1" applyAlignment="1">
      <alignment horizontal="center" wrapText="1"/>
    </xf>
    <xf numFmtId="164" fontId="3" fillId="0" borderId="0" xfId="0" applyNumberFormat="1" applyFont="1" applyFill="1" applyAlignment="1">
      <alignment horizontal="center" wrapText="1"/>
    </xf>
    <xf numFmtId="43" fontId="2" fillId="0" borderId="0" xfId="0" quotePrefix="1" applyNumberFormat="1" applyFont="1" applyAlignment="1">
      <alignment horizontal="center" wrapText="1"/>
    </xf>
    <xf numFmtId="43" fontId="2" fillId="0" borderId="0" xfId="0" quotePrefix="1" applyNumberFormat="1" applyFont="1" applyFill="1" applyAlignment="1">
      <alignment horizontal="center" wrapText="1"/>
    </xf>
    <xf numFmtId="43" fontId="2" fillId="0" borderId="22" xfId="0" applyNumberFormat="1" applyFont="1" applyFill="1" applyBorder="1"/>
    <xf numFmtId="43" fontId="2" fillId="0" borderId="22" xfId="0" applyNumberFormat="1" applyFont="1" applyFill="1" applyBorder="1" applyAlignment="1">
      <alignment horizontal="center" wrapText="1"/>
    </xf>
    <xf numFmtId="165" fontId="2" fillId="0" borderId="0" xfId="0" applyNumberFormat="1" applyFont="1" applyFill="1" applyAlignment="1">
      <alignment horizontal="center" wrapText="1"/>
    </xf>
    <xf numFmtId="39" fontId="0" fillId="0" borderId="0" xfId="0" applyAlignment="1">
      <alignment horizontal="left"/>
    </xf>
    <xf numFmtId="39" fontId="0" fillId="0" borderId="0" xfId="0" applyAlignment="1" applyProtection="1">
      <alignment horizontal="center" wrapText="1"/>
    </xf>
    <xf numFmtId="168" fontId="2" fillId="0" borderId="0" xfId="0" quotePrefix="1" applyNumberFormat="1" applyFont="1" applyAlignment="1" applyProtection="1">
      <alignment horizontal="center"/>
    </xf>
    <xf numFmtId="49" fontId="0" fillId="0" borderId="0" xfId="0" quotePrefix="1" applyNumberFormat="1"/>
    <xf numFmtId="43" fontId="0" fillId="0" borderId="0" xfId="0" applyNumberFormat="1" applyFill="1" applyAlignment="1">
      <alignment horizontal="center"/>
    </xf>
    <xf numFmtId="165" fontId="0" fillId="0" borderId="0" xfId="0" applyNumberFormat="1" applyFill="1"/>
    <xf numFmtId="43" fontId="2" fillId="0" borderId="23" xfId="0" applyNumberFormat="1" applyFont="1" applyFill="1" applyBorder="1"/>
    <xf numFmtId="43" fontId="0" fillId="0" borderId="0" xfId="0" applyNumberFormat="1" applyAlignment="1">
      <alignment horizontal="center" wrapText="1"/>
    </xf>
    <xf numFmtId="39" fontId="0" fillId="0" borderId="0" xfId="0" quotePrefix="1"/>
    <xf numFmtId="39" fontId="0" fillId="0" borderId="0" xfId="0" applyNumberFormat="1"/>
    <xf numFmtId="43" fontId="0" fillId="0" borderId="0" xfId="0" applyNumberFormat="1" applyFont="1" applyFill="1"/>
    <xf numFmtId="43" fontId="0" fillId="0" borderId="0" xfId="0" applyNumberFormat="1" applyFont="1" applyFill="1" applyBorder="1"/>
    <xf numFmtId="43" fontId="0" fillId="0" borderId="0" xfId="0" applyNumberFormat="1" applyFont="1" applyFill="1" applyAlignment="1">
      <alignment horizontal="center" wrapText="1"/>
    </xf>
    <xf numFmtId="165" fontId="0" fillId="0" borderId="0" xfId="0" applyNumberFormat="1" applyFont="1" applyFill="1"/>
    <xf numFmtId="39" fontId="14" fillId="8" borderId="0" xfId="37" applyNumberFormat="1" applyFill="1"/>
    <xf numFmtId="43" fontId="14" fillId="8" borderId="0" xfId="8" applyFont="1" applyFill="1"/>
    <xf numFmtId="39" fontId="14" fillId="8" borderId="0" xfId="37" applyNumberFormat="1" applyFill="1"/>
    <xf numFmtId="167" fontId="2" fillId="8" borderId="0" xfId="0" applyNumberFormat="1" applyFont="1" applyFill="1"/>
    <xf numFmtId="43" fontId="2" fillId="8" borderId="0" xfId="0" applyNumberFormat="1" applyFont="1" applyFill="1"/>
    <xf numFmtId="43" fontId="0" fillId="8" borderId="0" xfId="0" applyNumberFormat="1" applyFont="1" applyFill="1" applyAlignment="1">
      <alignment horizontal="center" wrapText="1"/>
    </xf>
    <xf numFmtId="39" fontId="0" fillId="0" borderId="0" xfId="0" applyAlignment="1">
      <alignment vertical="top" wrapText="1"/>
    </xf>
    <xf numFmtId="39" fontId="0" fillId="0" borderId="0" xfId="0" applyAlignment="1">
      <alignment wrapText="1"/>
    </xf>
    <xf numFmtId="39" fontId="2" fillId="0" borderId="0" xfId="0" applyFont="1" applyAlignment="1">
      <alignment wrapText="1"/>
    </xf>
    <xf numFmtId="39" fontId="2" fillId="0" borderId="0" xfId="0" applyFont="1" applyAlignment="1">
      <alignment vertical="top" wrapText="1"/>
    </xf>
    <xf numFmtId="39" fontId="0" fillId="0" borderId="0" xfId="0" applyAlignment="1">
      <alignment horizontal="left" vertical="top" wrapText="1"/>
    </xf>
    <xf numFmtId="39" fontId="0" fillId="0" borderId="0" xfId="0" applyFill="1" applyAlignment="1">
      <alignment vertical="top" wrapText="1"/>
    </xf>
    <xf numFmtId="43" fontId="2" fillId="0" borderId="0" xfId="0" applyNumberFormat="1" applyFont="1" applyFill="1" applyAlignment="1">
      <alignment horizontal="center"/>
    </xf>
    <xf numFmtId="43" fontId="0" fillId="0" borderId="0" xfId="0" applyNumberFormat="1" applyFill="1" applyAlignment="1">
      <alignment horizontal="center"/>
    </xf>
    <xf numFmtId="43" fontId="2" fillId="0" borderId="0" xfId="0" applyNumberFormat="1" applyFont="1" applyAlignment="1">
      <alignment horizontal="center"/>
    </xf>
    <xf numFmtId="39" fontId="0" fillId="0" borderId="0" xfId="0" applyAlignment="1"/>
    <xf numFmtId="43" fontId="0" fillId="0" borderId="0" xfId="0" applyNumberFormat="1" applyFill="1" applyAlignment="1">
      <alignment horizontal="center" wrapText="1"/>
    </xf>
    <xf numFmtId="39" fontId="0" fillId="0" borderId="0" xfId="0" applyAlignment="1">
      <alignment horizontal="center" wrapText="1"/>
    </xf>
    <xf numFmtId="43" fontId="3" fillId="0" borderId="0" xfId="0" applyNumberFormat="1" applyFont="1" applyFill="1" applyAlignment="1">
      <alignment horizontal="center" wrapText="1"/>
    </xf>
    <xf numFmtId="43" fontId="3" fillId="0" borderId="0" xfId="0" applyNumberFormat="1" applyFont="1" applyAlignment="1">
      <alignment horizontal="center" wrapText="1"/>
    </xf>
  </cellXfs>
  <cellStyles count="38">
    <cellStyle name="Comma" xfId="1" builtinId="3"/>
    <cellStyle name="Comma [2]" xfId="2"/>
    <cellStyle name="Comma 10" xfId="3"/>
    <cellStyle name="Comma 11" xfId="4"/>
    <cellStyle name="Comma 12" xfId="5"/>
    <cellStyle name="Comma 13" xfId="6"/>
    <cellStyle name="Comma 14" xfId="7"/>
    <cellStyle name="Comma 15" xfId="8"/>
    <cellStyle name="Comma 16" xfId="9"/>
    <cellStyle name="Comma 2" xfId="10"/>
    <cellStyle name="Comma 3" xfId="11"/>
    <cellStyle name="Comma 4" xfId="12"/>
    <cellStyle name="Comma 5" xfId="13"/>
    <cellStyle name="Comma 6" xfId="14"/>
    <cellStyle name="Comma 7" xfId="15"/>
    <cellStyle name="Comma 8" xfId="16"/>
    <cellStyle name="Comma 9" xfId="17"/>
    <cellStyle name="Currency" xfId="18" builtinId="4"/>
    <cellStyle name="Currency [2]" xfId="19"/>
    <cellStyle name="Currency 10" xfId="20"/>
    <cellStyle name="Currency 11" xfId="21"/>
    <cellStyle name="Currency 12" xfId="22"/>
    <cellStyle name="Currency 13" xfId="23"/>
    <cellStyle name="Currency 14" xfId="24"/>
    <cellStyle name="Currency 2" xfId="25"/>
    <cellStyle name="Currency 3" xfId="26"/>
    <cellStyle name="Currency 4" xfId="27"/>
    <cellStyle name="Currency 5" xfId="28"/>
    <cellStyle name="Currency 6" xfId="29"/>
    <cellStyle name="Currency 7" xfId="30"/>
    <cellStyle name="Currency 8" xfId="31"/>
    <cellStyle name="Currency 9" xfId="32"/>
    <cellStyle name="Normal" xfId="0" builtinId="0"/>
    <cellStyle name="Normal 2" xfId="33"/>
    <cellStyle name="Normal 3" xfId="34"/>
    <cellStyle name="Normal 4" xfId="35"/>
    <cellStyle name="Normal 5" xfId="36"/>
    <cellStyle name="Normal 6" xfId="3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de2kfs01\Finance\Colleen's%20files\Tax%20Shift\Shift%2010-11\2010-11TaxShift06_30_1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de2kfs01\groups\Finance\Colleen's%20files\Tax%20Shift\Shift%2010-11\Final%20Tax%20shift\Copy%20of%20pay%2011%20tax%20shift_Karen%20Credi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Report"/>
      <sheetName val="Funds"/>
      <sheetName val="Accounts"/>
      <sheetName val="Entries"/>
      <sheetName val="Aid Adjust"/>
      <sheetName val="Shift11"/>
      <sheetName val="Data"/>
      <sheetName val="Shift10"/>
      <sheetName val="Levy"/>
      <sheetName val="Receipts"/>
      <sheetName val="Ideas"/>
      <sheetName val="Query1"/>
      <sheetName val="Query4"/>
    </sheetNames>
    <sheetDataSet>
      <sheetData sheetId="0"/>
      <sheetData sheetId="1"/>
      <sheetData sheetId="2"/>
      <sheetData sheetId="3"/>
      <sheetData sheetId="4"/>
      <sheetData sheetId="5">
        <row r="8">
          <cell r="H8">
            <v>-373981.77999999997</v>
          </cell>
        </row>
        <row r="9">
          <cell r="H9">
            <v>-37852840.920000002</v>
          </cell>
        </row>
        <row r="10">
          <cell r="H10">
            <v>-52024.43</v>
          </cell>
        </row>
        <row r="11">
          <cell r="H11">
            <v>-187411.15000000002</v>
          </cell>
        </row>
        <row r="12">
          <cell r="H12">
            <v>-2563615.27</v>
          </cell>
        </row>
        <row r="13">
          <cell r="H13">
            <v>-33893824.719999999</v>
          </cell>
        </row>
        <row r="14">
          <cell r="H14">
            <v>-3489963.0999999996</v>
          </cell>
        </row>
        <row r="15">
          <cell r="H15">
            <v>-1775386.26</v>
          </cell>
        </row>
        <row r="16">
          <cell r="H16">
            <v>-2308427.33</v>
          </cell>
        </row>
        <row r="17">
          <cell r="H17">
            <v>-2260273.9899999998</v>
          </cell>
        </row>
        <row r="18">
          <cell r="H18">
            <v>-3488336.66</v>
          </cell>
        </row>
        <row r="19">
          <cell r="H19">
            <v>-1277223.6100000001</v>
          </cell>
        </row>
        <row r="20">
          <cell r="H20">
            <v>-672393.4</v>
          </cell>
        </row>
        <row r="21">
          <cell r="H21">
            <v>0</v>
          </cell>
        </row>
        <row r="22">
          <cell r="H22">
            <v>-1957376.3299999998</v>
          </cell>
        </row>
        <row r="23">
          <cell r="H23">
            <v>-145910.34</v>
          </cell>
        </row>
        <row r="24">
          <cell r="H24">
            <v>-20217.5</v>
          </cell>
        </row>
        <row r="25">
          <cell r="H25">
            <v>-2484.0699999999997</v>
          </cell>
        </row>
        <row r="26">
          <cell r="H26">
            <v>-702747.59000000008</v>
          </cell>
        </row>
        <row r="27">
          <cell r="H27">
            <v>-359542</v>
          </cell>
        </row>
        <row r="28">
          <cell r="H28">
            <v>-184244.31999999998</v>
          </cell>
        </row>
        <row r="29">
          <cell r="H29">
            <v>-4311301.91</v>
          </cell>
        </row>
        <row r="30">
          <cell r="H30">
            <v>-82849.84</v>
          </cell>
        </row>
        <row r="31">
          <cell r="H31">
            <v>-165126.29999999999</v>
          </cell>
        </row>
        <row r="32">
          <cell r="H32">
            <v>-190736.97</v>
          </cell>
        </row>
        <row r="33">
          <cell r="H33">
            <v>-1381017.2200000002</v>
          </cell>
        </row>
        <row r="34">
          <cell r="H34">
            <v>-159368.19999999998</v>
          </cell>
        </row>
        <row r="35">
          <cell r="H35">
            <v>-440242.49</v>
          </cell>
        </row>
        <row r="36">
          <cell r="H36">
            <v>-389736.39</v>
          </cell>
        </row>
        <row r="37">
          <cell r="H37">
            <v>-57511.32</v>
          </cell>
        </row>
        <row r="38">
          <cell r="H38">
            <v>-225098.47000000003</v>
          </cell>
        </row>
        <row r="39">
          <cell r="H39">
            <v>-214675.13</v>
          </cell>
        </row>
        <row r="40">
          <cell r="H40">
            <v>-151414.37000000002</v>
          </cell>
        </row>
        <row r="41">
          <cell r="H41">
            <v>-624841.23</v>
          </cell>
        </row>
        <row r="42">
          <cell r="H42">
            <v>-2161977.0699999998</v>
          </cell>
        </row>
        <row r="43">
          <cell r="H43">
            <v>-653432.79999999993</v>
          </cell>
        </row>
        <row r="44">
          <cell r="H44">
            <v>-6968834.3099999996</v>
          </cell>
        </row>
        <row r="45">
          <cell r="H45">
            <v>-304943.85000000003</v>
          </cell>
        </row>
        <row r="46">
          <cell r="H46">
            <v>-220067.75</v>
          </cell>
        </row>
        <row r="47">
          <cell r="H47">
            <v>-352466.84</v>
          </cell>
        </row>
        <row r="48">
          <cell r="H48">
            <v>-205963.53999999998</v>
          </cell>
        </row>
        <row r="49">
          <cell r="H49">
            <v>-299404.15999999997</v>
          </cell>
        </row>
        <row r="50">
          <cell r="H50">
            <v>-749806.34</v>
          </cell>
        </row>
        <row r="51">
          <cell r="H51">
            <v>-261586.78</v>
          </cell>
        </row>
        <row r="52">
          <cell r="H52">
            <v>-373074.68999999994</v>
          </cell>
        </row>
        <row r="53">
          <cell r="H53">
            <v>-203363.8</v>
          </cell>
        </row>
        <row r="54">
          <cell r="H54">
            <v>-2798753.7100000004</v>
          </cell>
        </row>
        <row r="55">
          <cell r="H55">
            <v>-209853.94</v>
          </cell>
        </row>
        <row r="56">
          <cell r="H56">
            <v>-188070.43000000002</v>
          </cell>
        </row>
        <row r="57">
          <cell r="H57">
            <v>-254280.94</v>
          </cell>
        </row>
        <row r="58">
          <cell r="H58">
            <v>-604528.72</v>
          </cell>
        </row>
        <row r="59">
          <cell r="H59">
            <v>-2674263.08</v>
          </cell>
        </row>
        <row r="60">
          <cell r="H60">
            <v>-538258.03</v>
          </cell>
        </row>
        <row r="61">
          <cell r="H61">
            <v>-641690.72000000009</v>
          </cell>
        </row>
        <row r="62">
          <cell r="H62">
            <v>-8472214.5800000001</v>
          </cell>
        </row>
        <row r="63">
          <cell r="H63">
            <v>-2545576.2699999996</v>
          </cell>
        </row>
        <row r="64">
          <cell r="H64">
            <v>-5799176.9000000004</v>
          </cell>
        </row>
        <row r="65">
          <cell r="H65">
            <v>-131569.32999999999</v>
          </cell>
        </row>
        <row r="66">
          <cell r="H66">
            <v>-24865874.300000001</v>
          </cell>
        </row>
        <row r="67">
          <cell r="H67">
            <v>-3103522.6399999997</v>
          </cell>
        </row>
        <row r="68">
          <cell r="H68">
            <v>-2458222.71</v>
          </cell>
        </row>
        <row r="69">
          <cell r="H69">
            <v>-4518221.1399999997</v>
          </cell>
        </row>
        <row r="70">
          <cell r="H70">
            <v>-374918.38</v>
          </cell>
        </row>
        <row r="71">
          <cell r="H71">
            <v>-476972.87</v>
          </cell>
        </row>
        <row r="72">
          <cell r="H72">
            <v>-1634980.57</v>
          </cell>
        </row>
        <row r="73">
          <cell r="H73">
            <v>-189397.74999999997</v>
          </cell>
        </row>
        <row r="74">
          <cell r="H74">
            <v>-194715.36</v>
          </cell>
        </row>
        <row r="75">
          <cell r="H75">
            <v>-176676.91</v>
          </cell>
        </row>
        <row r="76">
          <cell r="H76">
            <v>-256656.41999999998</v>
          </cell>
        </row>
        <row r="77">
          <cell r="H77">
            <v>-99003.95</v>
          </cell>
        </row>
        <row r="78">
          <cell r="H78">
            <v>-150579.47</v>
          </cell>
        </row>
        <row r="79">
          <cell r="H79">
            <v>-374301.51999999996</v>
          </cell>
        </row>
        <row r="80">
          <cell r="H80">
            <v>-2124943.6999999997</v>
          </cell>
        </row>
        <row r="81">
          <cell r="H81">
            <v>-81381.440000000002</v>
          </cell>
        </row>
        <row r="82">
          <cell r="H82">
            <v>-574935.57999999996</v>
          </cell>
        </row>
        <row r="83">
          <cell r="H83">
            <v>-126171.01999999999</v>
          </cell>
        </row>
        <row r="84">
          <cell r="H84">
            <v>-590590.92000000004</v>
          </cell>
        </row>
        <row r="85">
          <cell r="H85">
            <v>-2057922.1400000001</v>
          </cell>
        </row>
        <row r="86">
          <cell r="H86">
            <v>-173701.56</v>
          </cell>
        </row>
        <row r="87">
          <cell r="H87">
            <v>-7939.71</v>
          </cell>
        </row>
        <row r="88">
          <cell r="H88">
            <v>-8716961.9700000007</v>
          </cell>
        </row>
        <row r="89">
          <cell r="H89">
            <v>-11598516.630000001</v>
          </cell>
        </row>
        <row r="90">
          <cell r="H90">
            <v>-9787480.8600000013</v>
          </cell>
        </row>
        <row r="91">
          <cell r="H91">
            <v>-8025546.1999999993</v>
          </cell>
        </row>
        <row r="92">
          <cell r="H92">
            <v>-9373143.4099999983</v>
          </cell>
        </row>
        <row r="93">
          <cell r="H93">
            <v>-2501974.4399999995</v>
          </cell>
        </row>
        <row r="94">
          <cell r="H94">
            <v>-2514189.3099999996</v>
          </cell>
        </row>
        <row r="95">
          <cell r="H95">
            <v>-19738496.490000002</v>
          </cell>
        </row>
        <row r="96">
          <cell r="H96">
            <v>-3961383.7</v>
          </cell>
        </row>
        <row r="97">
          <cell r="H97">
            <v>-13372077.859999999</v>
          </cell>
        </row>
        <row r="98">
          <cell r="H98">
            <v>-1409512.49</v>
          </cell>
        </row>
        <row r="99">
          <cell r="H99">
            <v>-4457907.8</v>
          </cell>
        </row>
        <row r="100">
          <cell r="H100">
            <v>-13442319.439999999</v>
          </cell>
        </row>
        <row r="101">
          <cell r="H101">
            <v>-567621.77</v>
          </cell>
        </row>
        <row r="102">
          <cell r="H102">
            <v>-258516.77000000002</v>
          </cell>
        </row>
        <row r="103">
          <cell r="H103">
            <v>-194542.71</v>
          </cell>
        </row>
        <row r="104">
          <cell r="H104">
            <v>-369273.07</v>
          </cell>
        </row>
        <row r="105">
          <cell r="H105">
            <v>-622887.16</v>
          </cell>
        </row>
        <row r="106">
          <cell r="H106">
            <v>-86032.5</v>
          </cell>
        </row>
        <row r="107">
          <cell r="H107">
            <v>-156534.54</v>
          </cell>
        </row>
        <row r="108">
          <cell r="H108">
            <v>-765525.96</v>
          </cell>
        </row>
        <row r="109">
          <cell r="H109">
            <v>-292845.31</v>
          </cell>
        </row>
        <row r="110">
          <cell r="H110">
            <v>-108928.85</v>
          </cell>
        </row>
        <row r="111">
          <cell r="H111">
            <v>-51162.67</v>
          </cell>
        </row>
        <row r="112">
          <cell r="H112">
            <v>-1021708.7</v>
          </cell>
        </row>
        <row r="113">
          <cell r="H113">
            <v>-289082.03000000003</v>
          </cell>
        </row>
        <row r="114">
          <cell r="H114">
            <v>-27198.85</v>
          </cell>
        </row>
        <row r="115">
          <cell r="H115">
            <v>-218627.99000000002</v>
          </cell>
        </row>
        <row r="116">
          <cell r="H116">
            <v>-475549.4</v>
          </cell>
        </row>
        <row r="117">
          <cell r="H117">
            <v>-117198.09999999999</v>
          </cell>
        </row>
        <row r="118">
          <cell r="H118">
            <v>-763234.02</v>
          </cell>
        </row>
        <row r="119">
          <cell r="H119">
            <v>-1771282.0599999996</v>
          </cell>
        </row>
        <row r="120">
          <cell r="H120">
            <v>-47199.169999999991</v>
          </cell>
        </row>
        <row r="121">
          <cell r="H121">
            <v>-746147.31</v>
          </cell>
        </row>
        <row r="122">
          <cell r="H122">
            <v>-75249.969999999987</v>
          </cell>
        </row>
        <row r="123">
          <cell r="H123">
            <v>-43974.7</v>
          </cell>
        </row>
        <row r="124">
          <cell r="H124">
            <v>-228749.18</v>
          </cell>
        </row>
        <row r="125">
          <cell r="H125">
            <v>-147512.54</v>
          </cell>
        </row>
        <row r="126">
          <cell r="H126">
            <v>-359037.46</v>
          </cell>
        </row>
        <row r="127">
          <cell r="H127">
            <v>-317718.68</v>
          </cell>
        </row>
        <row r="128">
          <cell r="H128">
            <v>-355498.02999999997</v>
          </cell>
        </row>
        <row r="129">
          <cell r="H129">
            <v>-576162.72</v>
          </cell>
        </row>
        <row r="130">
          <cell r="H130">
            <v>-107362.25000000001</v>
          </cell>
        </row>
        <row r="131">
          <cell r="H131">
            <v>-176734.33000000002</v>
          </cell>
        </row>
        <row r="132">
          <cell r="H132">
            <v>-104292.25</v>
          </cell>
        </row>
        <row r="133">
          <cell r="H133">
            <v>-1092384.27</v>
          </cell>
        </row>
        <row r="134">
          <cell r="H134">
            <v>-213408.51</v>
          </cell>
        </row>
        <row r="135">
          <cell r="H135">
            <v>-131055.19</v>
          </cell>
        </row>
        <row r="136">
          <cell r="H136">
            <v>-1657169.97</v>
          </cell>
        </row>
        <row r="137">
          <cell r="H137">
            <v>-275309.05</v>
          </cell>
        </row>
        <row r="138">
          <cell r="H138">
            <v>-59712.45</v>
          </cell>
        </row>
        <row r="139">
          <cell r="H139">
            <v>-90206.819999999992</v>
          </cell>
        </row>
        <row r="140">
          <cell r="H140">
            <v>-175294.37</v>
          </cell>
        </row>
        <row r="141">
          <cell r="H141">
            <v>-24061.53</v>
          </cell>
        </row>
        <row r="142">
          <cell r="H142">
            <v>-128260.84</v>
          </cell>
        </row>
        <row r="143">
          <cell r="H143">
            <v>-299243.87</v>
          </cell>
        </row>
        <row r="144">
          <cell r="H144">
            <v>-892241.2300000001</v>
          </cell>
        </row>
        <row r="145">
          <cell r="H145">
            <v>-615731.94000000006</v>
          </cell>
        </row>
        <row r="146">
          <cell r="H146">
            <v>-144337.22</v>
          </cell>
        </row>
        <row r="147">
          <cell r="H147">
            <v>-1113106.8199999998</v>
          </cell>
        </row>
        <row r="148">
          <cell r="H148">
            <v>-488956.99000000005</v>
          </cell>
        </row>
        <row r="149">
          <cell r="H149">
            <v>-1179933.4400000002</v>
          </cell>
        </row>
        <row r="150">
          <cell r="H150">
            <v>-322173.77</v>
          </cell>
        </row>
        <row r="151">
          <cell r="H151">
            <v>-128043.13</v>
          </cell>
        </row>
        <row r="152">
          <cell r="H152">
            <v>-128769.73</v>
          </cell>
        </row>
        <row r="153">
          <cell r="H153">
            <v>-32807.950000000004</v>
          </cell>
        </row>
        <row r="154">
          <cell r="H154">
            <v>-1319969.2200000002</v>
          </cell>
        </row>
        <row r="155">
          <cell r="H155">
            <v>-185359.19</v>
          </cell>
        </row>
        <row r="156">
          <cell r="H156">
            <v>-37092.61</v>
          </cell>
        </row>
        <row r="157">
          <cell r="H157">
            <v>-226868.01</v>
          </cell>
        </row>
        <row r="158">
          <cell r="H158">
            <v>-371674.88</v>
          </cell>
        </row>
        <row r="159">
          <cell r="H159">
            <v>-246184.92</v>
          </cell>
        </row>
        <row r="160">
          <cell r="H160">
            <v>-104637.5</v>
          </cell>
        </row>
        <row r="161">
          <cell r="H161">
            <v>-1046083.53</v>
          </cell>
        </row>
        <row r="162">
          <cell r="H162">
            <v>-250578.76</v>
          </cell>
        </row>
        <row r="163">
          <cell r="H163">
            <v>-113955.59</v>
          </cell>
        </row>
        <row r="164">
          <cell r="H164">
            <v>-44789.82</v>
          </cell>
        </row>
        <row r="165">
          <cell r="H165">
            <v>-35049.979999999996</v>
          </cell>
        </row>
        <row r="166">
          <cell r="H166">
            <v>-976322.66</v>
          </cell>
        </row>
        <row r="167">
          <cell r="H167">
            <v>-314899.8</v>
          </cell>
        </row>
        <row r="168">
          <cell r="H168">
            <v>-214057.3</v>
          </cell>
        </row>
        <row r="169">
          <cell r="H169">
            <v>-899299.73</v>
          </cell>
        </row>
        <row r="170">
          <cell r="H170">
            <v>-11341495.410000002</v>
          </cell>
        </row>
        <row r="171">
          <cell r="H171">
            <v>-186172.51</v>
          </cell>
        </row>
        <row r="172">
          <cell r="H172">
            <v>-1209005.49</v>
          </cell>
        </row>
        <row r="173">
          <cell r="H173">
            <v>-290109.03999999998</v>
          </cell>
        </row>
        <row r="174">
          <cell r="H174">
            <v>-321458.88</v>
          </cell>
        </row>
        <row r="175">
          <cell r="H175">
            <v>-273006.21000000002</v>
          </cell>
        </row>
        <row r="176">
          <cell r="H176">
            <v>-486622.5</v>
          </cell>
        </row>
        <row r="177">
          <cell r="H177">
            <v>-61186.68</v>
          </cell>
        </row>
        <row r="178">
          <cell r="H178">
            <v>-121627.56</v>
          </cell>
        </row>
        <row r="179">
          <cell r="H179">
            <v>-63544.53</v>
          </cell>
        </row>
        <row r="180">
          <cell r="H180">
            <v>-795920.04</v>
          </cell>
        </row>
        <row r="181">
          <cell r="H181">
            <v>-137547.07</v>
          </cell>
        </row>
        <row r="182">
          <cell r="H182">
            <v>-927901.36</v>
          </cell>
        </row>
        <row r="183">
          <cell r="H183">
            <v>-152135.11000000002</v>
          </cell>
        </row>
        <row r="184">
          <cell r="H184">
            <v>-39513.050000000003</v>
          </cell>
        </row>
        <row r="185">
          <cell r="H185">
            <v>-550168.18000000005</v>
          </cell>
        </row>
        <row r="186">
          <cell r="H186">
            <v>-639221.41</v>
          </cell>
        </row>
        <row r="187">
          <cell r="H187">
            <v>-297064</v>
          </cell>
        </row>
        <row r="188">
          <cell r="H188">
            <v>-56285.86</v>
          </cell>
        </row>
        <row r="189">
          <cell r="H189">
            <v>-236661.69</v>
          </cell>
        </row>
        <row r="190">
          <cell r="H190">
            <v>-14192.89</v>
          </cell>
        </row>
        <row r="191">
          <cell r="H191">
            <v>-10118286.080000002</v>
          </cell>
        </row>
        <row r="192">
          <cell r="H192">
            <v>-6986548.54</v>
          </cell>
        </row>
        <row r="193">
          <cell r="H193">
            <v>-5254352.55</v>
          </cell>
        </row>
        <row r="194">
          <cell r="H194">
            <v>-9145439.6199999992</v>
          </cell>
        </row>
        <row r="195">
          <cell r="H195">
            <v>-26494471.699999999</v>
          </cell>
        </row>
        <row r="196">
          <cell r="H196">
            <v>-66179.38</v>
          </cell>
        </row>
        <row r="197">
          <cell r="H197">
            <v>-96336.34</v>
          </cell>
        </row>
        <row r="198">
          <cell r="H198">
            <v>-183555.19</v>
          </cell>
        </row>
        <row r="199">
          <cell r="H199">
            <v>-43279.21</v>
          </cell>
        </row>
        <row r="200">
          <cell r="H200">
            <v>-204311.74999999997</v>
          </cell>
        </row>
        <row r="201">
          <cell r="H201">
            <v>-1542466.17</v>
          </cell>
        </row>
        <row r="202">
          <cell r="H202">
            <v>-3723447.7</v>
          </cell>
        </row>
        <row r="203">
          <cell r="H203">
            <v>-105658.94</v>
          </cell>
        </row>
        <row r="204">
          <cell r="H204">
            <v>-45795.01</v>
          </cell>
        </row>
        <row r="205">
          <cell r="H205">
            <v>-325668.75999999995</v>
          </cell>
        </row>
        <row r="206">
          <cell r="H206">
            <v>-375295.57999999996</v>
          </cell>
        </row>
        <row r="207">
          <cell r="H207">
            <v>-161226.49</v>
          </cell>
        </row>
        <row r="208">
          <cell r="H208">
            <v>-424243.62</v>
          </cell>
        </row>
        <row r="209">
          <cell r="H209">
            <v>-89031.37</v>
          </cell>
        </row>
        <row r="210">
          <cell r="H210">
            <v>-642879.21</v>
          </cell>
        </row>
        <row r="211">
          <cell r="H211">
            <v>-503988.43</v>
          </cell>
        </row>
        <row r="212">
          <cell r="H212">
            <v>-575275.32999999996</v>
          </cell>
        </row>
        <row r="213">
          <cell r="H213">
            <v>-358122.63</v>
          </cell>
        </row>
        <row r="214">
          <cell r="H214">
            <v>-14874.43</v>
          </cell>
        </row>
        <row r="215">
          <cell r="H215">
            <v>-3914193.95</v>
          </cell>
        </row>
        <row r="216">
          <cell r="H216">
            <v>-117731.77</v>
          </cell>
        </row>
        <row r="217">
          <cell r="H217">
            <v>-527514.22</v>
          </cell>
        </row>
        <row r="218">
          <cell r="H218">
            <v>-867107.35</v>
          </cell>
        </row>
        <row r="219">
          <cell r="H219">
            <v>-4994195.58</v>
          </cell>
        </row>
        <row r="220">
          <cell r="H220">
            <v>-3091971.89</v>
          </cell>
        </row>
        <row r="221">
          <cell r="H221">
            <v>-2166257.2999999998</v>
          </cell>
        </row>
        <row r="222">
          <cell r="H222">
            <v>-1279899.9499999997</v>
          </cell>
        </row>
        <row r="223">
          <cell r="H223">
            <v>-1168227.51</v>
          </cell>
        </row>
        <row r="224">
          <cell r="H224">
            <v>-7125643.8599999994</v>
          </cell>
        </row>
        <row r="225">
          <cell r="H225">
            <v>-186302.58999999997</v>
          </cell>
        </row>
        <row r="226">
          <cell r="H226">
            <v>-458259.94</v>
          </cell>
        </row>
        <row r="227">
          <cell r="H227">
            <v>-591067.4</v>
          </cell>
        </row>
        <row r="228">
          <cell r="H228">
            <v>-375473.6</v>
          </cell>
        </row>
        <row r="229">
          <cell r="H229">
            <v>-5846690.3499999996</v>
          </cell>
        </row>
        <row r="230">
          <cell r="H230">
            <v>-639651.37</v>
          </cell>
        </row>
        <row r="231">
          <cell r="H231">
            <v>-461056.33</v>
          </cell>
        </row>
        <row r="232">
          <cell r="H232">
            <v>-892385.64</v>
          </cell>
        </row>
        <row r="233">
          <cell r="H233">
            <v>-954110.96000000008</v>
          </cell>
        </row>
        <row r="234">
          <cell r="H234">
            <v>-284315.73</v>
          </cell>
        </row>
        <row r="235">
          <cell r="H235">
            <v>-2154656.1000000006</v>
          </cell>
        </row>
        <row r="236">
          <cell r="H236">
            <v>-119923.73000000001</v>
          </cell>
        </row>
        <row r="237">
          <cell r="H237">
            <v>-91254.389999999985</v>
          </cell>
        </row>
        <row r="238">
          <cell r="H238">
            <v>-293482.85000000003</v>
          </cell>
        </row>
        <row r="239">
          <cell r="H239">
            <v>-106443.56000000001</v>
          </cell>
        </row>
        <row r="240">
          <cell r="H240">
            <v>-204044.56999999998</v>
          </cell>
        </row>
        <row r="241">
          <cell r="H241">
            <v>-318088.63999999996</v>
          </cell>
        </row>
        <row r="242">
          <cell r="H242">
            <v>-120442.91</v>
          </cell>
        </row>
        <row r="243">
          <cell r="H243">
            <v>-73460.84</v>
          </cell>
        </row>
        <row r="244">
          <cell r="H244">
            <v>-23655.8</v>
          </cell>
        </row>
        <row r="245">
          <cell r="H245">
            <v>-84824.670000000013</v>
          </cell>
        </row>
        <row r="246">
          <cell r="H246">
            <v>-535313.11999999988</v>
          </cell>
        </row>
        <row r="247">
          <cell r="H247">
            <v>-812233.24</v>
          </cell>
        </row>
        <row r="248">
          <cell r="H248">
            <v>-10892.41</v>
          </cell>
        </row>
        <row r="249">
          <cell r="H249">
            <v>-61372.18</v>
          </cell>
        </row>
        <row r="250">
          <cell r="H250">
            <v>-179939.53999999998</v>
          </cell>
        </row>
        <row r="251">
          <cell r="H251">
            <v>-290847.62</v>
          </cell>
        </row>
        <row r="252">
          <cell r="H252">
            <v>-360040.73000000004</v>
          </cell>
        </row>
        <row r="253">
          <cell r="H253">
            <v>-4878989.6499999994</v>
          </cell>
        </row>
        <row r="254">
          <cell r="H254">
            <v>-2472217.86</v>
          </cell>
        </row>
        <row r="255">
          <cell r="H255">
            <v>-10875248.159999998</v>
          </cell>
        </row>
        <row r="256">
          <cell r="H256">
            <v>-8034121.7599999998</v>
          </cell>
        </row>
        <row r="257">
          <cell r="H257">
            <v>-113477.73</v>
          </cell>
        </row>
        <row r="258">
          <cell r="H258">
            <v>-105055.87999999999</v>
          </cell>
        </row>
        <row r="259">
          <cell r="H259">
            <v>-484726.1</v>
          </cell>
        </row>
        <row r="260">
          <cell r="H260">
            <v>-317127.95999999996</v>
          </cell>
        </row>
        <row r="261">
          <cell r="H261">
            <v>-158735.43</v>
          </cell>
        </row>
        <row r="262">
          <cell r="H262">
            <v>-106231.59</v>
          </cell>
        </row>
        <row r="263">
          <cell r="H263">
            <v>-391169.43</v>
          </cell>
        </row>
        <row r="264">
          <cell r="H264">
            <v>-153160.56</v>
          </cell>
        </row>
        <row r="265">
          <cell r="H265">
            <v>-4232728.62</v>
          </cell>
        </row>
        <row r="266">
          <cell r="H266">
            <v>-948107.47</v>
          </cell>
        </row>
        <row r="267">
          <cell r="H267">
            <v>-2381113.6799999997</v>
          </cell>
        </row>
        <row r="268">
          <cell r="H268">
            <v>-1084953.23</v>
          </cell>
        </row>
        <row r="269">
          <cell r="H269">
            <v>-384623.19</v>
          </cell>
        </row>
        <row r="270">
          <cell r="H270">
            <v>-2194281.5299999998</v>
          </cell>
        </row>
        <row r="271">
          <cell r="H271">
            <v>-576678.07000000007</v>
          </cell>
        </row>
        <row r="272">
          <cell r="H272">
            <v>-1550130.9099999997</v>
          </cell>
        </row>
        <row r="273">
          <cell r="H273">
            <v>-207174.3</v>
          </cell>
        </row>
        <row r="274">
          <cell r="H274">
            <v>-873186.98</v>
          </cell>
        </row>
        <row r="275">
          <cell r="H275">
            <v>-231261.31</v>
          </cell>
        </row>
        <row r="276">
          <cell r="H276">
            <v>-130124.92000000001</v>
          </cell>
        </row>
        <row r="277">
          <cell r="H277">
            <v>-315557.24999999994</v>
          </cell>
        </row>
        <row r="278">
          <cell r="H278">
            <v>-443493.2</v>
          </cell>
        </row>
        <row r="279">
          <cell r="H279">
            <v>-345817.72</v>
          </cell>
        </row>
        <row r="280">
          <cell r="H280">
            <v>-390145.69</v>
          </cell>
        </row>
        <row r="281">
          <cell r="H281">
            <v>-305385.91000000003</v>
          </cell>
        </row>
        <row r="282">
          <cell r="H282">
            <v>-467409.22</v>
          </cell>
        </row>
        <row r="283">
          <cell r="H283">
            <v>-817276.03</v>
          </cell>
        </row>
        <row r="284">
          <cell r="H284">
            <v>-1525529.31</v>
          </cell>
        </row>
        <row r="285">
          <cell r="H285">
            <v>-659654.57999999996</v>
          </cell>
        </row>
        <row r="286">
          <cell r="H286">
            <v>-79619</v>
          </cell>
        </row>
        <row r="287">
          <cell r="H287">
            <v>-407462.17</v>
          </cell>
        </row>
        <row r="288">
          <cell r="H288">
            <v>-252723.12999999998</v>
          </cell>
        </row>
        <row r="289">
          <cell r="H289">
            <v>-294080.73</v>
          </cell>
        </row>
        <row r="290">
          <cell r="H290">
            <v>-321065.94</v>
          </cell>
        </row>
        <row r="291">
          <cell r="H291">
            <v>-247525.09</v>
          </cell>
        </row>
        <row r="292">
          <cell r="H292">
            <v>-236520.96999999997</v>
          </cell>
        </row>
        <row r="293">
          <cell r="H293">
            <v>-484060.70999999996</v>
          </cell>
        </row>
        <row r="294">
          <cell r="H294">
            <v>-500086.98</v>
          </cell>
        </row>
        <row r="295">
          <cell r="H295">
            <v>-89041.700000000012</v>
          </cell>
        </row>
        <row r="296">
          <cell r="H296">
            <v>-437032.15</v>
          </cell>
        </row>
        <row r="297">
          <cell r="H297">
            <v>-221277.05000000002</v>
          </cell>
        </row>
        <row r="298">
          <cell r="H298">
            <v>-144873.1</v>
          </cell>
        </row>
        <row r="299">
          <cell r="H299">
            <v>-507232.27</v>
          </cell>
        </row>
        <row r="300">
          <cell r="H300">
            <v>-644381.94000000006</v>
          </cell>
        </row>
        <row r="301">
          <cell r="H301">
            <v>-416589.69999999995</v>
          </cell>
        </row>
        <row r="302">
          <cell r="H302">
            <v>-360719.87999999995</v>
          </cell>
        </row>
        <row r="303">
          <cell r="H303">
            <v>-165268.66</v>
          </cell>
        </row>
        <row r="304">
          <cell r="H304">
            <v>-511097.62999999995</v>
          </cell>
        </row>
        <row r="305">
          <cell r="H305">
            <v>-132294.67000000001</v>
          </cell>
        </row>
        <row r="306">
          <cell r="H306">
            <v>-598388.44000000006</v>
          </cell>
        </row>
        <row r="307">
          <cell r="H307">
            <v>-74719.47</v>
          </cell>
        </row>
        <row r="308">
          <cell r="H308">
            <v>-276864.57999999996</v>
          </cell>
        </row>
        <row r="309">
          <cell r="H309">
            <v>-307375.49000000005</v>
          </cell>
        </row>
        <row r="310">
          <cell r="H310">
            <v>-625130.04</v>
          </cell>
        </row>
        <row r="311">
          <cell r="H311">
            <v>-433151.75</v>
          </cell>
        </row>
        <row r="312">
          <cell r="H312">
            <v>-475990.83</v>
          </cell>
        </row>
        <row r="313">
          <cell r="H313">
            <v>-153970.69999999998</v>
          </cell>
        </row>
        <row r="314">
          <cell r="H314">
            <v>-313556.30000000005</v>
          </cell>
        </row>
        <row r="315">
          <cell r="H315">
            <v>-199147.89</v>
          </cell>
        </row>
        <row r="316">
          <cell r="H316">
            <v>-166685.45000000001</v>
          </cell>
        </row>
        <row r="317">
          <cell r="H317">
            <v>-206814.04</v>
          </cell>
        </row>
        <row r="318">
          <cell r="H318">
            <v>-79130.37999999999</v>
          </cell>
        </row>
        <row r="319">
          <cell r="H319">
            <v>-540603.41999999993</v>
          </cell>
        </row>
        <row r="320">
          <cell r="H320">
            <v>-571635.38</v>
          </cell>
        </row>
        <row r="321">
          <cell r="H321">
            <v>0</v>
          </cell>
        </row>
        <row r="322">
          <cell r="H322">
            <v>-1002356.58</v>
          </cell>
        </row>
        <row r="323">
          <cell r="H323">
            <v>-463092.47999999998</v>
          </cell>
        </row>
        <row r="324">
          <cell r="H324">
            <v>-120160</v>
          </cell>
        </row>
        <row r="325">
          <cell r="H325">
            <v>-116643.26000000001</v>
          </cell>
        </row>
        <row r="326">
          <cell r="H326">
            <v>-636544.30000000005</v>
          </cell>
        </row>
        <row r="327">
          <cell r="H327">
            <v>-130628.68</v>
          </cell>
        </row>
        <row r="328">
          <cell r="H328">
            <v>-538224.86</v>
          </cell>
        </row>
        <row r="329">
          <cell r="H329">
            <v>-131846.62</v>
          </cell>
        </row>
        <row r="330">
          <cell r="H330">
            <v>-120040.05</v>
          </cell>
        </row>
        <row r="331">
          <cell r="H331">
            <v>-807096.78999999992</v>
          </cell>
        </row>
        <row r="332">
          <cell r="H332">
            <v>-351293.41000000003</v>
          </cell>
        </row>
        <row r="333">
          <cell r="H333">
            <v>-336029.66</v>
          </cell>
        </row>
        <row r="334">
          <cell r="H334">
            <v>-104832.97</v>
          </cell>
        </row>
        <row r="335">
          <cell r="H335">
            <v>-159056.38999999998</v>
          </cell>
        </row>
        <row r="336">
          <cell r="H336">
            <v>-379879.77999999997</v>
          </cell>
        </row>
        <row r="337">
          <cell r="H337">
            <v>-448037.43</v>
          </cell>
        </row>
        <row r="338">
          <cell r="H338">
            <v>-717045.59</v>
          </cell>
        </row>
        <row r="339">
          <cell r="H339">
            <v>-399902.7</v>
          </cell>
        </row>
        <row r="340">
          <cell r="H340">
            <v>-127349.04</v>
          </cell>
        </row>
        <row r="341">
          <cell r="H341">
            <v>-397723.32</v>
          </cell>
        </row>
        <row r="342">
          <cell r="H342">
            <v>-183937.7</v>
          </cell>
        </row>
        <row r="343">
          <cell r="H343">
            <v>-279981.94</v>
          </cell>
        </row>
        <row r="344">
          <cell r="H344">
            <v>-371813.12</v>
          </cell>
        </row>
      </sheetData>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Report"/>
      <sheetName val="Funds"/>
      <sheetName val="Accounts"/>
      <sheetName val="Entries"/>
      <sheetName val="Aid Adjust"/>
      <sheetName val="Shift11"/>
      <sheetName val="Data"/>
      <sheetName val="Shift10"/>
      <sheetName val="Levy"/>
      <sheetName val="Receipts"/>
      <sheetName val="Ideas"/>
      <sheetName val="Query1"/>
      <sheetName val="Query4"/>
      <sheetName val="credits"/>
      <sheetName val="pay 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8">
          <cell r="M8">
            <v>98360.23000000001</v>
          </cell>
          <cell r="O8">
            <v>858.61</v>
          </cell>
          <cell r="Q8">
            <v>1142.92</v>
          </cell>
          <cell r="S8">
            <v>0</v>
          </cell>
        </row>
        <row r="9">
          <cell r="M9">
            <v>1011935.88</v>
          </cell>
          <cell r="O9">
            <v>123531.1</v>
          </cell>
          <cell r="Q9">
            <v>1477351.02</v>
          </cell>
          <cell r="S9">
            <v>82133.47</v>
          </cell>
        </row>
        <row r="10">
          <cell r="M10">
            <v>7244.87</v>
          </cell>
          <cell r="O10">
            <v>1724.83</v>
          </cell>
          <cell r="Q10">
            <v>53252.39</v>
          </cell>
          <cell r="S10">
            <v>0</v>
          </cell>
        </row>
        <row r="11">
          <cell r="M11">
            <v>17463.53</v>
          </cell>
          <cell r="O11">
            <v>3375.45</v>
          </cell>
          <cell r="Q11">
            <v>46039.94</v>
          </cell>
          <cell r="S11">
            <v>10584.17</v>
          </cell>
        </row>
        <row r="12">
          <cell r="M12">
            <v>159102.25</v>
          </cell>
          <cell r="O12">
            <v>21572.3</v>
          </cell>
          <cell r="Q12">
            <v>145023.66</v>
          </cell>
          <cell r="S12">
            <v>30206.22</v>
          </cell>
        </row>
        <row r="13">
          <cell r="M13">
            <v>1240262.93</v>
          </cell>
          <cell r="O13">
            <v>186042.5</v>
          </cell>
          <cell r="Q13">
            <v>1187680.23</v>
          </cell>
          <cell r="S13">
            <v>125881.60000000001</v>
          </cell>
        </row>
        <row r="14">
          <cell r="M14">
            <v>99016.56</v>
          </cell>
          <cell r="O14">
            <v>18067.28</v>
          </cell>
          <cell r="Q14">
            <v>362328.48</v>
          </cell>
          <cell r="S14">
            <v>26662.21</v>
          </cell>
        </row>
        <row r="15">
          <cell r="M15">
            <v>97735.7</v>
          </cell>
          <cell r="O15">
            <v>16376.6</v>
          </cell>
          <cell r="Q15">
            <v>133784.91</v>
          </cell>
          <cell r="S15">
            <v>0</v>
          </cell>
        </row>
        <row r="16">
          <cell r="M16">
            <v>107637.41</v>
          </cell>
          <cell r="O16">
            <v>21113.43</v>
          </cell>
          <cell r="Q16">
            <v>117439.91</v>
          </cell>
          <cell r="S16">
            <v>27769.15</v>
          </cell>
        </row>
        <row r="17">
          <cell r="M17">
            <v>124378.57</v>
          </cell>
          <cell r="O17">
            <v>22668.45</v>
          </cell>
          <cell r="Q17">
            <v>317746.64</v>
          </cell>
          <cell r="S17">
            <v>17585.25</v>
          </cell>
        </row>
        <row r="18">
          <cell r="M18">
            <v>116342.96</v>
          </cell>
          <cell r="O18">
            <v>15307.02</v>
          </cell>
          <cell r="Q18">
            <v>313854</v>
          </cell>
          <cell r="S18">
            <v>11144.27</v>
          </cell>
        </row>
        <row r="19">
          <cell r="M19">
            <v>74125.64</v>
          </cell>
          <cell r="O19">
            <v>13248.46</v>
          </cell>
          <cell r="Q19">
            <v>55112.15</v>
          </cell>
          <cell r="S19">
            <v>0</v>
          </cell>
        </row>
        <row r="20">
          <cell r="M20">
            <v>31493.73</v>
          </cell>
          <cell r="O20">
            <v>8431.2000000000007</v>
          </cell>
          <cell r="Q20">
            <v>77037.009999999995</v>
          </cell>
          <cell r="S20">
            <v>0</v>
          </cell>
        </row>
        <row r="21">
          <cell r="M21">
            <v>0</v>
          </cell>
          <cell r="O21">
            <v>0</v>
          </cell>
          <cell r="Q21">
            <v>0</v>
          </cell>
          <cell r="S21">
            <v>0</v>
          </cell>
        </row>
        <row r="22">
          <cell r="M22">
            <v>133293.94</v>
          </cell>
          <cell r="O22">
            <v>29532.75</v>
          </cell>
          <cell r="Q22">
            <v>350320.1</v>
          </cell>
          <cell r="S22">
            <v>0</v>
          </cell>
        </row>
        <row r="23">
          <cell r="M23">
            <v>23845.9</v>
          </cell>
          <cell r="O23">
            <v>4114.34</v>
          </cell>
          <cell r="Q23">
            <v>64851.22</v>
          </cell>
          <cell r="S23">
            <v>0</v>
          </cell>
        </row>
        <row r="24">
          <cell r="M24">
            <v>12.34</v>
          </cell>
          <cell r="O24">
            <v>995.99</v>
          </cell>
          <cell r="Q24">
            <v>34024.99</v>
          </cell>
          <cell r="S24">
            <v>0</v>
          </cell>
        </row>
        <row r="25">
          <cell r="M25">
            <v>66.34</v>
          </cell>
          <cell r="O25">
            <v>3.01</v>
          </cell>
          <cell r="Q25">
            <v>77.36</v>
          </cell>
          <cell r="S25">
            <v>0</v>
          </cell>
        </row>
        <row r="26">
          <cell r="M26">
            <v>69463.520000000004</v>
          </cell>
          <cell r="O26">
            <v>16548.34</v>
          </cell>
          <cell r="Q26">
            <v>313290.5</v>
          </cell>
          <cell r="S26">
            <v>0</v>
          </cell>
        </row>
        <row r="27">
          <cell r="M27">
            <v>39833.17</v>
          </cell>
          <cell r="O27">
            <v>9718.61</v>
          </cell>
          <cell r="Q27">
            <v>281093.61</v>
          </cell>
          <cell r="S27">
            <v>0</v>
          </cell>
        </row>
        <row r="28">
          <cell r="M28">
            <v>14506.56</v>
          </cell>
          <cell r="O28">
            <v>2086.9299999999998</v>
          </cell>
          <cell r="Q28">
            <v>62682.5</v>
          </cell>
          <cell r="S28">
            <v>0</v>
          </cell>
        </row>
        <row r="29">
          <cell r="M29">
            <v>233181.73</v>
          </cell>
          <cell r="O29">
            <v>42930.74</v>
          </cell>
          <cell r="Q29">
            <v>351816.17</v>
          </cell>
          <cell r="S29">
            <v>65683.64</v>
          </cell>
        </row>
        <row r="30">
          <cell r="M30">
            <v>15431.6</v>
          </cell>
          <cell r="O30">
            <v>2799.18</v>
          </cell>
          <cell r="Q30">
            <v>0</v>
          </cell>
          <cell r="S30">
            <v>0</v>
          </cell>
        </row>
        <row r="31">
          <cell r="M31">
            <v>28289.63</v>
          </cell>
          <cell r="O31">
            <v>7928.17</v>
          </cell>
          <cell r="Q31">
            <v>40234.5</v>
          </cell>
          <cell r="S31">
            <v>0</v>
          </cell>
        </row>
        <row r="32">
          <cell r="M32">
            <v>18474.939999999999</v>
          </cell>
          <cell r="O32">
            <v>2970.05</v>
          </cell>
          <cell r="Q32">
            <v>41260.04</v>
          </cell>
          <cell r="S32">
            <v>0</v>
          </cell>
        </row>
        <row r="33">
          <cell r="M33">
            <v>120554.56</v>
          </cell>
          <cell r="O33">
            <v>20482.39</v>
          </cell>
          <cell r="Q33">
            <v>153381.54</v>
          </cell>
          <cell r="S33">
            <v>0</v>
          </cell>
        </row>
        <row r="34">
          <cell r="M34">
            <v>17737.86</v>
          </cell>
          <cell r="O34">
            <v>4463.91</v>
          </cell>
          <cell r="Q34">
            <v>112245.84</v>
          </cell>
          <cell r="S34">
            <v>0</v>
          </cell>
        </row>
        <row r="35">
          <cell r="M35">
            <v>21713.96</v>
          </cell>
          <cell r="O35">
            <v>4756.32</v>
          </cell>
          <cell r="Q35">
            <v>8086.1</v>
          </cell>
          <cell r="S35">
            <v>28290.23</v>
          </cell>
        </row>
        <row r="36">
          <cell r="M36">
            <v>57530.34</v>
          </cell>
          <cell r="O36">
            <v>30352.43</v>
          </cell>
          <cell r="Q36">
            <v>237297.99</v>
          </cell>
          <cell r="S36">
            <v>68181.509999999995</v>
          </cell>
        </row>
        <row r="37">
          <cell r="M37">
            <v>6093.11</v>
          </cell>
          <cell r="O37">
            <v>1598.16</v>
          </cell>
          <cell r="Q37">
            <v>44318.83</v>
          </cell>
          <cell r="S37">
            <v>0</v>
          </cell>
        </row>
        <row r="38">
          <cell r="M38">
            <v>43651.8</v>
          </cell>
          <cell r="O38">
            <v>8729.14</v>
          </cell>
          <cell r="Q38">
            <v>0</v>
          </cell>
          <cell r="S38">
            <v>0</v>
          </cell>
        </row>
        <row r="39">
          <cell r="M39">
            <v>19325.509999999998</v>
          </cell>
          <cell r="O39">
            <v>4262.84</v>
          </cell>
          <cell r="Q39">
            <v>73533.23</v>
          </cell>
          <cell r="S39">
            <v>9102.56</v>
          </cell>
        </row>
        <row r="40">
          <cell r="M40">
            <v>10039.39</v>
          </cell>
          <cell r="O40">
            <v>1597.14</v>
          </cell>
          <cell r="Q40">
            <v>22141.16</v>
          </cell>
          <cell r="S40">
            <v>0</v>
          </cell>
        </row>
        <row r="41">
          <cell r="M41">
            <v>37651.480000000003</v>
          </cell>
          <cell r="O41">
            <v>14755.41</v>
          </cell>
          <cell r="Q41">
            <v>64734.58</v>
          </cell>
          <cell r="S41">
            <v>0</v>
          </cell>
        </row>
        <row r="42">
          <cell r="M42">
            <v>58337.81</v>
          </cell>
          <cell r="O42">
            <v>12300.9</v>
          </cell>
          <cell r="Q42">
            <v>208904.92</v>
          </cell>
          <cell r="S42">
            <v>15189.24</v>
          </cell>
        </row>
        <row r="43">
          <cell r="M43">
            <v>30697</v>
          </cell>
          <cell r="O43">
            <v>11476.26</v>
          </cell>
          <cell r="Q43">
            <v>190729.07</v>
          </cell>
          <cell r="S43">
            <v>0</v>
          </cell>
        </row>
        <row r="44">
          <cell r="M44">
            <v>129199.06</v>
          </cell>
          <cell r="O44">
            <v>24308.83</v>
          </cell>
          <cell r="Q44">
            <v>530318.35</v>
          </cell>
          <cell r="S44">
            <v>21139.8</v>
          </cell>
        </row>
        <row r="45">
          <cell r="M45">
            <v>17182.849999999999</v>
          </cell>
          <cell r="O45">
            <v>3525.11</v>
          </cell>
          <cell r="Q45">
            <v>52133.760000000002</v>
          </cell>
          <cell r="S45">
            <v>0</v>
          </cell>
        </row>
        <row r="46">
          <cell r="M46">
            <v>7396.07</v>
          </cell>
          <cell r="O46">
            <v>1787.25</v>
          </cell>
          <cell r="Q46">
            <v>62696</v>
          </cell>
          <cell r="S46">
            <v>0</v>
          </cell>
        </row>
        <row r="47">
          <cell r="M47">
            <v>24895.51</v>
          </cell>
          <cell r="O47">
            <v>5849.83</v>
          </cell>
          <cell r="Q47">
            <v>25449.81</v>
          </cell>
          <cell r="S47">
            <v>11118.7</v>
          </cell>
        </row>
        <row r="48">
          <cell r="M48">
            <v>11826.41</v>
          </cell>
          <cell r="O48">
            <v>2729.24</v>
          </cell>
          <cell r="Q48">
            <v>6601.45</v>
          </cell>
          <cell r="S48">
            <v>0</v>
          </cell>
        </row>
        <row r="49">
          <cell r="M49">
            <v>45347.89</v>
          </cell>
          <cell r="O49">
            <v>11569.04</v>
          </cell>
          <cell r="Q49">
            <v>154703.5</v>
          </cell>
          <cell r="S49">
            <v>0</v>
          </cell>
        </row>
        <row r="50">
          <cell r="M50">
            <v>74659.679999999993</v>
          </cell>
          <cell r="O50">
            <v>13886.01</v>
          </cell>
          <cell r="Q50">
            <v>283919</v>
          </cell>
          <cell r="S50">
            <v>28521.200000000001</v>
          </cell>
        </row>
        <row r="51">
          <cell r="M51">
            <v>31379.61</v>
          </cell>
          <cell r="O51">
            <v>3871.5</v>
          </cell>
          <cell r="Q51">
            <v>104489.23</v>
          </cell>
          <cell r="S51">
            <v>0</v>
          </cell>
        </row>
        <row r="52">
          <cell r="M52">
            <v>26909.18</v>
          </cell>
          <cell r="O52">
            <v>5436.93</v>
          </cell>
          <cell r="Q52">
            <v>0</v>
          </cell>
          <cell r="S52">
            <v>0</v>
          </cell>
        </row>
        <row r="53">
          <cell r="M53">
            <v>18261.93</v>
          </cell>
          <cell r="O53">
            <v>3100.51</v>
          </cell>
          <cell r="Q53">
            <v>81311.820000000007</v>
          </cell>
          <cell r="S53">
            <v>0</v>
          </cell>
        </row>
        <row r="54">
          <cell r="M54">
            <v>287465.92</v>
          </cell>
          <cell r="O54">
            <v>89948.81</v>
          </cell>
          <cell r="Q54">
            <v>1181279.24</v>
          </cell>
          <cell r="S54">
            <v>140041.14000000001</v>
          </cell>
        </row>
        <row r="55">
          <cell r="M55">
            <v>49988.67</v>
          </cell>
          <cell r="O55">
            <v>9232.4</v>
          </cell>
          <cell r="Q55">
            <v>149531.87</v>
          </cell>
          <cell r="S55">
            <v>0</v>
          </cell>
        </row>
        <row r="56">
          <cell r="M56">
            <v>29352.77</v>
          </cell>
          <cell r="O56">
            <v>0</v>
          </cell>
          <cell r="Q56">
            <v>13906.15</v>
          </cell>
          <cell r="S56">
            <v>854.91</v>
          </cell>
        </row>
        <row r="57">
          <cell r="M57">
            <v>29522.54</v>
          </cell>
          <cell r="O57">
            <v>6695.85</v>
          </cell>
          <cell r="Q57">
            <v>0</v>
          </cell>
          <cell r="S57">
            <v>0</v>
          </cell>
        </row>
        <row r="58">
          <cell r="M58">
            <v>31538.84</v>
          </cell>
          <cell r="O58">
            <v>7482.1</v>
          </cell>
          <cell r="Q58">
            <v>104213.86</v>
          </cell>
          <cell r="S58">
            <v>0</v>
          </cell>
        </row>
        <row r="59">
          <cell r="M59">
            <v>212646.39</v>
          </cell>
          <cell r="O59">
            <v>35008.47</v>
          </cell>
          <cell r="Q59">
            <v>409294.32</v>
          </cell>
          <cell r="S59">
            <v>122513</v>
          </cell>
        </row>
        <row r="60">
          <cell r="M60">
            <v>51625.66</v>
          </cell>
          <cell r="O60">
            <v>608.83000000000004</v>
          </cell>
          <cell r="Q60">
            <v>185419.09000000003</v>
          </cell>
          <cell r="S60">
            <v>78501.649999999994</v>
          </cell>
        </row>
        <row r="61">
          <cell r="M61">
            <v>22906.01</v>
          </cell>
          <cell r="O61">
            <v>4274.3100000000004</v>
          </cell>
          <cell r="Q61">
            <v>54323.42</v>
          </cell>
          <cell r="S61">
            <v>0</v>
          </cell>
        </row>
        <row r="62">
          <cell r="M62">
            <v>243888.17</v>
          </cell>
          <cell r="O62">
            <v>46996.12</v>
          </cell>
          <cell r="Q62">
            <v>352868.66</v>
          </cell>
          <cell r="S62">
            <v>79785.990000000005</v>
          </cell>
        </row>
        <row r="63">
          <cell r="M63">
            <v>102663.86</v>
          </cell>
          <cell r="O63">
            <v>19464.599999999999</v>
          </cell>
          <cell r="Q63">
            <v>594314.44999999995</v>
          </cell>
          <cell r="S63">
            <v>17403.47</v>
          </cell>
        </row>
        <row r="64">
          <cell r="M64">
            <v>108618.31</v>
          </cell>
          <cell r="O64">
            <v>32970.6</v>
          </cell>
          <cell r="Q64">
            <v>446337.27</v>
          </cell>
          <cell r="S64">
            <v>0</v>
          </cell>
        </row>
        <row r="65">
          <cell r="M65">
            <v>9908.26</v>
          </cell>
          <cell r="O65">
            <v>1816.17</v>
          </cell>
          <cell r="Q65">
            <v>34601.96</v>
          </cell>
          <cell r="S65">
            <v>0</v>
          </cell>
        </row>
        <row r="66">
          <cell r="M66">
            <v>970274.42</v>
          </cell>
          <cell r="O66">
            <v>75056.259999999995</v>
          </cell>
          <cell r="Q66">
            <v>781630.57</v>
          </cell>
          <cell r="S66">
            <v>79768.289999999994</v>
          </cell>
        </row>
        <row r="67">
          <cell r="M67">
            <v>102010.98</v>
          </cell>
          <cell r="O67">
            <v>22227.94</v>
          </cell>
          <cell r="Q67">
            <v>232807.91</v>
          </cell>
          <cell r="S67">
            <v>22281.02</v>
          </cell>
        </row>
        <row r="68">
          <cell r="M68">
            <v>113026.27</v>
          </cell>
          <cell r="O68">
            <v>20739.59</v>
          </cell>
          <cell r="Q68">
            <v>179307.62</v>
          </cell>
          <cell r="S68">
            <v>31126.17</v>
          </cell>
        </row>
        <row r="69">
          <cell r="M69">
            <v>109231.22</v>
          </cell>
          <cell r="O69">
            <v>24819.64</v>
          </cell>
          <cell r="Q69">
            <v>279747.7</v>
          </cell>
          <cell r="S69">
            <v>0</v>
          </cell>
        </row>
        <row r="70">
          <cell r="M70">
            <v>35102.379999999997</v>
          </cell>
          <cell r="O70">
            <v>6421.25</v>
          </cell>
          <cell r="Q70">
            <v>57374.400000000001</v>
          </cell>
          <cell r="S70">
            <v>0</v>
          </cell>
        </row>
        <row r="71">
          <cell r="M71">
            <v>52299.55</v>
          </cell>
          <cell r="O71">
            <v>4189.3</v>
          </cell>
          <cell r="Q71">
            <v>206794.21</v>
          </cell>
          <cell r="S71">
            <v>0</v>
          </cell>
        </row>
        <row r="72">
          <cell r="M72">
            <v>80767.05</v>
          </cell>
          <cell r="O72">
            <v>21850.77</v>
          </cell>
          <cell r="Q72">
            <v>158674.73000000001</v>
          </cell>
          <cell r="S72">
            <v>39758.97</v>
          </cell>
        </row>
        <row r="73">
          <cell r="M73">
            <v>14491.42</v>
          </cell>
          <cell r="O73">
            <v>2016.14</v>
          </cell>
          <cell r="Q73">
            <v>0</v>
          </cell>
          <cell r="S73">
            <v>0</v>
          </cell>
        </row>
        <row r="74">
          <cell r="M74">
            <v>10282.01</v>
          </cell>
          <cell r="O74">
            <v>1576.56</v>
          </cell>
          <cell r="Q74">
            <v>0</v>
          </cell>
          <cell r="S74">
            <v>0</v>
          </cell>
        </row>
        <row r="75">
          <cell r="M75">
            <v>22359.9</v>
          </cell>
          <cell r="O75">
            <v>3484.4</v>
          </cell>
          <cell r="Q75">
            <v>95324.22</v>
          </cell>
          <cell r="S75">
            <v>4462.09</v>
          </cell>
        </row>
        <row r="76">
          <cell r="M76">
            <v>19535.8</v>
          </cell>
          <cell r="O76">
            <v>4930.68</v>
          </cell>
          <cell r="Q76">
            <v>91733.58</v>
          </cell>
          <cell r="S76">
            <v>0</v>
          </cell>
        </row>
        <row r="77">
          <cell r="M77">
            <v>16582.25</v>
          </cell>
          <cell r="O77">
            <v>2530.0300000000002</v>
          </cell>
          <cell r="Q77">
            <v>29247.97</v>
          </cell>
          <cell r="S77">
            <v>0</v>
          </cell>
        </row>
        <row r="78">
          <cell r="M78">
            <v>17335.939999999999</v>
          </cell>
          <cell r="O78">
            <v>797.54</v>
          </cell>
          <cell r="Q78">
            <v>48406.15</v>
          </cell>
          <cell r="S78">
            <v>0</v>
          </cell>
        </row>
        <row r="79">
          <cell r="M79">
            <v>45012.03</v>
          </cell>
          <cell r="O79">
            <v>7807.16</v>
          </cell>
          <cell r="Q79">
            <v>0</v>
          </cell>
          <cell r="S79">
            <v>0</v>
          </cell>
        </row>
        <row r="80">
          <cell r="M80">
            <v>133386.88</v>
          </cell>
          <cell r="O80">
            <v>23491.43</v>
          </cell>
          <cell r="Q80">
            <v>250385.78</v>
          </cell>
          <cell r="S80">
            <v>28280.41</v>
          </cell>
        </row>
        <row r="81">
          <cell r="M81">
            <v>12075.8</v>
          </cell>
          <cell r="O81">
            <v>2040.07</v>
          </cell>
          <cell r="Q81">
            <v>39268.839999999997</v>
          </cell>
          <cell r="S81">
            <v>0</v>
          </cell>
        </row>
        <row r="82">
          <cell r="M82">
            <v>31148.49</v>
          </cell>
          <cell r="O82">
            <v>8664.98</v>
          </cell>
          <cell r="Q82">
            <v>76135.92</v>
          </cell>
          <cell r="S82">
            <v>8255.39</v>
          </cell>
        </row>
        <row r="83">
          <cell r="M83">
            <v>15560.18</v>
          </cell>
          <cell r="O83">
            <v>3009.6</v>
          </cell>
          <cell r="Q83">
            <v>38122.82</v>
          </cell>
          <cell r="S83">
            <v>0</v>
          </cell>
        </row>
        <row r="84">
          <cell r="M84">
            <v>48760.44</v>
          </cell>
          <cell r="O84">
            <v>9688.93</v>
          </cell>
          <cell r="Q84">
            <v>47689.37</v>
          </cell>
          <cell r="S84">
            <v>0</v>
          </cell>
        </row>
        <row r="85">
          <cell r="M85">
            <v>51433.19</v>
          </cell>
          <cell r="O85">
            <v>13926.7</v>
          </cell>
          <cell r="Q85">
            <v>149435.74</v>
          </cell>
          <cell r="S85">
            <v>24376.62</v>
          </cell>
        </row>
        <row r="86">
          <cell r="M86">
            <v>6818.05</v>
          </cell>
          <cell r="O86">
            <v>1365.15</v>
          </cell>
          <cell r="Q86">
            <v>40510.230000000003</v>
          </cell>
          <cell r="S86">
            <v>0</v>
          </cell>
        </row>
        <row r="87">
          <cell r="M87">
            <v>298.97000000000003</v>
          </cell>
          <cell r="O87">
            <v>2316.09</v>
          </cell>
          <cell r="Q87">
            <v>0</v>
          </cell>
          <cell r="S87">
            <v>0</v>
          </cell>
        </row>
        <row r="88">
          <cell r="M88">
            <v>248243.37</v>
          </cell>
          <cell r="O88">
            <v>29625.759999999998</v>
          </cell>
          <cell r="Q88">
            <v>261818.54</v>
          </cell>
          <cell r="S88">
            <v>21157.39</v>
          </cell>
        </row>
        <row r="89">
          <cell r="M89">
            <v>400391.63</v>
          </cell>
          <cell r="O89">
            <v>53919.09</v>
          </cell>
          <cell r="Q89">
            <v>306726.57</v>
          </cell>
          <cell r="S89">
            <v>22348.2</v>
          </cell>
        </row>
        <row r="90">
          <cell r="M90">
            <v>210864.86</v>
          </cell>
          <cell r="O90">
            <v>20806.29</v>
          </cell>
          <cell r="Q90">
            <v>230664.52</v>
          </cell>
          <cell r="S90">
            <v>14222.76</v>
          </cell>
        </row>
        <row r="91">
          <cell r="M91">
            <v>63998.06</v>
          </cell>
          <cell r="O91">
            <v>8608.25</v>
          </cell>
          <cell r="Q91">
            <v>92492.87</v>
          </cell>
          <cell r="S91">
            <v>0</v>
          </cell>
        </row>
        <row r="92">
          <cell r="M92">
            <v>126224.31</v>
          </cell>
          <cell r="O92">
            <v>12478.07</v>
          </cell>
          <cell r="Q92">
            <v>78548.929999999993</v>
          </cell>
          <cell r="S92">
            <v>3520.08</v>
          </cell>
        </row>
        <row r="93">
          <cell r="M93">
            <v>33444.959999999999</v>
          </cell>
          <cell r="O93">
            <v>7365.21</v>
          </cell>
          <cell r="Q93">
            <v>17401.14</v>
          </cell>
          <cell r="S93">
            <v>9419.31</v>
          </cell>
        </row>
        <row r="94">
          <cell r="M94">
            <v>21117.9</v>
          </cell>
          <cell r="O94">
            <v>1873.45</v>
          </cell>
          <cell r="Q94">
            <v>26803.8</v>
          </cell>
          <cell r="S94">
            <v>3233.76</v>
          </cell>
        </row>
        <row r="95">
          <cell r="M95">
            <v>511917.89</v>
          </cell>
          <cell r="O95">
            <v>71570.289999999994</v>
          </cell>
          <cell r="Q95">
            <v>746773.55</v>
          </cell>
          <cell r="S95">
            <v>38491.300000000003</v>
          </cell>
        </row>
        <row r="96">
          <cell r="M96">
            <v>215176.34</v>
          </cell>
          <cell r="O96">
            <v>20433.79</v>
          </cell>
          <cell r="Q96">
            <v>201731.59</v>
          </cell>
          <cell r="S96">
            <v>41972.55</v>
          </cell>
        </row>
        <row r="97">
          <cell r="M97">
            <v>540017.12</v>
          </cell>
          <cell r="O97">
            <v>76903.72</v>
          </cell>
          <cell r="Q97">
            <v>696768.43</v>
          </cell>
          <cell r="S97">
            <v>82891.11</v>
          </cell>
        </row>
        <row r="98">
          <cell r="M98">
            <v>35733.19</v>
          </cell>
          <cell r="O98">
            <v>6426.83</v>
          </cell>
          <cell r="Q98">
            <v>63765.39</v>
          </cell>
          <cell r="S98">
            <v>18523.650000000001</v>
          </cell>
        </row>
        <row r="99">
          <cell r="M99">
            <v>114543.93</v>
          </cell>
          <cell r="O99">
            <v>30214.47</v>
          </cell>
          <cell r="Q99">
            <v>191412.3</v>
          </cell>
          <cell r="S99">
            <v>27115.45</v>
          </cell>
        </row>
        <row r="100">
          <cell r="M100">
            <v>213025.38</v>
          </cell>
          <cell r="O100">
            <v>21219.040000000001</v>
          </cell>
          <cell r="Q100">
            <v>142872.56</v>
          </cell>
          <cell r="S100">
            <v>8283.4699999999993</v>
          </cell>
        </row>
        <row r="101">
          <cell r="M101">
            <v>34898.910000000003</v>
          </cell>
          <cell r="O101">
            <v>6201.91</v>
          </cell>
          <cell r="Q101">
            <v>95437.55</v>
          </cell>
          <cell r="S101">
            <v>12379.57</v>
          </cell>
        </row>
        <row r="102">
          <cell r="M102">
            <v>13357.2</v>
          </cell>
          <cell r="O102">
            <v>5739.73</v>
          </cell>
          <cell r="Q102">
            <v>20305.849999999999</v>
          </cell>
          <cell r="S102">
            <v>0</v>
          </cell>
        </row>
        <row r="103">
          <cell r="M103">
            <v>44258.01</v>
          </cell>
          <cell r="O103">
            <v>6652.05</v>
          </cell>
          <cell r="Q103">
            <v>0</v>
          </cell>
          <cell r="S103">
            <v>0</v>
          </cell>
        </row>
        <row r="104">
          <cell r="M104">
            <v>33863.74</v>
          </cell>
          <cell r="O104">
            <v>8391.3700000000008</v>
          </cell>
          <cell r="Q104">
            <v>184943.66</v>
          </cell>
          <cell r="S104">
            <v>0</v>
          </cell>
        </row>
        <row r="105">
          <cell r="M105">
            <v>44834.81</v>
          </cell>
          <cell r="O105">
            <v>15396.85</v>
          </cell>
          <cell r="Q105">
            <v>72242.02</v>
          </cell>
          <cell r="S105">
            <v>16559.41</v>
          </cell>
        </row>
        <row r="106">
          <cell r="M106">
            <v>6736.16</v>
          </cell>
          <cell r="O106">
            <v>1180.8499999999999</v>
          </cell>
          <cell r="Q106">
            <v>50792.98</v>
          </cell>
          <cell r="S106">
            <v>0</v>
          </cell>
        </row>
        <row r="107">
          <cell r="M107">
            <v>8775.7800000000007</v>
          </cell>
          <cell r="O107">
            <v>2023.74</v>
          </cell>
          <cell r="Q107">
            <v>9131.34</v>
          </cell>
          <cell r="S107">
            <v>0</v>
          </cell>
        </row>
        <row r="108">
          <cell r="M108">
            <v>17951.7</v>
          </cell>
          <cell r="O108">
            <v>10544.83</v>
          </cell>
          <cell r="Q108">
            <v>158835.34</v>
          </cell>
          <cell r="S108">
            <v>0</v>
          </cell>
        </row>
        <row r="109">
          <cell r="M109">
            <v>23544.12</v>
          </cell>
          <cell r="O109">
            <v>6121.67</v>
          </cell>
          <cell r="Q109">
            <v>86850.57</v>
          </cell>
          <cell r="S109">
            <v>33691.040000000001</v>
          </cell>
        </row>
        <row r="110">
          <cell r="M110">
            <v>41799.300000000003</v>
          </cell>
          <cell r="O110">
            <v>0</v>
          </cell>
          <cell r="Q110">
            <v>10803.14</v>
          </cell>
          <cell r="S110">
            <v>354598.75</v>
          </cell>
        </row>
        <row r="111">
          <cell r="M111">
            <v>18697.84</v>
          </cell>
          <cell r="O111">
            <v>0</v>
          </cell>
          <cell r="Q111">
            <v>81677.63</v>
          </cell>
          <cell r="S111">
            <v>20336.89</v>
          </cell>
        </row>
        <row r="112">
          <cell r="M112">
            <v>224975.53999999998</v>
          </cell>
          <cell r="O112">
            <v>0</v>
          </cell>
          <cell r="Q112">
            <v>458735.24</v>
          </cell>
          <cell r="S112">
            <v>207020.47</v>
          </cell>
        </row>
        <row r="113">
          <cell r="M113">
            <v>84025.279999999999</v>
          </cell>
          <cell r="O113">
            <v>0</v>
          </cell>
          <cell r="Q113">
            <v>0</v>
          </cell>
          <cell r="S113">
            <v>73740.2</v>
          </cell>
        </row>
        <row r="114">
          <cell r="M114">
            <v>251.34</v>
          </cell>
          <cell r="O114">
            <v>0</v>
          </cell>
          <cell r="Q114">
            <v>0</v>
          </cell>
          <cell r="S114">
            <v>0</v>
          </cell>
        </row>
        <row r="115">
          <cell r="M115">
            <v>13270.47</v>
          </cell>
          <cell r="O115">
            <v>1907.63</v>
          </cell>
          <cell r="Q115">
            <v>21244.639999999999</v>
          </cell>
          <cell r="S115">
            <v>0</v>
          </cell>
        </row>
        <row r="116">
          <cell r="M116">
            <v>67096.350000000006</v>
          </cell>
          <cell r="O116">
            <v>12422.82</v>
          </cell>
          <cell r="Q116">
            <v>71105.2</v>
          </cell>
          <cell r="S116">
            <v>0</v>
          </cell>
        </row>
        <row r="117">
          <cell r="M117">
            <v>17290.490000000002</v>
          </cell>
          <cell r="O117">
            <v>3613.23</v>
          </cell>
          <cell r="Q117">
            <v>80464.990000000005</v>
          </cell>
          <cell r="S117">
            <v>14290.88</v>
          </cell>
        </row>
        <row r="118">
          <cell r="M118">
            <v>27653.97</v>
          </cell>
          <cell r="O118">
            <v>7814.11</v>
          </cell>
          <cell r="Q118">
            <v>80183.960000000006</v>
          </cell>
          <cell r="S118">
            <v>13516.41</v>
          </cell>
        </row>
        <row r="119">
          <cell r="M119">
            <v>99107.8</v>
          </cell>
          <cell r="O119">
            <v>28098.42</v>
          </cell>
          <cell r="Q119">
            <v>186783.26</v>
          </cell>
          <cell r="S119">
            <v>0</v>
          </cell>
        </row>
        <row r="120">
          <cell r="M120">
            <v>6845.77</v>
          </cell>
          <cell r="O120">
            <v>1249.4000000000001</v>
          </cell>
          <cell r="Q120">
            <v>0</v>
          </cell>
          <cell r="S120">
            <v>0</v>
          </cell>
        </row>
        <row r="121">
          <cell r="M121">
            <v>263635.78999999998</v>
          </cell>
          <cell r="O121">
            <v>29464.35</v>
          </cell>
          <cell r="Q121">
            <v>39341.449999999997</v>
          </cell>
          <cell r="S121">
            <v>0</v>
          </cell>
        </row>
        <row r="122">
          <cell r="M122">
            <v>16073.19</v>
          </cell>
          <cell r="O122">
            <v>2525.37</v>
          </cell>
          <cell r="Q122">
            <v>56715.85</v>
          </cell>
          <cell r="S122">
            <v>0</v>
          </cell>
        </row>
        <row r="123">
          <cell r="M123">
            <v>6645.2</v>
          </cell>
          <cell r="O123">
            <v>2507.62</v>
          </cell>
          <cell r="Q123">
            <v>65816.59</v>
          </cell>
          <cell r="S123">
            <v>0</v>
          </cell>
        </row>
        <row r="124">
          <cell r="M124">
            <v>50819.24</v>
          </cell>
          <cell r="O124">
            <v>8799.2900000000009</v>
          </cell>
          <cell r="Q124">
            <v>37243.31</v>
          </cell>
          <cell r="S124">
            <v>0</v>
          </cell>
        </row>
        <row r="125">
          <cell r="M125">
            <v>26903.95</v>
          </cell>
          <cell r="O125">
            <v>0</v>
          </cell>
          <cell r="Q125">
            <v>383143.58</v>
          </cell>
          <cell r="S125">
            <v>108971.12</v>
          </cell>
        </row>
        <row r="126">
          <cell r="M126">
            <v>32389.07</v>
          </cell>
          <cell r="O126">
            <v>4180.16</v>
          </cell>
          <cell r="Q126">
            <v>107840.83</v>
          </cell>
          <cell r="S126">
            <v>0</v>
          </cell>
        </row>
        <row r="127">
          <cell r="M127">
            <v>28628.400000000001</v>
          </cell>
          <cell r="O127">
            <v>2187.83</v>
          </cell>
          <cell r="Q127">
            <v>0</v>
          </cell>
          <cell r="S127">
            <v>0</v>
          </cell>
        </row>
        <row r="128">
          <cell r="M128">
            <v>31899.17</v>
          </cell>
          <cell r="O128">
            <v>4156.45</v>
          </cell>
          <cell r="Q128">
            <v>51786.61</v>
          </cell>
          <cell r="S128">
            <v>0</v>
          </cell>
        </row>
        <row r="129">
          <cell r="M129">
            <v>44584.79</v>
          </cell>
          <cell r="O129">
            <v>7668.93</v>
          </cell>
          <cell r="Q129">
            <v>217515.41</v>
          </cell>
          <cell r="S129">
            <v>0</v>
          </cell>
        </row>
        <row r="130">
          <cell r="M130">
            <v>4380.72</v>
          </cell>
          <cell r="O130">
            <v>2546.87</v>
          </cell>
          <cell r="Q130">
            <v>0</v>
          </cell>
          <cell r="S130">
            <v>0</v>
          </cell>
        </row>
        <row r="131">
          <cell r="M131">
            <v>15637.4</v>
          </cell>
          <cell r="O131">
            <v>1270.5</v>
          </cell>
          <cell r="Q131">
            <v>42628.24</v>
          </cell>
          <cell r="S131">
            <v>0</v>
          </cell>
        </row>
        <row r="132">
          <cell r="M132">
            <v>6674.58</v>
          </cell>
          <cell r="O132">
            <v>729.06</v>
          </cell>
          <cell r="Q132">
            <v>22638.62</v>
          </cell>
          <cell r="S132">
            <v>0</v>
          </cell>
        </row>
        <row r="133">
          <cell r="M133">
            <v>55779.81</v>
          </cell>
          <cell r="O133">
            <v>8383.56</v>
          </cell>
          <cell r="Q133">
            <v>153700.39000000001</v>
          </cell>
          <cell r="S133">
            <v>7526.55</v>
          </cell>
        </row>
        <row r="134">
          <cell r="M134">
            <v>24783.35</v>
          </cell>
          <cell r="O134">
            <v>2120.9299999999998</v>
          </cell>
          <cell r="Q134">
            <v>40176.080000000002</v>
          </cell>
          <cell r="S134">
            <v>0</v>
          </cell>
        </row>
        <row r="135">
          <cell r="M135">
            <v>4085.34</v>
          </cell>
          <cell r="O135">
            <v>4015.78</v>
          </cell>
          <cell r="Q135">
            <v>0</v>
          </cell>
          <cell r="S135">
            <v>0</v>
          </cell>
        </row>
        <row r="136">
          <cell r="M136">
            <v>96860.69</v>
          </cell>
          <cell r="O136">
            <v>16282.6</v>
          </cell>
          <cell r="Q136">
            <v>92485.46</v>
          </cell>
          <cell r="S136">
            <v>0</v>
          </cell>
        </row>
        <row r="137">
          <cell r="M137">
            <v>14480.76</v>
          </cell>
          <cell r="O137">
            <v>2913.31</v>
          </cell>
          <cell r="Q137">
            <v>15794.21</v>
          </cell>
          <cell r="S137">
            <v>0</v>
          </cell>
        </row>
        <row r="138">
          <cell r="M138">
            <v>15176.64</v>
          </cell>
          <cell r="O138">
            <v>4733.49</v>
          </cell>
          <cell r="Q138">
            <v>52475.13</v>
          </cell>
          <cell r="S138">
            <v>0</v>
          </cell>
        </row>
        <row r="139">
          <cell r="M139">
            <v>7091.06</v>
          </cell>
          <cell r="O139">
            <v>1874.23</v>
          </cell>
          <cell r="Q139">
            <v>49080.31</v>
          </cell>
          <cell r="S139">
            <v>0</v>
          </cell>
        </row>
        <row r="140">
          <cell r="M140">
            <v>18056.439999999999</v>
          </cell>
          <cell r="O140">
            <v>3214.54</v>
          </cell>
          <cell r="Q140">
            <v>0</v>
          </cell>
          <cell r="S140">
            <v>0</v>
          </cell>
        </row>
        <row r="141">
          <cell r="M141">
            <v>12432.87</v>
          </cell>
          <cell r="O141">
            <v>2840.67</v>
          </cell>
          <cell r="Q141">
            <v>20184.64</v>
          </cell>
          <cell r="S141">
            <v>0</v>
          </cell>
        </row>
        <row r="142">
          <cell r="M142">
            <v>21316.36</v>
          </cell>
          <cell r="O142">
            <v>6860.85</v>
          </cell>
          <cell r="Q142">
            <v>16717.91</v>
          </cell>
          <cell r="S142">
            <v>0</v>
          </cell>
        </row>
        <row r="143">
          <cell r="M143">
            <v>4090.14</v>
          </cell>
          <cell r="O143">
            <v>4177.43</v>
          </cell>
          <cell r="Q143">
            <v>65962.73</v>
          </cell>
          <cell r="S143">
            <v>0</v>
          </cell>
        </row>
        <row r="144">
          <cell r="M144">
            <v>68751.38</v>
          </cell>
          <cell r="O144">
            <v>10219.86</v>
          </cell>
          <cell r="Q144">
            <v>109792.95</v>
          </cell>
          <cell r="S144">
            <v>0</v>
          </cell>
        </row>
        <row r="145">
          <cell r="M145">
            <v>47304.45</v>
          </cell>
          <cell r="O145">
            <v>11122.31</v>
          </cell>
          <cell r="Q145">
            <v>95082.36</v>
          </cell>
          <cell r="S145">
            <v>0</v>
          </cell>
        </row>
        <row r="146">
          <cell r="M146">
            <v>11354.17</v>
          </cell>
          <cell r="O146">
            <v>2007.98</v>
          </cell>
          <cell r="Q146">
            <v>31169.14</v>
          </cell>
          <cell r="S146">
            <v>0</v>
          </cell>
        </row>
        <row r="147">
          <cell r="M147">
            <v>114417.19</v>
          </cell>
          <cell r="O147">
            <v>29047.49</v>
          </cell>
          <cell r="Q147">
            <v>207850.03</v>
          </cell>
          <cell r="S147">
            <v>0</v>
          </cell>
        </row>
        <row r="148">
          <cell r="M148">
            <v>23310.04</v>
          </cell>
          <cell r="O148">
            <v>4338.84</v>
          </cell>
          <cell r="Q148">
            <v>32244.74</v>
          </cell>
          <cell r="S148">
            <v>0</v>
          </cell>
        </row>
        <row r="149">
          <cell r="M149">
            <v>87442.44</v>
          </cell>
          <cell r="O149">
            <v>31519.27</v>
          </cell>
          <cell r="Q149">
            <v>75598.73</v>
          </cell>
          <cell r="S149">
            <v>40552.239999999998</v>
          </cell>
        </row>
        <row r="150">
          <cell r="M150">
            <v>34367.769999999997</v>
          </cell>
          <cell r="O150">
            <v>7008.72</v>
          </cell>
          <cell r="Q150">
            <v>56373.5</v>
          </cell>
          <cell r="S150">
            <v>0</v>
          </cell>
        </row>
        <row r="151">
          <cell r="M151">
            <v>17979.55</v>
          </cell>
          <cell r="O151">
            <v>3932.36</v>
          </cell>
          <cell r="Q151">
            <v>74622.149999999994</v>
          </cell>
          <cell r="S151">
            <v>0</v>
          </cell>
        </row>
        <row r="152">
          <cell r="M152">
            <v>7989.9</v>
          </cell>
          <cell r="O152">
            <v>2018</v>
          </cell>
          <cell r="Q152">
            <v>42378.35</v>
          </cell>
          <cell r="S152">
            <v>0</v>
          </cell>
        </row>
        <row r="153">
          <cell r="M153">
            <v>0</v>
          </cell>
          <cell r="O153">
            <v>1711.68</v>
          </cell>
          <cell r="Q153">
            <v>73408.77</v>
          </cell>
          <cell r="S153">
            <v>0</v>
          </cell>
        </row>
        <row r="154">
          <cell r="M154">
            <v>176188.52</v>
          </cell>
          <cell r="O154">
            <v>32505.07</v>
          </cell>
          <cell r="Q154">
            <v>337530.3</v>
          </cell>
          <cell r="S154">
            <v>0</v>
          </cell>
        </row>
        <row r="155">
          <cell r="M155">
            <v>8981.02</v>
          </cell>
          <cell r="O155">
            <v>2278.04</v>
          </cell>
          <cell r="Q155">
            <v>39564.730000000003</v>
          </cell>
          <cell r="S155">
            <v>0</v>
          </cell>
        </row>
        <row r="156">
          <cell r="M156">
            <v>5905.01</v>
          </cell>
          <cell r="O156">
            <v>1418.47</v>
          </cell>
          <cell r="Q156">
            <v>52522.9</v>
          </cell>
          <cell r="S156">
            <v>0</v>
          </cell>
        </row>
        <row r="157">
          <cell r="M157">
            <v>17745.169999999998</v>
          </cell>
          <cell r="O157">
            <v>3516.03</v>
          </cell>
          <cell r="Q157">
            <v>15124.98</v>
          </cell>
          <cell r="S157">
            <v>8695.69</v>
          </cell>
        </row>
        <row r="158">
          <cell r="M158">
            <v>25509.26</v>
          </cell>
          <cell r="O158">
            <v>5526.94</v>
          </cell>
          <cell r="Q158">
            <v>16550.02</v>
          </cell>
          <cell r="S158">
            <v>0</v>
          </cell>
        </row>
        <row r="159">
          <cell r="M159">
            <v>21774.34</v>
          </cell>
          <cell r="O159">
            <v>5483.41</v>
          </cell>
          <cell r="Q159">
            <v>0</v>
          </cell>
          <cell r="S159">
            <v>0</v>
          </cell>
        </row>
        <row r="160">
          <cell r="M160">
            <v>12125.1</v>
          </cell>
          <cell r="O160">
            <v>2470.4499999999998</v>
          </cell>
          <cell r="Q160">
            <v>39360.75</v>
          </cell>
          <cell r="S160">
            <v>0</v>
          </cell>
        </row>
        <row r="161">
          <cell r="M161">
            <v>105562.41</v>
          </cell>
          <cell r="O161">
            <v>11291.93</v>
          </cell>
          <cell r="Q161">
            <v>8471.6299999999992</v>
          </cell>
          <cell r="S161">
            <v>0</v>
          </cell>
        </row>
        <row r="162">
          <cell r="M162">
            <v>18133.91</v>
          </cell>
          <cell r="O162">
            <v>930.29</v>
          </cell>
          <cell r="Q162">
            <v>43087.92</v>
          </cell>
          <cell r="S162">
            <v>0</v>
          </cell>
        </row>
        <row r="163">
          <cell r="M163">
            <v>8426.3700000000008</v>
          </cell>
          <cell r="O163">
            <v>1412.06</v>
          </cell>
          <cell r="Q163">
            <v>0</v>
          </cell>
          <cell r="S163">
            <v>0</v>
          </cell>
        </row>
        <row r="164">
          <cell r="M164">
            <v>9794.56</v>
          </cell>
          <cell r="O164">
            <v>1218.55</v>
          </cell>
          <cell r="Q164">
            <v>0</v>
          </cell>
          <cell r="S164">
            <v>0</v>
          </cell>
        </row>
        <row r="165">
          <cell r="M165">
            <v>2574</v>
          </cell>
          <cell r="O165">
            <v>1643.34</v>
          </cell>
          <cell r="Q165">
            <v>0</v>
          </cell>
          <cell r="S165">
            <v>0</v>
          </cell>
        </row>
        <row r="166">
          <cell r="M166">
            <v>34802.83</v>
          </cell>
          <cell r="O166">
            <v>14590.58</v>
          </cell>
          <cell r="Q166">
            <v>205136.63</v>
          </cell>
          <cell r="S166">
            <v>0</v>
          </cell>
        </row>
        <row r="167">
          <cell r="M167">
            <v>18989.97</v>
          </cell>
          <cell r="O167">
            <v>4677.3100000000004</v>
          </cell>
          <cell r="Q167">
            <v>128676</v>
          </cell>
          <cell r="S167">
            <v>0</v>
          </cell>
        </row>
        <row r="168">
          <cell r="M168">
            <v>17940.84</v>
          </cell>
          <cell r="O168">
            <v>1319.97</v>
          </cell>
          <cell r="Q168">
            <v>84306.01</v>
          </cell>
          <cell r="S168">
            <v>0</v>
          </cell>
        </row>
        <row r="169">
          <cell r="M169">
            <v>51006.39</v>
          </cell>
          <cell r="O169">
            <v>7310.78</v>
          </cell>
          <cell r="Q169">
            <v>105884.47</v>
          </cell>
          <cell r="S169">
            <v>0</v>
          </cell>
        </row>
        <row r="170">
          <cell r="M170">
            <v>755805.95</v>
          </cell>
          <cell r="O170">
            <v>82606.899999999994</v>
          </cell>
          <cell r="Q170">
            <v>477816.37</v>
          </cell>
          <cell r="S170">
            <v>0</v>
          </cell>
        </row>
        <row r="171">
          <cell r="M171">
            <v>10327.94</v>
          </cell>
          <cell r="O171">
            <v>2512.14</v>
          </cell>
          <cell r="Q171">
            <v>24220.720000000001</v>
          </cell>
          <cell r="S171">
            <v>0</v>
          </cell>
        </row>
        <row r="172">
          <cell r="M172">
            <v>123485.54</v>
          </cell>
          <cell r="O172">
            <v>19169.57</v>
          </cell>
          <cell r="Q172">
            <v>262737.39</v>
          </cell>
          <cell r="S172">
            <v>0</v>
          </cell>
        </row>
        <row r="173">
          <cell r="M173">
            <v>16645.88</v>
          </cell>
          <cell r="O173">
            <v>3815.88</v>
          </cell>
          <cell r="Q173">
            <v>36730.51</v>
          </cell>
          <cell r="S173">
            <v>0</v>
          </cell>
        </row>
        <row r="174">
          <cell r="M174">
            <v>11884.97</v>
          </cell>
          <cell r="O174">
            <v>5849.57</v>
          </cell>
          <cell r="Q174">
            <v>40590.67</v>
          </cell>
          <cell r="S174">
            <v>0</v>
          </cell>
        </row>
        <row r="175">
          <cell r="M175">
            <v>17231.259999999998</v>
          </cell>
          <cell r="O175">
            <v>5623.17</v>
          </cell>
          <cell r="Q175">
            <v>14762.35</v>
          </cell>
          <cell r="S175">
            <v>7334.38</v>
          </cell>
        </row>
        <row r="176">
          <cell r="M176">
            <v>46687.38</v>
          </cell>
          <cell r="O176">
            <v>8136.61</v>
          </cell>
          <cell r="Q176">
            <v>70476.73</v>
          </cell>
          <cell r="S176">
            <v>5883.37</v>
          </cell>
        </row>
        <row r="177">
          <cell r="M177">
            <v>5628.88</v>
          </cell>
          <cell r="O177">
            <v>3096.54</v>
          </cell>
          <cell r="Q177">
            <v>64692.1</v>
          </cell>
          <cell r="S177">
            <v>0</v>
          </cell>
        </row>
        <row r="178">
          <cell r="M178">
            <v>12565.97</v>
          </cell>
          <cell r="O178">
            <v>6020.67</v>
          </cell>
          <cell r="Q178">
            <v>103998.37</v>
          </cell>
          <cell r="S178">
            <v>0</v>
          </cell>
        </row>
        <row r="179">
          <cell r="M179">
            <v>14672.07</v>
          </cell>
          <cell r="O179">
            <v>4246.63</v>
          </cell>
          <cell r="Q179">
            <v>0</v>
          </cell>
          <cell r="S179">
            <v>0</v>
          </cell>
        </row>
        <row r="180">
          <cell r="M180">
            <v>93841.39</v>
          </cell>
          <cell r="O180">
            <v>13265.39</v>
          </cell>
          <cell r="Q180">
            <v>180906.88</v>
          </cell>
          <cell r="S180">
            <v>28531.73</v>
          </cell>
        </row>
        <row r="181">
          <cell r="M181">
            <v>20665.13</v>
          </cell>
          <cell r="O181">
            <v>3606.93</v>
          </cell>
          <cell r="Q181">
            <v>27126.54</v>
          </cell>
          <cell r="S181">
            <v>0</v>
          </cell>
        </row>
        <row r="182">
          <cell r="M182">
            <v>61972.19</v>
          </cell>
          <cell r="O182">
            <v>13576.18</v>
          </cell>
          <cell r="Q182">
            <v>104657.59</v>
          </cell>
          <cell r="S182">
            <v>0</v>
          </cell>
        </row>
        <row r="183">
          <cell r="M183">
            <v>24952.06</v>
          </cell>
          <cell r="O183">
            <v>5941.45</v>
          </cell>
          <cell r="Q183">
            <v>9943.41</v>
          </cell>
          <cell r="S183">
            <v>0</v>
          </cell>
        </row>
        <row r="184">
          <cell r="M184">
            <v>5538.96</v>
          </cell>
          <cell r="O184">
            <v>980.41</v>
          </cell>
          <cell r="Q184">
            <v>0</v>
          </cell>
          <cell r="S184">
            <v>0</v>
          </cell>
        </row>
        <row r="185">
          <cell r="M185">
            <v>70842.83</v>
          </cell>
          <cell r="O185">
            <v>16171.47</v>
          </cell>
          <cell r="Q185">
            <v>124829.18</v>
          </cell>
          <cell r="S185">
            <v>0</v>
          </cell>
        </row>
        <row r="186">
          <cell r="M186">
            <v>85148.22</v>
          </cell>
          <cell r="O186">
            <v>18004.18</v>
          </cell>
          <cell r="Q186">
            <v>90176</v>
          </cell>
          <cell r="S186">
            <v>0</v>
          </cell>
        </row>
        <row r="187">
          <cell r="M187">
            <v>19002.560000000001</v>
          </cell>
          <cell r="O187">
            <v>3403.23</v>
          </cell>
          <cell r="Q187">
            <v>0</v>
          </cell>
          <cell r="S187">
            <v>0</v>
          </cell>
        </row>
        <row r="188">
          <cell r="M188">
            <v>4220.17</v>
          </cell>
          <cell r="O188">
            <v>849.39</v>
          </cell>
          <cell r="Q188">
            <v>11266.49</v>
          </cell>
          <cell r="S188">
            <v>0</v>
          </cell>
        </row>
        <row r="189">
          <cell r="M189">
            <v>30005.59</v>
          </cell>
          <cell r="O189">
            <v>4948.8</v>
          </cell>
          <cell r="Q189">
            <v>42968.93</v>
          </cell>
          <cell r="S189">
            <v>0</v>
          </cell>
        </row>
        <row r="190">
          <cell r="M190">
            <v>3061.91</v>
          </cell>
          <cell r="O190">
            <v>2493.13</v>
          </cell>
          <cell r="Q190">
            <v>0</v>
          </cell>
          <cell r="S190">
            <v>0</v>
          </cell>
        </row>
        <row r="191">
          <cell r="M191">
            <v>228459.07</v>
          </cell>
          <cell r="O191">
            <v>33156.379999999997</v>
          </cell>
          <cell r="Q191">
            <v>347012.94</v>
          </cell>
          <cell r="S191">
            <v>83149.100000000006</v>
          </cell>
        </row>
        <row r="192">
          <cell r="M192">
            <v>293250.23</v>
          </cell>
          <cell r="O192">
            <v>68236.179999999993</v>
          </cell>
          <cell r="Q192">
            <v>569971.1</v>
          </cell>
          <cell r="S192">
            <v>139298.97</v>
          </cell>
        </row>
        <row r="193">
          <cell r="M193">
            <v>154886.99</v>
          </cell>
          <cell r="O193">
            <v>31958.68</v>
          </cell>
          <cell r="Q193">
            <v>120970.24000000001</v>
          </cell>
          <cell r="S193">
            <v>49974.93</v>
          </cell>
        </row>
        <row r="194">
          <cell r="M194">
            <v>207155.53</v>
          </cell>
          <cell r="O194">
            <v>39951.58</v>
          </cell>
          <cell r="Q194">
            <v>416056.98</v>
          </cell>
          <cell r="S194">
            <v>110600.65</v>
          </cell>
        </row>
        <row r="195">
          <cell r="M195">
            <v>1563558.93</v>
          </cell>
          <cell r="O195">
            <v>142844.96</v>
          </cell>
          <cell r="Q195">
            <v>1678607.37</v>
          </cell>
          <cell r="S195">
            <v>0</v>
          </cell>
        </row>
        <row r="196">
          <cell r="M196">
            <v>17223.75</v>
          </cell>
          <cell r="O196">
            <v>2164.8000000000002</v>
          </cell>
          <cell r="Q196">
            <v>0</v>
          </cell>
          <cell r="S196">
            <v>0</v>
          </cell>
        </row>
        <row r="197">
          <cell r="M197">
            <v>7204.11</v>
          </cell>
          <cell r="O197">
            <v>3361.01</v>
          </cell>
          <cell r="Q197">
            <v>0</v>
          </cell>
          <cell r="S197">
            <v>0</v>
          </cell>
        </row>
        <row r="198">
          <cell r="M198">
            <v>20437.669999999998</v>
          </cell>
          <cell r="O198">
            <v>3564.57</v>
          </cell>
          <cell r="Q198">
            <v>76520.36</v>
          </cell>
          <cell r="S198">
            <v>0</v>
          </cell>
        </row>
        <row r="199">
          <cell r="M199">
            <v>5866.44</v>
          </cell>
          <cell r="O199">
            <v>1410.6</v>
          </cell>
          <cell r="Q199">
            <v>0</v>
          </cell>
          <cell r="S199">
            <v>0</v>
          </cell>
        </row>
        <row r="200">
          <cell r="M200">
            <v>17517.84</v>
          </cell>
          <cell r="O200">
            <v>3225.52</v>
          </cell>
          <cell r="Q200">
            <v>25029.34</v>
          </cell>
          <cell r="S200">
            <v>0</v>
          </cell>
        </row>
        <row r="201">
          <cell r="M201">
            <v>112343.78</v>
          </cell>
          <cell r="O201">
            <v>27781.200000000001</v>
          </cell>
          <cell r="Q201">
            <v>398528.28</v>
          </cell>
          <cell r="S201">
            <v>0</v>
          </cell>
        </row>
        <row r="202">
          <cell r="M202">
            <v>140768.67000000001</v>
          </cell>
          <cell r="O202">
            <v>24093.62</v>
          </cell>
          <cell r="Q202">
            <v>317089.19</v>
          </cell>
          <cell r="S202">
            <v>0</v>
          </cell>
        </row>
        <row r="203">
          <cell r="M203">
            <v>11415.21</v>
          </cell>
          <cell r="O203">
            <v>2104.79</v>
          </cell>
          <cell r="Q203">
            <v>55556.62</v>
          </cell>
          <cell r="S203">
            <v>0</v>
          </cell>
        </row>
        <row r="204">
          <cell r="M204">
            <v>22012.84</v>
          </cell>
          <cell r="O204">
            <v>2404.1999999999998</v>
          </cell>
          <cell r="Q204">
            <v>0</v>
          </cell>
          <cell r="S204">
            <v>0</v>
          </cell>
        </row>
        <row r="205">
          <cell r="M205">
            <v>50794.51</v>
          </cell>
          <cell r="O205">
            <v>10951.81</v>
          </cell>
          <cell r="Q205">
            <v>178399.45</v>
          </cell>
          <cell r="S205">
            <v>0</v>
          </cell>
        </row>
        <row r="206">
          <cell r="M206">
            <v>48542.6</v>
          </cell>
          <cell r="O206">
            <v>7536.52</v>
          </cell>
          <cell r="Q206">
            <v>111750.55</v>
          </cell>
          <cell r="S206">
            <v>12788.9</v>
          </cell>
        </row>
        <row r="207">
          <cell r="M207">
            <v>1835.5299999999997</v>
          </cell>
          <cell r="O207">
            <v>0</v>
          </cell>
          <cell r="Q207">
            <v>93672.83</v>
          </cell>
          <cell r="S207">
            <v>217511.46000000002</v>
          </cell>
        </row>
        <row r="208">
          <cell r="M208">
            <v>155639.04000000001</v>
          </cell>
          <cell r="O208">
            <v>3710.48</v>
          </cell>
          <cell r="Q208">
            <v>8143.43</v>
          </cell>
          <cell r="S208">
            <v>0</v>
          </cell>
        </row>
        <row r="209">
          <cell r="M209">
            <v>18159.760000000002</v>
          </cell>
          <cell r="O209">
            <v>2320.36</v>
          </cell>
          <cell r="Q209">
            <v>91644.61</v>
          </cell>
          <cell r="S209">
            <v>0</v>
          </cell>
        </row>
        <row r="210">
          <cell r="M210">
            <v>75673.3</v>
          </cell>
          <cell r="O210">
            <v>11733.77</v>
          </cell>
          <cell r="Q210">
            <v>57457.23</v>
          </cell>
          <cell r="S210">
            <v>0</v>
          </cell>
        </row>
        <row r="211">
          <cell r="M211">
            <v>185621.29</v>
          </cell>
          <cell r="O211">
            <v>0</v>
          </cell>
          <cell r="Q211">
            <v>350047.64</v>
          </cell>
          <cell r="S211">
            <v>0</v>
          </cell>
        </row>
        <row r="212">
          <cell r="M212">
            <v>91152.73</v>
          </cell>
          <cell r="O212">
            <v>15911.64</v>
          </cell>
          <cell r="Q212">
            <v>115243.11</v>
          </cell>
          <cell r="S212">
            <v>50725.66</v>
          </cell>
        </row>
        <row r="213">
          <cell r="M213">
            <v>219107.84999999998</v>
          </cell>
          <cell r="O213">
            <v>0</v>
          </cell>
          <cell r="Q213">
            <v>176944.34</v>
          </cell>
          <cell r="S213">
            <v>42498.18</v>
          </cell>
        </row>
        <row r="214">
          <cell r="M214">
            <v>10.34</v>
          </cell>
          <cell r="O214">
            <v>0.57999999999999996</v>
          </cell>
          <cell r="Q214">
            <v>14.93</v>
          </cell>
          <cell r="S214">
            <v>0</v>
          </cell>
        </row>
        <row r="215">
          <cell r="M215">
            <v>697621.83</v>
          </cell>
          <cell r="O215">
            <v>167712.25</v>
          </cell>
          <cell r="Q215">
            <v>2092207.17</v>
          </cell>
          <cell r="S215">
            <v>0</v>
          </cell>
        </row>
        <row r="216">
          <cell r="M216">
            <v>107.26</v>
          </cell>
          <cell r="O216">
            <v>0</v>
          </cell>
          <cell r="Q216">
            <v>25364.82</v>
          </cell>
          <cell r="S216">
            <v>24404.89</v>
          </cell>
        </row>
        <row r="217">
          <cell r="M217">
            <v>20121.259999999998</v>
          </cell>
          <cell r="O217">
            <v>6357.86</v>
          </cell>
          <cell r="Q217">
            <v>172906.93</v>
          </cell>
          <cell r="S217">
            <v>0</v>
          </cell>
        </row>
        <row r="218">
          <cell r="M218">
            <v>17380.23</v>
          </cell>
          <cell r="O218">
            <v>4871.8599999999997</v>
          </cell>
          <cell r="Q218">
            <v>68736.61</v>
          </cell>
          <cell r="S218">
            <v>0</v>
          </cell>
        </row>
        <row r="219">
          <cell r="M219">
            <v>83330.97</v>
          </cell>
          <cell r="O219">
            <v>18357.509999999998</v>
          </cell>
          <cell r="Q219">
            <v>385032.02</v>
          </cell>
          <cell r="S219">
            <v>0</v>
          </cell>
        </row>
        <row r="220">
          <cell r="M220">
            <v>56813.36</v>
          </cell>
          <cell r="O220">
            <v>18477.689999999999</v>
          </cell>
          <cell r="Q220">
            <v>503405.23</v>
          </cell>
          <cell r="S220">
            <v>0</v>
          </cell>
        </row>
        <row r="221">
          <cell r="M221">
            <v>65989.88</v>
          </cell>
          <cell r="O221">
            <v>11467.17</v>
          </cell>
          <cell r="Q221">
            <v>254206.1</v>
          </cell>
          <cell r="S221">
            <v>0</v>
          </cell>
        </row>
        <row r="222">
          <cell r="M222">
            <v>52558.71</v>
          </cell>
          <cell r="O222">
            <v>6238.22</v>
          </cell>
          <cell r="Q222">
            <v>97962.09</v>
          </cell>
          <cell r="S222">
            <v>0</v>
          </cell>
        </row>
        <row r="223">
          <cell r="M223">
            <v>48732.68</v>
          </cell>
          <cell r="O223">
            <v>14538.45</v>
          </cell>
          <cell r="Q223">
            <v>242215.12</v>
          </cell>
          <cell r="S223">
            <v>23732.65</v>
          </cell>
        </row>
        <row r="224">
          <cell r="M224">
            <v>311741.98</v>
          </cell>
          <cell r="O224">
            <v>38579.78</v>
          </cell>
          <cell r="Q224">
            <v>936931.78</v>
          </cell>
          <cell r="S224">
            <v>14403.37</v>
          </cell>
        </row>
        <row r="225">
          <cell r="M225">
            <v>4260.8</v>
          </cell>
          <cell r="O225">
            <v>6783.09</v>
          </cell>
          <cell r="Q225">
            <v>110445.75</v>
          </cell>
          <cell r="S225">
            <v>9098.41</v>
          </cell>
        </row>
        <row r="226">
          <cell r="M226">
            <v>21857.88</v>
          </cell>
          <cell r="O226">
            <v>5176.82</v>
          </cell>
          <cell r="Q226">
            <v>58724.82</v>
          </cell>
          <cell r="S226">
            <v>0</v>
          </cell>
        </row>
        <row r="227">
          <cell r="M227">
            <v>44957.89</v>
          </cell>
          <cell r="O227">
            <v>9318.01</v>
          </cell>
          <cell r="Q227">
            <v>101586.07</v>
          </cell>
          <cell r="S227">
            <v>0</v>
          </cell>
        </row>
        <row r="228">
          <cell r="M228">
            <v>18832.91</v>
          </cell>
          <cell r="O228">
            <v>4038.72</v>
          </cell>
          <cell r="Q228">
            <v>79514.53</v>
          </cell>
          <cell r="S228">
            <v>0</v>
          </cell>
        </row>
        <row r="229">
          <cell r="M229">
            <v>397482.62</v>
          </cell>
          <cell r="O229">
            <v>75814.5</v>
          </cell>
          <cell r="Q229">
            <v>263338.51</v>
          </cell>
          <cell r="S229">
            <v>132700.28</v>
          </cell>
        </row>
        <row r="230">
          <cell r="M230">
            <v>17667.66</v>
          </cell>
          <cell r="O230">
            <v>7715.88</v>
          </cell>
          <cell r="Q230">
            <v>81078.66</v>
          </cell>
          <cell r="S230">
            <v>0</v>
          </cell>
        </row>
        <row r="231">
          <cell r="M231">
            <v>25993.439999999999</v>
          </cell>
          <cell r="O231">
            <v>8566.24</v>
          </cell>
          <cell r="Q231">
            <v>134778.25</v>
          </cell>
          <cell r="S231">
            <v>0</v>
          </cell>
        </row>
        <row r="232">
          <cell r="M232">
            <v>48672.9</v>
          </cell>
          <cell r="O232">
            <v>9324.33</v>
          </cell>
          <cell r="Q232">
            <v>230059.44</v>
          </cell>
          <cell r="S232">
            <v>0</v>
          </cell>
        </row>
        <row r="233">
          <cell r="M233">
            <v>43741.46</v>
          </cell>
          <cell r="O233">
            <v>8730.7999999999993</v>
          </cell>
          <cell r="Q233">
            <v>142074.9</v>
          </cell>
          <cell r="S233">
            <v>25402.44</v>
          </cell>
        </row>
        <row r="234">
          <cell r="M234">
            <v>27759.200000000001</v>
          </cell>
          <cell r="O234">
            <v>3789.15</v>
          </cell>
          <cell r="Q234">
            <v>113806.89</v>
          </cell>
          <cell r="S234">
            <v>0</v>
          </cell>
        </row>
        <row r="235">
          <cell r="M235">
            <v>130747.43</v>
          </cell>
          <cell r="O235">
            <v>25507.32</v>
          </cell>
          <cell r="Q235">
            <v>213454.14</v>
          </cell>
          <cell r="S235">
            <v>0</v>
          </cell>
        </row>
        <row r="236">
          <cell r="M236">
            <v>11278.5</v>
          </cell>
          <cell r="O236">
            <v>2154.9899999999998</v>
          </cell>
          <cell r="Q236">
            <v>60672.54</v>
          </cell>
          <cell r="S236">
            <v>0</v>
          </cell>
        </row>
        <row r="237">
          <cell r="M237">
            <v>5550.84</v>
          </cell>
          <cell r="O237">
            <v>1199.3</v>
          </cell>
          <cell r="Q237">
            <v>19557.900000000001</v>
          </cell>
          <cell r="S237">
            <v>0</v>
          </cell>
        </row>
        <row r="238">
          <cell r="M238">
            <v>15889.08</v>
          </cell>
          <cell r="O238">
            <v>7863.77</v>
          </cell>
          <cell r="Q238">
            <v>166776.32999999999</v>
          </cell>
          <cell r="S238">
            <v>8900.16</v>
          </cell>
        </row>
        <row r="239">
          <cell r="M239">
            <v>5754.61</v>
          </cell>
          <cell r="O239">
            <v>2285.9299999999998</v>
          </cell>
          <cell r="Q239">
            <v>0</v>
          </cell>
          <cell r="S239">
            <v>0</v>
          </cell>
        </row>
        <row r="240">
          <cell r="M240">
            <v>19649.79</v>
          </cell>
          <cell r="O240">
            <v>2725.37</v>
          </cell>
          <cell r="Q240">
            <v>34046.089999999997</v>
          </cell>
          <cell r="S240">
            <v>0</v>
          </cell>
        </row>
        <row r="241">
          <cell r="M241">
            <v>29841.65</v>
          </cell>
          <cell r="O241">
            <v>5772.63</v>
          </cell>
          <cell r="Q241">
            <v>25091.29</v>
          </cell>
          <cell r="S241">
            <v>0</v>
          </cell>
        </row>
        <row r="242">
          <cell r="M242">
            <v>21670.720000000001</v>
          </cell>
          <cell r="O242">
            <v>7739.33</v>
          </cell>
          <cell r="Q242">
            <v>60081.9</v>
          </cell>
          <cell r="S242">
            <v>0</v>
          </cell>
        </row>
        <row r="243">
          <cell r="M243">
            <v>17938.490000000002</v>
          </cell>
          <cell r="O243">
            <v>3515.54</v>
          </cell>
          <cell r="Q243">
            <v>26344.46</v>
          </cell>
          <cell r="S243">
            <v>0</v>
          </cell>
        </row>
        <row r="244">
          <cell r="M244">
            <v>5993.9</v>
          </cell>
          <cell r="O244">
            <v>1958.37</v>
          </cell>
          <cell r="Q244">
            <v>0</v>
          </cell>
          <cell r="S244">
            <v>0</v>
          </cell>
        </row>
        <row r="245">
          <cell r="M245">
            <v>18376.2</v>
          </cell>
          <cell r="O245">
            <v>3651.3</v>
          </cell>
          <cell r="Q245">
            <v>0</v>
          </cell>
          <cell r="S245">
            <v>0</v>
          </cell>
        </row>
        <row r="246">
          <cell r="M246">
            <v>20978.92</v>
          </cell>
          <cell r="O246">
            <v>6078.92</v>
          </cell>
          <cell r="Q246">
            <v>44297.66</v>
          </cell>
          <cell r="S246">
            <v>0</v>
          </cell>
        </row>
        <row r="247">
          <cell r="M247">
            <v>22989.62</v>
          </cell>
          <cell r="O247">
            <v>8811.43</v>
          </cell>
          <cell r="Q247">
            <v>89059.8</v>
          </cell>
          <cell r="S247">
            <v>0</v>
          </cell>
        </row>
        <row r="248">
          <cell r="M248">
            <v>6469.17</v>
          </cell>
          <cell r="O248">
            <v>0</v>
          </cell>
          <cell r="Q248">
            <v>0</v>
          </cell>
          <cell r="S248">
            <v>0</v>
          </cell>
        </row>
        <row r="249">
          <cell r="M249">
            <v>11901.98</v>
          </cell>
          <cell r="O249">
            <v>1266.08</v>
          </cell>
          <cell r="Q249">
            <v>30609.06</v>
          </cell>
          <cell r="S249">
            <v>0</v>
          </cell>
        </row>
        <row r="250">
          <cell r="M250">
            <v>27867.14</v>
          </cell>
          <cell r="O250">
            <v>5792.59</v>
          </cell>
          <cell r="Q250">
            <v>0</v>
          </cell>
          <cell r="S250">
            <v>0</v>
          </cell>
        </row>
        <row r="251">
          <cell r="M251">
            <v>45971.01</v>
          </cell>
          <cell r="O251">
            <v>3684.69</v>
          </cell>
          <cell r="Q251">
            <v>43942.91</v>
          </cell>
          <cell r="S251">
            <v>0</v>
          </cell>
        </row>
        <row r="252">
          <cell r="M252">
            <v>48918.26</v>
          </cell>
          <cell r="O252">
            <v>15095.38</v>
          </cell>
          <cell r="Q252">
            <v>109922.22</v>
          </cell>
          <cell r="S252">
            <v>0</v>
          </cell>
        </row>
        <row r="253">
          <cell r="M253">
            <v>139217.07999999999</v>
          </cell>
          <cell r="O253">
            <v>42457.15</v>
          </cell>
          <cell r="Q253">
            <v>183462.72</v>
          </cell>
          <cell r="S253">
            <v>25452.68</v>
          </cell>
        </row>
        <row r="254">
          <cell r="M254">
            <v>43217.120000000003</v>
          </cell>
          <cell r="O254">
            <v>4839.24</v>
          </cell>
          <cell r="Q254">
            <v>86439.01</v>
          </cell>
          <cell r="S254">
            <v>6279.18</v>
          </cell>
        </row>
        <row r="255">
          <cell r="M255">
            <v>348256.02</v>
          </cell>
          <cell r="O255">
            <v>60632.800000000003</v>
          </cell>
          <cell r="Q255">
            <v>1093623.3799999999</v>
          </cell>
          <cell r="S255">
            <v>0</v>
          </cell>
        </row>
        <row r="256">
          <cell r="M256">
            <v>184587.41</v>
          </cell>
          <cell r="O256">
            <v>24583.78</v>
          </cell>
          <cell r="Q256">
            <v>235281.59</v>
          </cell>
          <cell r="S256">
            <v>40793.47</v>
          </cell>
        </row>
        <row r="257">
          <cell r="M257">
            <v>15350.63</v>
          </cell>
          <cell r="O257">
            <v>1900.65</v>
          </cell>
          <cell r="Q257">
            <v>0</v>
          </cell>
          <cell r="S257">
            <v>0</v>
          </cell>
        </row>
        <row r="258">
          <cell r="M258">
            <v>8829.07</v>
          </cell>
          <cell r="O258">
            <v>3568.38</v>
          </cell>
          <cell r="Q258">
            <v>55709.69</v>
          </cell>
          <cell r="S258">
            <v>0</v>
          </cell>
        </row>
        <row r="259">
          <cell r="M259">
            <v>44583.01</v>
          </cell>
          <cell r="O259">
            <v>10186.290000000001</v>
          </cell>
          <cell r="Q259">
            <v>30919.49</v>
          </cell>
          <cell r="S259">
            <v>0</v>
          </cell>
        </row>
        <row r="260">
          <cell r="M260">
            <v>32490.34</v>
          </cell>
          <cell r="O260">
            <v>7663.12</v>
          </cell>
          <cell r="Q260">
            <v>28679.41</v>
          </cell>
          <cell r="S260">
            <v>0</v>
          </cell>
        </row>
        <row r="261">
          <cell r="M261">
            <v>14234.27</v>
          </cell>
          <cell r="O261">
            <v>1526.39</v>
          </cell>
          <cell r="Q261">
            <v>0</v>
          </cell>
          <cell r="S261">
            <v>0</v>
          </cell>
        </row>
        <row r="262">
          <cell r="M262">
            <v>2251.64</v>
          </cell>
          <cell r="O262">
            <v>684.69</v>
          </cell>
          <cell r="Q262">
            <v>0</v>
          </cell>
          <cell r="S262">
            <v>0</v>
          </cell>
        </row>
        <row r="263">
          <cell r="M263">
            <v>32504.84</v>
          </cell>
          <cell r="O263">
            <v>4968.24</v>
          </cell>
          <cell r="Q263">
            <v>27555.74</v>
          </cell>
          <cell r="S263">
            <v>0</v>
          </cell>
        </row>
        <row r="264">
          <cell r="M264">
            <v>18705.689999999999</v>
          </cell>
          <cell r="O264">
            <v>5525.23</v>
          </cell>
          <cell r="Q264">
            <v>71375.179999999993</v>
          </cell>
          <cell r="S264">
            <v>0</v>
          </cell>
        </row>
        <row r="265">
          <cell r="M265">
            <v>198124.99</v>
          </cell>
          <cell r="O265">
            <v>47249.66</v>
          </cell>
          <cell r="Q265">
            <v>195754.61</v>
          </cell>
          <cell r="S265">
            <v>77081.320000000007</v>
          </cell>
        </row>
        <row r="266">
          <cell r="M266">
            <v>59954.38</v>
          </cell>
          <cell r="O266">
            <v>9532.7800000000007</v>
          </cell>
          <cell r="Q266">
            <v>13712.06</v>
          </cell>
          <cell r="S266">
            <v>0</v>
          </cell>
        </row>
        <row r="267">
          <cell r="M267">
            <v>113547.2</v>
          </cell>
          <cell r="O267">
            <v>33430.04</v>
          </cell>
          <cell r="Q267">
            <v>377341.82</v>
          </cell>
          <cell r="S267">
            <v>29368.65</v>
          </cell>
        </row>
        <row r="268">
          <cell r="M268">
            <v>36884.51</v>
          </cell>
          <cell r="O268">
            <v>9912.93</v>
          </cell>
          <cell r="Q268">
            <v>91539.97</v>
          </cell>
          <cell r="S268">
            <v>0</v>
          </cell>
        </row>
        <row r="269">
          <cell r="M269">
            <v>15769.91</v>
          </cell>
          <cell r="O269">
            <v>4451.8900000000003</v>
          </cell>
          <cell r="Q269">
            <v>101181.16</v>
          </cell>
          <cell r="S269">
            <v>5305.38</v>
          </cell>
        </row>
        <row r="270">
          <cell r="M270">
            <v>76610.91</v>
          </cell>
          <cell r="O270">
            <v>11476.01</v>
          </cell>
          <cell r="Q270">
            <v>229579.44</v>
          </cell>
          <cell r="S270">
            <v>0</v>
          </cell>
        </row>
        <row r="271">
          <cell r="M271">
            <v>12589.52</v>
          </cell>
          <cell r="O271">
            <v>4158.4799999999996</v>
          </cell>
          <cell r="Q271">
            <v>101974.06</v>
          </cell>
          <cell r="S271">
            <v>9658.34</v>
          </cell>
        </row>
        <row r="272">
          <cell r="M272">
            <v>54519.360000000001</v>
          </cell>
          <cell r="O272">
            <v>13343.59</v>
          </cell>
          <cell r="Q272">
            <v>464668.11</v>
          </cell>
          <cell r="S272">
            <v>0</v>
          </cell>
        </row>
        <row r="273">
          <cell r="M273">
            <v>36854.339999999997</v>
          </cell>
          <cell r="O273">
            <v>5989.49</v>
          </cell>
          <cell r="Q273">
            <v>34863.160000000003</v>
          </cell>
          <cell r="S273">
            <v>0</v>
          </cell>
        </row>
        <row r="274">
          <cell r="M274">
            <v>117121.53</v>
          </cell>
          <cell r="O274">
            <v>33229.339999999997</v>
          </cell>
          <cell r="Q274">
            <v>512089.86</v>
          </cell>
          <cell r="S274">
            <v>0</v>
          </cell>
        </row>
        <row r="275">
          <cell r="M275">
            <v>27160.91</v>
          </cell>
          <cell r="O275">
            <v>11883.08</v>
          </cell>
          <cell r="Q275">
            <v>188884.59</v>
          </cell>
          <cell r="S275">
            <v>38542.01</v>
          </cell>
        </row>
        <row r="276">
          <cell r="M276">
            <v>7104.12</v>
          </cell>
          <cell r="O276">
            <v>1381.03</v>
          </cell>
          <cell r="Q276">
            <v>50632.9</v>
          </cell>
          <cell r="S276">
            <v>0</v>
          </cell>
        </row>
        <row r="277">
          <cell r="M277">
            <v>30624.37</v>
          </cell>
          <cell r="O277">
            <v>6247.98</v>
          </cell>
          <cell r="Q277">
            <v>98691.95</v>
          </cell>
          <cell r="S277">
            <v>14463.37</v>
          </cell>
        </row>
        <row r="278">
          <cell r="M278">
            <v>57035.74</v>
          </cell>
          <cell r="O278">
            <v>10079.799999999999</v>
          </cell>
          <cell r="Q278">
            <v>84026.07</v>
          </cell>
          <cell r="S278">
            <v>0</v>
          </cell>
        </row>
        <row r="279">
          <cell r="M279">
            <v>43581.36</v>
          </cell>
          <cell r="O279">
            <v>10145.5</v>
          </cell>
          <cell r="Q279">
            <v>0</v>
          </cell>
          <cell r="S279">
            <v>20211.060000000001</v>
          </cell>
        </row>
        <row r="280">
          <cell r="M280">
            <v>52473.919999999998</v>
          </cell>
          <cell r="O280">
            <v>10967.93</v>
          </cell>
          <cell r="Q280">
            <v>59635.43</v>
          </cell>
          <cell r="S280">
            <v>0</v>
          </cell>
        </row>
        <row r="281">
          <cell r="M281">
            <v>37227.19</v>
          </cell>
          <cell r="O281">
            <v>9779.8799999999992</v>
          </cell>
          <cell r="Q281">
            <v>136062.03</v>
          </cell>
          <cell r="S281">
            <v>12641.15</v>
          </cell>
        </row>
        <row r="282">
          <cell r="M282">
            <v>115217.48999999999</v>
          </cell>
          <cell r="O282">
            <v>0</v>
          </cell>
          <cell r="Q282">
            <v>579734.84</v>
          </cell>
          <cell r="S282">
            <v>0</v>
          </cell>
        </row>
        <row r="283">
          <cell r="M283">
            <v>47018.6</v>
          </cell>
          <cell r="O283">
            <v>11400.91</v>
          </cell>
          <cell r="Q283">
            <v>0</v>
          </cell>
          <cell r="S283">
            <v>0</v>
          </cell>
        </row>
        <row r="284">
          <cell r="M284">
            <v>69894.080000000002</v>
          </cell>
          <cell r="O284">
            <v>15804.54</v>
          </cell>
          <cell r="Q284">
            <v>160712.1</v>
          </cell>
          <cell r="S284">
            <v>0</v>
          </cell>
        </row>
        <row r="285">
          <cell r="M285">
            <v>54634.78</v>
          </cell>
          <cell r="O285">
            <v>12858.96</v>
          </cell>
          <cell r="Q285">
            <v>107143.16</v>
          </cell>
          <cell r="S285">
            <v>7243.8</v>
          </cell>
        </row>
        <row r="286">
          <cell r="M286">
            <v>67.8</v>
          </cell>
          <cell r="O286">
            <v>0</v>
          </cell>
          <cell r="Q286">
            <v>41730.46</v>
          </cell>
          <cell r="S286">
            <v>82212.7</v>
          </cell>
        </row>
        <row r="287">
          <cell r="M287">
            <v>66987.06</v>
          </cell>
          <cell r="O287">
            <v>18403.560000000001</v>
          </cell>
          <cell r="Q287">
            <v>122546.61</v>
          </cell>
          <cell r="S287">
            <v>0</v>
          </cell>
        </row>
        <row r="288">
          <cell r="M288">
            <v>32503.5</v>
          </cell>
          <cell r="O288">
            <v>6721.95</v>
          </cell>
          <cell r="Q288">
            <v>29203</v>
          </cell>
          <cell r="S288">
            <v>0</v>
          </cell>
        </row>
        <row r="289">
          <cell r="M289">
            <v>27120.7</v>
          </cell>
          <cell r="O289">
            <v>7230.09</v>
          </cell>
          <cell r="Q289">
            <v>106003.62</v>
          </cell>
          <cell r="S289">
            <v>15551.42</v>
          </cell>
        </row>
        <row r="290">
          <cell r="M290">
            <v>31437.71</v>
          </cell>
          <cell r="O290">
            <v>8072.85</v>
          </cell>
          <cell r="Q290">
            <v>83620.33</v>
          </cell>
          <cell r="S290">
            <v>0</v>
          </cell>
        </row>
        <row r="291">
          <cell r="M291">
            <v>16683.47</v>
          </cell>
          <cell r="O291">
            <v>1948.38</v>
          </cell>
          <cell r="Q291">
            <v>47355.41</v>
          </cell>
          <cell r="S291">
            <v>0</v>
          </cell>
        </row>
        <row r="292">
          <cell r="M292">
            <v>20865.919999999998</v>
          </cell>
          <cell r="O292">
            <v>6155.09</v>
          </cell>
          <cell r="Q292">
            <v>53754.21</v>
          </cell>
          <cell r="S292">
            <v>0</v>
          </cell>
        </row>
        <row r="293">
          <cell r="M293">
            <v>42092.78</v>
          </cell>
          <cell r="O293">
            <v>8014.46</v>
          </cell>
          <cell r="Q293">
            <v>60500.93</v>
          </cell>
          <cell r="S293">
            <v>0</v>
          </cell>
        </row>
        <row r="294">
          <cell r="M294">
            <v>59798.18</v>
          </cell>
          <cell r="O294">
            <v>13816.03</v>
          </cell>
          <cell r="Q294">
            <v>28699.1</v>
          </cell>
          <cell r="S294">
            <v>15788.97</v>
          </cell>
        </row>
        <row r="295">
          <cell r="M295">
            <v>6687.04</v>
          </cell>
          <cell r="O295">
            <v>1349.19</v>
          </cell>
          <cell r="Q295">
            <v>14628.3</v>
          </cell>
          <cell r="S295">
            <v>0</v>
          </cell>
        </row>
        <row r="296">
          <cell r="M296">
            <v>27235.05</v>
          </cell>
          <cell r="O296">
            <v>8354.1</v>
          </cell>
          <cell r="Q296">
            <v>91625.93</v>
          </cell>
          <cell r="S296">
            <v>0</v>
          </cell>
        </row>
        <row r="297">
          <cell r="M297">
            <v>12425.47</v>
          </cell>
          <cell r="O297">
            <v>8452.2099999999991</v>
          </cell>
          <cell r="Q297">
            <v>35608.21</v>
          </cell>
          <cell r="S297">
            <v>0</v>
          </cell>
        </row>
        <row r="298">
          <cell r="M298">
            <v>24688.32</v>
          </cell>
          <cell r="O298">
            <v>5221.2700000000004</v>
          </cell>
          <cell r="Q298">
            <v>0</v>
          </cell>
          <cell r="S298">
            <v>0</v>
          </cell>
        </row>
        <row r="299">
          <cell r="M299">
            <v>26661.200000000001</v>
          </cell>
          <cell r="O299">
            <v>4631.67</v>
          </cell>
          <cell r="Q299">
            <v>44362.35</v>
          </cell>
          <cell r="S299">
            <v>0</v>
          </cell>
        </row>
        <row r="300">
          <cell r="M300">
            <v>44118.17</v>
          </cell>
          <cell r="O300">
            <v>8206.4500000000007</v>
          </cell>
          <cell r="Q300">
            <v>96830.720000000001</v>
          </cell>
          <cell r="S300">
            <v>0</v>
          </cell>
        </row>
        <row r="301">
          <cell r="M301">
            <v>18010.77</v>
          </cell>
          <cell r="O301">
            <v>12789.19</v>
          </cell>
          <cell r="Q301">
            <v>56631.55</v>
          </cell>
          <cell r="S301">
            <v>15026.42</v>
          </cell>
        </row>
        <row r="302">
          <cell r="M302">
            <v>33894.660000000003</v>
          </cell>
          <cell r="O302">
            <v>10928.59</v>
          </cell>
          <cell r="Q302">
            <v>77599.259999999995</v>
          </cell>
          <cell r="S302">
            <v>17029.2</v>
          </cell>
        </row>
        <row r="303">
          <cell r="M303">
            <v>13495.37</v>
          </cell>
          <cell r="O303">
            <v>2905.85</v>
          </cell>
          <cell r="Q303">
            <v>41597.58</v>
          </cell>
          <cell r="S303">
            <v>0</v>
          </cell>
        </row>
        <row r="304">
          <cell r="M304">
            <v>73630.36</v>
          </cell>
          <cell r="O304">
            <v>12244.42</v>
          </cell>
          <cell r="Q304">
            <v>0</v>
          </cell>
          <cell r="S304">
            <v>0</v>
          </cell>
        </row>
        <row r="305">
          <cell r="M305">
            <v>4062.62</v>
          </cell>
          <cell r="O305">
            <v>2867.69</v>
          </cell>
          <cell r="Q305">
            <v>52539.87</v>
          </cell>
          <cell r="S305">
            <v>0</v>
          </cell>
        </row>
        <row r="306">
          <cell r="M306">
            <v>33440.21</v>
          </cell>
          <cell r="O306">
            <v>5650.5</v>
          </cell>
          <cell r="Q306">
            <v>35925</v>
          </cell>
          <cell r="S306">
            <v>0</v>
          </cell>
        </row>
        <row r="307">
          <cell r="M307">
            <v>12743.25</v>
          </cell>
          <cell r="O307">
            <v>2299.52</v>
          </cell>
          <cell r="Q307">
            <v>23262.41</v>
          </cell>
          <cell r="S307">
            <v>0</v>
          </cell>
        </row>
        <row r="308">
          <cell r="M308">
            <v>11769.93</v>
          </cell>
          <cell r="O308">
            <v>5334.16</v>
          </cell>
          <cell r="Q308">
            <v>91019.57</v>
          </cell>
          <cell r="S308">
            <v>0</v>
          </cell>
        </row>
        <row r="309">
          <cell r="M309">
            <v>52844.88</v>
          </cell>
          <cell r="O309">
            <v>9373.51</v>
          </cell>
          <cell r="Q309">
            <v>40151.910000000003</v>
          </cell>
          <cell r="S309">
            <v>10339.34</v>
          </cell>
        </row>
        <row r="310">
          <cell r="M310">
            <v>36605.15</v>
          </cell>
          <cell r="O310">
            <v>10331.790000000001</v>
          </cell>
          <cell r="Q310">
            <v>68247.78</v>
          </cell>
          <cell r="S310">
            <v>0</v>
          </cell>
        </row>
        <row r="311">
          <cell r="M311">
            <v>43621.36</v>
          </cell>
          <cell r="O311">
            <v>7382</v>
          </cell>
          <cell r="Q311">
            <v>88601.07</v>
          </cell>
          <cell r="S311">
            <v>0</v>
          </cell>
        </row>
        <row r="312">
          <cell r="M312">
            <v>42391.8</v>
          </cell>
          <cell r="O312">
            <v>6411.65</v>
          </cell>
          <cell r="Q312">
            <v>11971.76</v>
          </cell>
          <cell r="S312">
            <v>0</v>
          </cell>
        </row>
        <row r="313">
          <cell r="M313">
            <v>12374.34</v>
          </cell>
          <cell r="O313">
            <v>1194.56</v>
          </cell>
          <cell r="Q313">
            <v>0</v>
          </cell>
          <cell r="S313">
            <v>0</v>
          </cell>
        </row>
        <row r="314">
          <cell r="M314">
            <v>40489.26</v>
          </cell>
          <cell r="O314">
            <v>6223.73</v>
          </cell>
          <cell r="Q314">
            <v>34739.910000000003</v>
          </cell>
          <cell r="S314">
            <v>0</v>
          </cell>
        </row>
        <row r="315">
          <cell r="M315">
            <v>12542.51</v>
          </cell>
          <cell r="O315">
            <v>2760.18</v>
          </cell>
          <cell r="Q315">
            <v>16381.57</v>
          </cell>
          <cell r="S315">
            <v>0</v>
          </cell>
        </row>
        <row r="316">
          <cell r="M316">
            <v>18356.84</v>
          </cell>
          <cell r="O316">
            <v>6714.65</v>
          </cell>
          <cell r="Q316">
            <v>153785.39000000001</v>
          </cell>
          <cell r="S316">
            <v>0</v>
          </cell>
        </row>
        <row r="317">
          <cell r="M317">
            <v>15886.11</v>
          </cell>
          <cell r="O317">
            <v>164.37</v>
          </cell>
          <cell r="Q317">
            <v>44768.43</v>
          </cell>
          <cell r="S317">
            <v>0</v>
          </cell>
        </row>
        <row r="318">
          <cell r="M318">
            <v>26414.16</v>
          </cell>
          <cell r="O318">
            <v>4412.3900000000003</v>
          </cell>
          <cell r="Q318">
            <v>10857.57</v>
          </cell>
          <cell r="S318">
            <v>0</v>
          </cell>
        </row>
        <row r="319">
          <cell r="M319">
            <v>31488.94</v>
          </cell>
          <cell r="O319">
            <v>8934.83</v>
          </cell>
          <cell r="Q319">
            <v>156640.99</v>
          </cell>
          <cell r="S319">
            <v>0</v>
          </cell>
        </row>
        <row r="320">
          <cell r="M320">
            <v>38684.29</v>
          </cell>
          <cell r="O320">
            <v>8637.9699999999993</v>
          </cell>
          <cell r="Q320">
            <v>155149.32999999999</v>
          </cell>
          <cell r="S320">
            <v>0</v>
          </cell>
        </row>
        <row r="321">
          <cell r="M321">
            <v>126901.60999999999</v>
          </cell>
          <cell r="O321">
            <v>0</v>
          </cell>
          <cell r="Q321">
            <v>62210.54</v>
          </cell>
          <cell r="S321">
            <v>328055.19</v>
          </cell>
        </row>
        <row r="322">
          <cell r="M322">
            <v>109158.83</v>
          </cell>
          <cell r="O322">
            <v>12606.36</v>
          </cell>
          <cell r="Q322">
            <v>203313.58</v>
          </cell>
          <cell r="S322">
            <v>0</v>
          </cell>
        </row>
        <row r="323">
          <cell r="M323">
            <v>62204.11</v>
          </cell>
          <cell r="O323">
            <v>8994.0499999999993</v>
          </cell>
          <cell r="Q323">
            <v>124417.12</v>
          </cell>
          <cell r="S323">
            <v>0</v>
          </cell>
        </row>
        <row r="324">
          <cell r="M324">
            <v>23878.42</v>
          </cell>
          <cell r="O324">
            <v>4737.28</v>
          </cell>
          <cell r="Q324">
            <v>22776.38</v>
          </cell>
          <cell r="S324">
            <v>0</v>
          </cell>
        </row>
        <row r="325">
          <cell r="M325">
            <v>36714.89</v>
          </cell>
          <cell r="O325">
            <v>5954.69</v>
          </cell>
          <cell r="Q325">
            <v>9511.93</v>
          </cell>
          <cell r="S325">
            <v>0</v>
          </cell>
        </row>
        <row r="326">
          <cell r="M326">
            <v>39755.760000000002</v>
          </cell>
          <cell r="O326">
            <v>12012.68</v>
          </cell>
          <cell r="Q326">
            <v>66441.789999999994</v>
          </cell>
          <cell r="S326">
            <v>0</v>
          </cell>
        </row>
        <row r="327">
          <cell r="M327">
            <v>17354.490000000002</v>
          </cell>
          <cell r="O327">
            <v>5327.02</v>
          </cell>
          <cell r="Q327">
            <v>71278.649999999994</v>
          </cell>
          <cell r="S327">
            <v>0</v>
          </cell>
        </row>
        <row r="328">
          <cell r="M328">
            <v>62373.17</v>
          </cell>
          <cell r="O328">
            <v>16721.560000000001</v>
          </cell>
          <cell r="Q328">
            <v>0</v>
          </cell>
          <cell r="S328">
            <v>23925.17</v>
          </cell>
        </row>
        <row r="329">
          <cell r="M329">
            <v>15798.93</v>
          </cell>
          <cell r="O329">
            <v>3751.69</v>
          </cell>
          <cell r="Q329">
            <v>0</v>
          </cell>
          <cell r="S329">
            <v>0</v>
          </cell>
        </row>
        <row r="330">
          <cell r="M330">
            <v>12811.93</v>
          </cell>
          <cell r="O330">
            <v>2860.74</v>
          </cell>
          <cell r="Q330">
            <v>0</v>
          </cell>
          <cell r="S330">
            <v>0</v>
          </cell>
        </row>
        <row r="331">
          <cell r="M331">
            <v>66985.100000000006</v>
          </cell>
          <cell r="O331">
            <v>20186.03</v>
          </cell>
          <cell r="Q331">
            <v>27164.86</v>
          </cell>
          <cell r="S331">
            <v>0</v>
          </cell>
        </row>
        <row r="332">
          <cell r="M332">
            <v>74347.75</v>
          </cell>
          <cell r="O332">
            <v>20194.650000000001</v>
          </cell>
          <cell r="Q332">
            <v>40173.33</v>
          </cell>
          <cell r="S332">
            <v>0</v>
          </cell>
        </row>
        <row r="333">
          <cell r="M333">
            <v>27261.48</v>
          </cell>
          <cell r="O333">
            <v>2104.4299999999998</v>
          </cell>
          <cell r="Q333">
            <v>0</v>
          </cell>
          <cell r="S333">
            <v>0</v>
          </cell>
        </row>
        <row r="334">
          <cell r="M334">
            <v>16578.900000000001</v>
          </cell>
          <cell r="O334">
            <v>2165.7800000000002</v>
          </cell>
          <cell r="Q334">
            <v>0</v>
          </cell>
          <cell r="S334">
            <v>0</v>
          </cell>
        </row>
        <row r="335">
          <cell r="M335">
            <v>12330.53</v>
          </cell>
          <cell r="O335">
            <v>2759.37</v>
          </cell>
          <cell r="Q335">
            <v>16919.830000000002</v>
          </cell>
          <cell r="S335">
            <v>0</v>
          </cell>
        </row>
        <row r="336">
          <cell r="M336">
            <v>14099.84</v>
          </cell>
          <cell r="O336">
            <v>3482.75</v>
          </cell>
          <cell r="Q336">
            <v>68772.789999999994</v>
          </cell>
          <cell r="S336">
            <v>0</v>
          </cell>
        </row>
        <row r="337">
          <cell r="M337">
            <v>32054.240000000002</v>
          </cell>
          <cell r="O337">
            <v>7996.37</v>
          </cell>
          <cell r="Q337">
            <v>0</v>
          </cell>
          <cell r="S337">
            <v>0</v>
          </cell>
        </row>
        <row r="338">
          <cell r="M338">
            <v>50024.32</v>
          </cell>
          <cell r="O338">
            <v>11552.46</v>
          </cell>
          <cell r="Q338">
            <v>146884.76</v>
          </cell>
          <cell r="S338">
            <v>0</v>
          </cell>
        </row>
        <row r="339">
          <cell r="M339">
            <v>20153.18</v>
          </cell>
          <cell r="O339">
            <v>7966.49</v>
          </cell>
          <cell r="Q339">
            <v>137857.56</v>
          </cell>
          <cell r="S339">
            <v>0</v>
          </cell>
        </row>
        <row r="340">
          <cell r="M340">
            <v>23724.18</v>
          </cell>
          <cell r="O340">
            <v>3972.08</v>
          </cell>
          <cell r="Q340">
            <v>0</v>
          </cell>
          <cell r="S340">
            <v>0</v>
          </cell>
        </row>
        <row r="341">
          <cell r="M341">
            <v>35104.97</v>
          </cell>
          <cell r="O341">
            <v>6089.23</v>
          </cell>
          <cell r="Q341">
            <v>83955.04</v>
          </cell>
          <cell r="S341">
            <v>0</v>
          </cell>
        </row>
        <row r="342">
          <cell r="M342">
            <v>31640.26</v>
          </cell>
          <cell r="O342">
            <v>13330.89</v>
          </cell>
          <cell r="Q342">
            <v>8736.2800000000007</v>
          </cell>
          <cell r="S342">
            <v>0</v>
          </cell>
        </row>
        <row r="343">
          <cell r="M343">
            <v>51352.83</v>
          </cell>
          <cell r="O343">
            <v>6877.57</v>
          </cell>
          <cell r="Q343">
            <v>111919.17</v>
          </cell>
          <cell r="S343">
            <v>0</v>
          </cell>
        </row>
        <row r="344">
          <cell r="M344">
            <v>45294.55</v>
          </cell>
          <cell r="O344">
            <v>8658.9</v>
          </cell>
          <cell r="Q344">
            <v>0</v>
          </cell>
          <cell r="S344">
            <v>0</v>
          </cell>
        </row>
      </sheetData>
      <sheetData sheetId="15"/>
    </sheetDataSet>
  </externalBook>
</externalLink>
</file>

<file path=xl/queryTables/queryTable1.xml><?xml version="1.0" encoding="utf-8"?>
<queryTable xmlns="http://schemas.openxmlformats.org/spreadsheetml/2006/main" name="Query from Databridge" connectionId="1" autoFormatId="16" applyNumberFormats="0" applyBorderFormats="0" applyFontFormats="1" applyPatternFormats="1" applyAlignmentFormats="0" applyWidthHeightFormats="0">
  <queryTableRefresh nextId="7">
    <queryTableFields count="6">
      <queryTableField id="1" name="dat_yer"/>
      <queryTableField id="2" name="dst_num"/>
      <queryTableField id="3" name="dst_tye"/>
      <queryTableField id="4" name="gen_lgr_num"/>
      <queryTableField id="5" name="fun_num"/>
      <queryTableField id="6" name="end_bal_amt"/>
    </queryTableFields>
  </queryTableRefresh>
</queryTable>
</file>

<file path=xl/queryTables/queryTable2.xml><?xml version="1.0" encoding="utf-8"?>
<queryTable xmlns="http://schemas.openxmlformats.org/spreadsheetml/2006/main" name="Query from Databridge" connectionId="2" autoFormatId="16" applyNumberFormats="0" applyBorderFormats="0" applyFontFormats="1" applyPatternFormats="1" applyAlignmentFormats="0" applyWidthHeightFormats="0">
  <queryTableRefresh nextId="7">
    <queryTableFields count="6">
      <queryTableField id="1" name="dat_yer"/>
      <queryTableField id="2" name="dst_num"/>
      <queryTableField id="3" name="dst_tye"/>
      <queryTableField id="4" name="gen_lgr_num"/>
      <queryTableField id="5" name="fun_num"/>
      <queryTableField id="6" name="end_bal_amt"/>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14.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77"/>
  <sheetViews>
    <sheetView workbookViewId="0">
      <selection activeCell="P1" sqref="P1"/>
    </sheetView>
  </sheetViews>
  <sheetFormatPr defaultRowHeight="11.25" x14ac:dyDescent="0.2"/>
  <cols>
    <col min="1" max="2" width="4.83203125" style="1" customWidth="1"/>
    <col min="3" max="3" width="10.83203125" style="1" customWidth="1"/>
    <col min="4" max="12" width="11.83203125" style="1" customWidth="1"/>
    <col min="13" max="13" width="12.83203125" style="1" customWidth="1"/>
    <col min="14" max="19" width="9.33203125" style="1"/>
    <col min="20" max="21" width="22.1640625" style="1" bestFit="1" customWidth="1"/>
    <col min="22" max="16384" width="9.33203125" style="1"/>
  </cols>
  <sheetData>
    <row r="1" spans="1:20" s="7" customFormat="1" x14ac:dyDescent="0.2">
      <c r="A1" s="10" t="s">
        <v>468</v>
      </c>
      <c r="B1" s="1"/>
      <c r="C1" s="1"/>
      <c r="D1" s="1"/>
      <c r="E1" s="1"/>
      <c r="F1" s="1"/>
      <c r="G1" s="1"/>
      <c r="H1" s="1"/>
      <c r="I1" s="1"/>
      <c r="J1" s="1"/>
      <c r="K1" s="1"/>
      <c r="L1" s="1"/>
      <c r="M1" s="15">
        <f>Report!I1</f>
        <v>40795</v>
      </c>
      <c r="O1" s="6">
        <v>2011</v>
      </c>
      <c r="P1" t="s">
        <v>672</v>
      </c>
      <c r="Q1" s="165" t="s">
        <v>673</v>
      </c>
      <c r="R1" s="33" t="s">
        <v>679</v>
      </c>
    </row>
    <row r="2" spans="1:20" x14ac:dyDescent="0.2">
      <c r="A2"/>
      <c r="D2" s="4"/>
      <c r="P2" s="1" t="s">
        <v>646</v>
      </c>
      <c r="Q2" s="146" t="s">
        <v>647</v>
      </c>
      <c r="R2" t="s">
        <v>674</v>
      </c>
      <c r="S2" s="160" t="s">
        <v>675</v>
      </c>
      <c r="T2" s="165" t="s">
        <v>676</v>
      </c>
    </row>
    <row r="3" spans="1:20" x14ac:dyDescent="0.2">
      <c r="P3" s="33" t="s">
        <v>624</v>
      </c>
      <c r="R3" s="1" t="s">
        <v>648</v>
      </c>
      <c r="S3" s="160" t="s">
        <v>665</v>
      </c>
      <c r="T3" s="165" t="s">
        <v>677</v>
      </c>
    </row>
    <row r="4" spans="1:20" x14ac:dyDescent="0.2">
      <c r="P4" s="1" t="s">
        <v>607</v>
      </c>
      <c r="R4"/>
      <c r="T4" t="s">
        <v>678</v>
      </c>
    </row>
    <row r="5" spans="1:20" x14ac:dyDescent="0.2">
      <c r="A5" s="177" t="str">
        <f>"The property tax shift is an accounting entry that takes a portion of the school district's property tax revenue and moves it forward one fiscal year, i.e.,  taxes that would otherwise be revenue for fiscal year "&amp;RIGHT(R1,4)&amp;" are shifted into fiscal year "&amp;RIGHT(R2,4)&amp;".  The property tax shift requirement is in Minnesota Statutes, section 123B.75, subdivision 5."</f>
        <v>The property tax shift is an accounting entry that takes a portion of the school district's property tax revenue and moves it forward one fiscal year, i.e.,  taxes that would otherwise be revenue for fiscal year 2012 are shifted into fiscal year 2011.  The property tax shift requirement is in Minnesota Statutes, section 123B.75, subdivision 5.</v>
      </c>
      <c r="B5" s="180"/>
      <c r="C5" s="180"/>
      <c r="D5" s="180"/>
      <c r="E5" s="180"/>
      <c r="F5" s="180"/>
      <c r="G5" s="180"/>
      <c r="H5" s="180"/>
      <c r="I5" s="180"/>
      <c r="J5" s="180"/>
      <c r="K5" s="180"/>
      <c r="L5" s="180"/>
      <c r="M5" s="180"/>
      <c r="P5" s="33" t="s">
        <v>598</v>
      </c>
    </row>
    <row r="6" spans="1:20" x14ac:dyDescent="0.2">
      <c r="A6" s="180"/>
      <c r="B6" s="180"/>
      <c r="C6" s="180"/>
      <c r="D6" s="180"/>
      <c r="E6" s="180"/>
      <c r="F6" s="180"/>
      <c r="G6" s="180"/>
      <c r="H6" s="180"/>
      <c r="I6" s="180"/>
      <c r="J6" s="180"/>
      <c r="K6" s="180"/>
      <c r="L6" s="180"/>
      <c r="M6" s="180"/>
      <c r="P6" s="1" t="s">
        <v>599</v>
      </c>
    </row>
    <row r="7" spans="1:20" x14ac:dyDescent="0.2">
      <c r="A7" s="16"/>
      <c r="B7" s="16"/>
      <c r="C7" s="16"/>
      <c r="D7" s="16"/>
      <c r="E7" s="16"/>
      <c r="F7" s="16"/>
      <c r="G7" s="16"/>
      <c r="H7" s="16"/>
      <c r="I7" s="16"/>
      <c r="J7" s="16"/>
      <c r="K7" s="16"/>
      <c r="L7" s="16"/>
      <c r="M7" s="16"/>
      <c r="P7" s="33" t="s">
        <v>600</v>
      </c>
    </row>
    <row r="8" spans="1:20" x14ac:dyDescent="0.2">
      <c r="A8" s="10" t="s">
        <v>511</v>
      </c>
      <c r="P8" s="1" t="s">
        <v>601</v>
      </c>
    </row>
    <row r="10" spans="1:20" ht="11.25" customHeight="1" x14ac:dyDescent="0.2">
      <c r="A10" s="182" t="str">
        <f>"For the June 30, "&amp;RIGHT(R2,4)&amp;", tax shift this spreadsheet is using the payable "&amp;RIGHT(P1,4)&amp;" certified levies.  The spreadsheet will be updated to use final certified levies plus/minus county auditor adjustments when that data is available."</f>
        <v>For the June 30, 2011, tax shift this spreadsheet is using the payable 2011 certified levies.  The spreadsheet will be updated to use final certified levies plus/minus county auditor adjustments when that data is available.</v>
      </c>
      <c r="B10" s="178"/>
      <c r="C10" s="178"/>
      <c r="D10" s="178"/>
      <c r="E10" s="178"/>
      <c r="F10" s="178"/>
      <c r="G10" s="178"/>
      <c r="H10" s="178"/>
      <c r="I10" s="178"/>
      <c r="J10" s="178"/>
      <c r="K10" s="178"/>
      <c r="L10" s="178"/>
      <c r="M10" s="178"/>
    </row>
    <row r="11" spans="1:20" ht="11.25" customHeight="1" x14ac:dyDescent="0.2">
      <c r="A11" s="178"/>
      <c r="B11" s="178"/>
      <c r="C11" s="178"/>
      <c r="D11" s="178"/>
      <c r="E11" s="178"/>
      <c r="F11" s="178"/>
      <c r="G11" s="178"/>
      <c r="H11" s="178"/>
      <c r="I11" s="178"/>
      <c r="J11" s="178"/>
      <c r="K11" s="178"/>
      <c r="L11" s="178"/>
      <c r="M11" s="178"/>
    </row>
    <row r="12" spans="1:20" x14ac:dyDescent="0.2">
      <c r="A12" s="33"/>
      <c r="B12" s="33"/>
      <c r="C12" s="33"/>
      <c r="D12" s="33"/>
      <c r="E12" s="33"/>
      <c r="F12" s="33"/>
      <c r="G12" s="33"/>
      <c r="H12" s="33"/>
      <c r="I12" s="33"/>
      <c r="J12" s="33"/>
      <c r="K12" s="33"/>
      <c r="L12" s="33"/>
      <c r="M12" s="33"/>
    </row>
    <row r="13" spans="1:20" x14ac:dyDescent="0.2">
      <c r="A13" s="182" t="str">
        <f>"Preliminary payable "&amp;RIGHT(P2,4)&amp;" credits are used in this spreadsheet.  The spreadsheet will be updated to use final payable "&amp;RIGHT(P1,4)&amp;" credits when that data is available."</f>
        <v>Preliminary payable 2010 credits are used in this spreadsheet.  The spreadsheet will be updated to use final payable 2011 credits when that data is available.</v>
      </c>
      <c r="B13" s="178"/>
      <c r="C13" s="178"/>
      <c r="D13" s="178"/>
      <c r="E13" s="178"/>
      <c r="F13" s="178"/>
      <c r="G13" s="178"/>
      <c r="H13" s="178"/>
      <c r="I13" s="178"/>
      <c r="J13" s="178"/>
      <c r="K13" s="178"/>
      <c r="L13" s="178"/>
      <c r="M13" s="178"/>
    </row>
    <row r="14" spans="1:20" x14ac:dyDescent="0.2">
      <c r="A14" s="33"/>
      <c r="B14" s="33"/>
      <c r="C14" s="33"/>
      <c r="D14" s="33"/>
      <c r="E14" s="33"/>
      <c r="F14" s="33"/>
      <c r="G14" s="33"/>
      <c r="H14" s="33"/>
      <c r="I14" s="33"/>
      <c r="J14" s="33"/>
      <c r="K14" s="33"/>
      <c r="L14" s="33"/>
      <c r="M14" s="33"/>
    </row>
    <row r="15" spans="1:20" ht="11.25" customHeight="1" x14ac:dyDescent="0.2">
      <c r="A15" s="177" t="str">
        <f>"Tax receipts for May-July "&amp;RIGHT(R2,4)&amp;" for the general fund and community service fund have been estimated on the Receipts tab.  Preliminary payable "&amp;RIGHT(P2,4)&amp;" credits from the Department of Revenue are used in computing estimated tax receipts.  These estimates are carried over to cells E89 and F89 of the Report tab.  Districts should override these estimates when actual tax receipts are determined."</f>
        <v>Tax receipts for May-July 2011 for the general fund and community service fund have been estimated on the Receipts tab.  Preliminary payable 2010 credits from the Department of Revenue are used in computing estimated tax receipts.  These estimates are carried over to cells E89 and F89 of the Report tab.  Districts should override these estimates when actual tax receipts are determined.</v>
      </c>
      <c r="B15" s="178"/>
      <c r="C15" s="178"/>
      <c r="D15" s="178"/>
      <c r="E15" s="178"/>
      <c r="F15" s="178"/>
      <c r="G15" s="178"/>
      <c r="H15" s="178"/>
      <c r="I15" s="178"/>
      <c r="J15" s="178"/>
      <c r="K15" s="178"/>
      <c r="L15" s="178"/>
      <c r="M15" s="178"/>
      <c r="N15" s="16"/>
      <c r="O15" s="16"/>
    </row>
    <row r="16" spans="1:20" ht="11.25" customHeight="1" x14ac:dyDescent="0.2">
      <c r="A16" s="180"/>
      <c r="B16" s="178"/>
      <c r="C16" s="178"/>
      <c r="D16" s="178"/>
      <c r="E16" s="178"/>
      <c r="F16" s="178"/>
      <c r="G16" s="178"/>
      <c r="H16" s="178"/>
      <c r="I16" s="178"/>
      <c r="J16" s="178"/>
      <c r="K16" s="178"/>
      <c r="L16" s="178"/>
      <c r="M16" s="178"/>
      <c r="N16" s="16"/>
      <c r="O16" s="16"/>
    </row>
    <row r="17" spans="1:15" x14ac:dyDescent="0.2">
      <c r="A17" s="178"/>
      <c r="B17" s="178"/>
      <c r="C17" s="178"/>
      <c r="D17" s="178"/>
      <c r="E17" s="178"/>
      <c r="F17" s="178"/>
      <c r="G17" s="178"/>
      <c r="H17" s="178"/>
      <c r="I17" s="178"/>
      <c r="J17" s="178"/>
      <c r="K17" s="178"/>
      <c r="L17" s="178"/>
      <c r="M17" s="178"/>
      <c r="N17" s="16"/>
      <c r="O17" s="16"/>
    </row>
    <row r="18" spans="1:15" x14ac:dyDescent="0.2">
      <c r="A18" s="20"/>
      <c r="B18" s="23"/>
      <c r="C18" s="23"/>
      <c r="D18" s="23"/>
      <c r="E18" s="23"/>
      <c r="F18" s="23"/>
      <c r="G18" s="23"/>
      <c r="H18" s="23"/>
      <c r="I18" s="23"/>
      <c r="J18" s="23"/>
      <c r="K18" s="23"/>
      <c r="L18" s="23"/>
      <c r="M18" s="23"/>
      <c r="N18" s="23"/>
      <c r="O18" s="23"/>
    </row>
    <row r="19" spans="1:15" x14ac:dyDescent="0.2">
      <c r="A19" s="14" t="s">
        <v>469</v>
      </c>
      <c r="B19" s="12"/>
      <c r="C19" s="12"/>
      <c r="D19" s="12"/>
      <c r="E19" s="12"/>
      <c r="F19" s="12"/>
      <c r="G19" s="12"/>
      <c r="H19" s="12"/>
      <c r="I19" s="12"/>
      <c r="J19" s="12"/>
      <c r="K19" s="12"/>
      <c r="L19" s="12"/>
      <c r="M19" s="12"/>
    </row>
    <row r="20" spans="1:15" x14ac:dyDescent="0.2">
      <c r="A20" s="177" t="s">
        <v>663</v>
      </c>
      <c r="B20" s="180"/>
      <c r="C20" s="180"/>
      <c r="D20" s="180"/>
      <c r="E20" s="180"/>
      <c r="F20" s="180"/>
      <c r="G20" s="180"/>
      <c r="H20" s="180"/>
      <c r="I20" s="180"/>
      <c r="J20" s="180"/>
      <c r="K20" s="180"/>
      <c r="L20" s="180"/>
      <c r="M20" s="180"/>
    </row>
    <row r="21" spans="1:15" x14ac:dyDescent="0.2">
      <c r="A21" s="180"/>
      <c r="B21" s="180"/>
      <c r="C21" s="180"/>
      <c r="D21" s="180"/>
      <c r="E21" s="180"/>
      <c r="F21" s="180"/>
      <c r="G21" s="180"/>
      <c r="H21" s="180"/>
      <c r="I21" s="180"/>
      <c r="J21" s="180"/>
      <c r="K21" s="180"/>
      <c r="L21" s="180"/>
      <c r="M21" s="180"/>
    </row>
    <row r="22" spans="1:15" x14ac:dyDescent="0.2">
      <c r="A22" s="13"/>
      <c r="B22" s="12"/>
      <c r="C22" s="12"/>
      <c r="D22" s="12"/>
      <c r="E22" s="12"/>
      <c r="F22" s="12"/>
      <c r="G22" s="12"/>
      <c r="H22" s="12"/>
      <c r="I22" s="12"/>
      <c r="J22" s="12"/>
      <c r="K22" s="12"/>
      <c r="L22" s="12"/>
      <c r="M22" s="12"/>
    </row>
    <row r="23" spans="1:15" x14ac:dyDescent="0.2">
      <c r="A23" s="10" t="s">
        <v>470</v>
      </c>
    </row>
    <row r="24" spans="1:15" x14ac:dyDescent="0.2">
      <c r="A24" s="177" t="s">
        <v>664</v>
      </c>
      <c r="B24" s="180"/>
      <c r="C24" s="180"/>
      <c r="D24" s="180"/>
      <c r="E24" s="180"/>
      <c r="F24" s="180"/>
      <c r="G24" s="180"/>
      <c r="H24" s="180"/>
      <c r="I24" s="180"/>
      <c r="J24" s="180"/>
      <c r="K24" s="180"/>
      <c r="L24" s="180"/>
      <c r="M24" s="180"/>
    </row>
    <row r="25" spans="1:15" x14ac:dyDescent="0.2">
      <c r="A25" s="180"/>
      <c r="B25" s="180"/>
      <c r="C25" s="180"/>
      <c r="D25" s="180"/>
      <c r="E25" s="180"/>
      <c r="F25" s="180"/>
      <c r="G25" s="180"/>
      <c r="H25" s="180"/>
      <c r="I25" s="180"/>
      <c r="J25" s="180"/>
      <c r="K25" s="180"/>
      <c r="L25" s="180"/>
      <c r="M25" s="180"/>
    </row>
    <row r="26" spans="1:15" x14ac:dyDescent="0.2">
      <c r="A26" s="180"/>
      <c r="B26" s="180"/>
      <c r="C26" s="180"/>
      <c r="D26" s="180"/>
      <c r="E26" s="180"/>
      <c r="F26" s="180"/>
      <c r="G26" s="180"/>
      <c r="H26" s="180"/>
      <c r="I26" s="180"/>
      <c r="J26" s="180"/>
      <c r="K26" s="180"/>
      <c r="L26" s="180"/>
      <c r="M26" s="180"/>
    </row>
    <row r="27" spans="1:15" x14ac:dyDescent="0.2">
      <c r="A27" s="180"/>
      <c r="B27" s="180"/>
      <c r="C27" s="180"/>
      <c r="D27" s="180"/>
      <c r="E27" s="180"/>
      <c r="F27" s="180"/>
      <c r="G27" s="180"/>
      <c r="H27" s="180"/>
      <c r="I27" s="180"/>
      <c r="J27" s="180"/>
      <c r="K27" s="180"/>
      <c r="L27" s="180"/>
      <c r="M27" s="180"/>
    </row>
    <row r="28" spans="1:15" x14ac:dyDescent="0.2">
      <c r="A28" s="16"/>
      <c r="B28" s="16"/>
      <c r="C28" s="16"/>
      <c r="D28" s="16"/>
      <c r="E28" s="16"/>
      <c r="F28" s="16"/>
      <c r="G28" s="16"/>
      <c r="H28" s="16"/>
      <c r="I28" s="16"/>
      <c r="J28" s="16"/>
      <c r="K28" s="16"/>
      <c r="L28" s="16"/>
      <c r="M28" s="16"/>
    </row>
    <row r="29" spans="1:15" x14ac:dyDescent="0.2">
      <c r="A29" s="177" t="s">
        <v>689</v>
      </c>
      <c r="B29" s="180"/>
      <c r="C29" s="180"/>
      <c r="D29" s="180"/>
      <c r="E29" s="180"/>
      <c r="F29" s="180"/>
      <c r="G29" s="180"/>
      <c r="H29" s="180"/>
      <c r="I29" s="180"/>
      <c r="J29" s="180"/>
      <c r="K29" s="180"/>
      <c r="L29" s="180"/>
      <c r="M29" s="180"/>
    </row>
    <row r="30" spans="1:15" x14ac:dyDescent="0.2">
      <c r="A30" s="177" t="s">
        <v>690</v>
      </c>
      <c r="B30" s="180"/>
      <c r="C30" s="180"/>
      <c r="D30" s="180"/>
      <c r="E30" s="180"/>
      <c r="F30" s="180"/>
      <c r="G30" s="180"/>
      <c r="H30" s="180"/>
      <c r="I30" s="180"/>
      <c r="J30" s="180"/>
      <c r="K30" s="180"/>
      <c r="L30" s="180"/>
      <c r="M30" s="180"/>
    </row>
    <row r="31" spans="1:15" x14ac:dyDescent="0.2">
      <c r="A31" s="23"/>
      <c r="B31" s="16"/>
      <c r="C31" s="16"/>
      <c r="D31" s="16"/>
      <c r="E31" s="16"/>
      <c r="F31" s="16"/>
      <c r="G31" s="16"/>
      <c r="H31" s="16"/>
      <c r="I31" s="16"/>
      <c r="J31" s="16"/>
      <c r="K31" s="16"/>
      <c r="L31" s="16"/>
      <c r="M31" s="16"/>
    </row>
    <row r="33" spans="1:13" x14ac:dyDescent="0.2">
      <c r="A33" s="1" t="s">
        <v>567</v>
      </c>
    </row>
    <row r="34" spans="1:13" x14ac:dyDescent="0.2">
      <c r="B34" s="180" t="s">
        <v>512</v>
      </c>
      <c r="C34" s="180"/>
      <c r="D34" s="180"/>
      <c r="E34" s="180"/>
      <c r="F34" s="180"/>
      <c r="G34" s="180"/>
      <c r="H34" s="180"/>
      <c r="I34" s="180"/>
      <c r="J34" s="180"/>
      <c r="K34" s="180"/>
      <c r="L34" s="180"/>
      <c r="M34" s="180"/>
    </row>
    <row r="35" spans="1:13" x14ac:dyDescent="0.2">
      <c r="B35" s="180"/>
      <c r="C35" s="180"/>
      <c r="D35" s="180"/>
      <c r="E35" s="180"/>
      <c r="F35" s="180"/>
      <c r="G35" s="180"/>
      <c r="H35" s="180"/>
      <c r="I35" s="180"/>
      <c r="J35" s="180"/>
      <c r="K35" s="180"/>
      <c r="L35" s="180"/>
      <c r="M35" s="180"/>
    </row>
    <row r="37" spans="1:13" x14ac:dyDescent="0.2">
      <c r="B37" s="1" t="s">
        <v>501</v>
      </c>
    </row>
    <row r="38" spans="1:13" x14ac:dyDescent="0.2">
      <c r="C38" s="157" t="str">
        <f>"Column 1 is the amount of payable "&amp;RIGHT(P1,4)&amp;" levy to be recognized in fiscal year "&amp;RIGHT(R2,4)&amp;"."</f>
        <v>Column 1 is the amount of payable 2011 levy to be recognized in fiscal year 2011.</v>
      </c>
      <c r="D38" s="16"/>
      <c r="E38" s="16"/>
      <c r="F38" s="16"/>
      <c r="G38" s="16"/>
      <c r="H38" s="16"/>
      <c r="I38" s="16"/>
      <c r="J38" s="16"/>
      <c r="K38" s="16"/>
      <c r="L38" s="16"/>
      <c r="M38" s="16"/>
    </row>
    <row r="39" spans="1:13" x14ac:dyDescent="0.2">
      <c r="B39" s="16"/>
      <c r="C39" s="157" t="str">
        <f>"Column 2 is the amount of payable "&amp;RIGHT(P2,4)&amp;" levy that was recognized in fiscal year "&amp;RIGHT(R3,4)&amp;"."</f>
        <v>Column 2 is the amount of payable 2010 levy that was recognized in fiscal year 2010.</v>
      </c>
      <c r="D39" s="16"/>
      <c r="E39" s="16"/>
      <c r="F39" s="16"/>
      <c r="G39" s="16"/>
      <c r="H39" s="16"/>
      <c r="I39" s="16"/>
      <c r="J39" s="16"/>
      <c r="K39" s="16"/>
      <c r="L39" s="16"/>
      <c r="M39" s="16"/>
    </row>
    <row r="40" spans="1:13" x14ac:dyDescent="0.2">
      <c r="B40" s="16"/>
      <c r="C40" s="180" t="s">
        <v>471</v>
      </c>
      <c r="D40" s="180"/>
      <c r="E40" s="180"/>
      <c r="F40" s="180"/>
      <c r="G40" s="180"/>
      <c r="H40" s="180"/>
      <c r="I40" s="180"/>
      <c r="J40" s="180"/>
      <c r="K40" s="180"/>
      <c r="L40" s="180"/>
      <c r="M40" s="180"/>
    </row>
    <row r="41" spans="1:13" x14ac:dyDescent="0.2">
      <c r="B41" s="16"/>
      <c r="C41" s="181" t="s">
        <v>680</v>
      </c>
      <c r="D41" s="177"/>
      <c r="E41" s="177"/>
      <c r="F41" s="177"/>
      <c r="G41" s="177"/>
      <c r="H41" s="177"/>
      <c r="I41" s="177"/>
      <c r="J41" s="177"/>
      <c r="K41" s="177"/>
      <c r="L41" s="177"/>
      <c r="M41" s="177"/>
    </row>
    <row r="42" spans="1:13" x14ac:dyDescent="0.2">
      <c r="B42" s="16"/>
      <c r="C42" s="177"/>
      <c r="D42" s="177"/>
      <c r="E42" s="177"/>
      <c r="F42" s="177"/>
      <c r="G42" s="177"/>
      <c r="H42" s="177"/>
      <c r="I42" s="177"/>
      <c r="J42" s="177"/>
      <c r="K42" s="177"/>
      <c r="L42" s="177"/>
      <c r="M42" s="177"/>
    </row>
    <row r="43" spans="1:13" x14ac:dyDescent="0.2">
      <c r="B43" s="16"/>
      <c r="C43" s="177" t="s">
        <v>681</v>
      </c>
      <c r="D43" s="180"/>
      <c r="E43" s="180"/>
      <c r="F43" s="180"/>
      <c r="G43" s="180"/>
      <c r="H43" s="180"/>
      <c r="I43" s="180"/>
      <c r="J43" s="180"/>
      <c r="K43" s="180"/>
      <c r="L43" s="180"/>
      <c r="M43" s="180"/>
    </row>
    <row r="44" spans="1:13" x14ac:dyDescent="0.2">
      <c r="B44" s="16"/>
      <c r="C44" s="177" t="s">
        <v>682</v>
      </c>
      <c r="D44" s="180"/>
      <c r="E44" s="180"/>
      <c r="F44" s="180"/>
      <c r="G44" s="180"/>
      <c r="H44" s="180"/>
      <c r="I44" s="180"/>
      <c r="J44" s="180"/>
      <c r="K44" s="180"/>
      <c r="L44" s="180"/>
      <c r="M44" s="180"/>
    </row>
    <row r="45" spans="1:13" x14ac:dyDescent="0.2">
      <c r="B45" s="16"/>
      <c r="C45" s="180"/>
      <c r="D45" s="180"/>
      <c r="E45" s="180"/>
      <c r="F45" s="180"/>
      <c r="G45" s="180"/>
      <c r="H45" s="180"/>
      <c r="I45" s="180"/>
      <c r="J45" s="180"/>
      <c r="K45" s="180"/>
      <c r="L45" s="180"/>
      <c r="M45" s="180"/>
    </row>
    <row r="46" spans="1:13" x14ac:dyDescent="0.2">
      <c r="B46" s="16"/>
      <c r="C46" s="16"/>
      <c r="D46" s="16"/>
      <c r="E46" s="16"/>
      <c r="F46" s="16"/>
      <c r="G46" s="16"/>
      <c r="H46" s="16"/>
      <c r="I46" s="16"/>
      <c r="J46" s="16"/>
      <c r="K46" s="16"/>
      <c r="L46" s="16"/>
      <c r="M46" s="16"/>
    </row>
    <row r="47" spans="1:13" x14ac:dyDescent="0.2">
      <c r="B47" s="177" t="s">
        <v>687</v>
      </c>
      <c r="C47" s="177"/>
      <c r="D47" s="177"/>
      <c r="E47" s="177"/>
      <c r="F47" s="177"/>
      <c r="G47" s="177"/>
      <c r="H47" s="177"/>
      <c r="I47" s="177"/>
      <c r="J47" s="177"/>
      <c r="K47" s="177"/>
      <c r="L47" s="177"/>
      <c r="M47" s="177"/>
    </row>
    <row r="48" spans="1:13" x14ac:dyDescent="0.2">
      <c r="C48" s="16"/>
      <c r="D48" s="16"/>
      <c r="E48" s="16"/>
      <c r="F48" s="16"/>
      <c r="G48" s="16"/>
      <c r="H48" s="16"/>
      <c r="I48" s="16"/>
      <c r="J48" s="16"/>
      <c r="K48" s="16"/>
      <c r="L48" s="16"/>
      <c r="M48" s="16"/>
    </row>
    <row r="49" spans="1:13" x14ac:dyDescent="0.2">
      <c r="B49" s="177" t="str">
        <f>"In the third section, estimated tax receipts for May, June and July "&amp;RIGHT(R2,4)&amp;" have been computed.  See blue highlighted area.  Override these estimates with actual tax settlement receipts for May, June and July "&amp;RIGHT(R2,4)&amp;" when this data is available.  If the gross shift amount is greater than May, June and July tax receipts, the district will recognize fiscal year "&amp;RIGHT(R1,4)&amp;" general education aid early in an amount equal to the difference between tax receipts and the gross shift."</f>
        <v>In the third section, estimated tax receipts for May, June and July 2011 have been computed.  See blue highlighted area.  Override these estimates with actual tax settlement receipts for May, June and July 2011 when this data is available.  If the gross shift amount is greater than May, June and July tax receipts, the district will recognize fiscal year 2012 general education aid early in an amount equal to the difference between tax receipts and the gross shift.</v>
      </c>
      <c r="C49" s="177"/>
      <c r="D49" s="177"/>
      <c r="E49" s="177"/>
      <c r="F49" s="177"/>
      <c r="G49" s="177"/>
      <c r="H49" s="177"/>
      <c r="I49" s="177"/>
      <c r="J49" s="177"/>
      <c r="K49" s="177"/>
      <c r="L49" s="177"/>
      <c r="M49" s="177"/>
    </row>
    <row r="50" spans="1:13" x14ac:dyDescent="0.2">
      <c r="B50" s="180"/>
      <c r="C50" s="177"/>
      <c r="D50" s="177"/>
      <c r="E50" s="177"/>
      <c r="F50" s="177"/>
      <c r="G50" s="177"/>
      <c r="H50" s="177"/>
      <c r="I50" s="177"/>
      <c r="J50" s="177"/>
      <c r="K50" s="177"/>
      <c r="L50" s="177"/>
      <c r="M50" s="177"/>
    </row>
    <row r="51" spans="1:13" x14ac:dyDescent="0.2">
      <c r="B51" s="177"/>
      <c r="C51" s="177"/>
      <c r="D51" s="177"/>
      <c r="E51" s="177"/>
      <c r="F51" s="177"/>
      <c r="G51" s="177"/>
      <c r="H51" s="177"/>
      <c r="I51" s="177"/>
      <c r="J51" s="177"/>
      <c r="K51" s="177"/>
      <c r="L51" s="177"/>
      <c r="M51" s="177"/>
    </row>
    <row r="52" spans="1:13" x14ac:dyDescent="0.2">
      <c r="B52" s="16"/>
      <c r="C52" s="16"/>
      <c r="D52" s="16"/>
      <c r="E52" s="16"/>
      <c r="F52" s="16"/>
      <c r="G52" s="16"/>
      <c r="H52" s="16"/>
      <c r="I52" s="16"/>
      <c r="J52" s="16"/>
      <c r="K52" s="16"/>
      <c r="L52" s="16"/>
      <c r="M52" s="16"/>
    </row>
    <row r="53" spans="1:13" x14ac:dyDescent="0.2">
      <c r="B53" s="177" t="str">
        <f>"The fourth section provides information to make the year-end accounting entries for the fiscal year "&amp;RIGHT(R2,4)&amp;" property tax shift.  The entry will include any general education aid to be recognized early if tax settlement receipts entered in section three are less than the gross shift amount."</f>
        <v>The fourth section provides information to make the year-end accounting entries for the fiscal year 2011 property tax shift.  The entry will include any general education aid to be recognized early if tax settlement receipts entered in section three are less than the gross shift amount.</v>
      </c>
      <c r="C53" s="177"/>
      <c r="D53" s="177"/>
      <c r="E53" s="177"/>
      <c r="F53" s="177"/>
      <c r="G53" s="177"/>
      <c r="H53" s="177"/>
      <c r="I53" s="177"/>
      <c r="J53" s="177"/>
      <c r="K53" s="177"/>
      <c r="L53" s="177"/>
      <c r="M53" s="177"/>
    </row>
    <row r="54" spans="1:13" x14ac:dyDescent="0.2">
      <c r="B54" s="177"/>
      <c r="C54" s="177"/>
      <c r="D54" s="177"/>
      <c r="E54" s="177"/>
      <c r="F54" s="177"/>
      <c r="G54" s="177"/>
      <c r="H54" s="177"/>
      <c r="I54" s="177"/>
      <c r="J54" s="177"/>
      <c r="K54" s="177"/>
      <c r="L54" s="177"/>
      <c r="M54" s="177"/>
    </row>
    <row r="55" spans="1:13" x14ac:dyDescent="0.2">
      <c r="B55" s="23"/>
      <c r="C55" s="23"/>
      <c r="D55" s="23"/>
      <c r="E55" s="23"/>
      <c r="F55" s="23"/>
      <c r="G55" s="23"/>
      <c r="H55" s="23"/>
      <c r="I55" s="23"/>
      <c r="J55" s="23"/>
      <c r="K55" s="23"/>
      <c r="L55" s="23"/>
      <c r="M55" s="23"/>
    </row>
    <row r="56" spans="1:13" x14ac:dyDescent="0.2">
      <c r="A56" t="s">
        <v>683</v>
      </c>
      <c r="B56" s="16"/>
      <c r="C56" s="16"/>
      <c r="D56" s="16"/>
      <c r="E56" s="16"/>
      <c r="F56" s="16"/>
      <c r="G56" s="16"/>
      <c r="H56" s="16"/>
      <c r="I56" s="16"/>
      <c r="J56" s="16"/>
      <c r="K56" s="16"/>
      <c r="L56" s="16"/>
      <c r="M56" s="16"/>
    </row>
    <row r="57" spans="1:13" x14ac:dyDescent="0.2">
      <c r="B57" s="177" t="str">
        <f>"Enter certified levy by fund for payable "&amp;RIGHT(P8,4)&amp;" through "&amp;RIGHT(P1,4)&amp;" in the yellow highlighted section.  Verify total certified levy.  This data is used in the Accounts tab to automatically enter the certifed levy and to allocate abatements and adjustments."</f>
        <v>Enter certified levy by fund for payable 2004 through 2011 in the yellow highlighted section.  Verify total certified levy.  This data is used in the Accounts tab to automatically enter the certifed levy and to allocate abatements and adjustments.</v>
      </c>
      <c r="C57" s="180"/>
      <c r="D57" s="180"/>
      <c r="E57" s="180"/>
      <c r="F57" s="180"/>
      <c r="G57" s="180"/>
      <c r="H57" s="180"/>
      <c r="I57" s="180"/>
      <c r="J57" s="180"/>
      <c r="K57" s="180"/>
      <c r="L57" s="180"/>
      <c r="M57" s="180"/>
    </row>
    <row r="58" spans="1:13" x14ac:dyDescent="0.2">
      <c r="B58" s="177"/>
      <c r="C58" s="177"/>
      <c r="D58" s="177"/>
      <c r="E58" s="177"/>
      <c r="F58" s="177"/>
      <c r="G58" s="177"/>
      <c r="H58" s="177"/>
      <c r="I58" s="177"/>
      <c r="J58" s="177"/>
      <c r="K58" s="177"/>
      <c r="L58" s="177"/>
      <c r="M58" s="177"/>
    </row>
    <row r="59" spans="1:13" x14ac:dyDescent="0.2">
      <c r="B59" s="23"/>
      <c r="C59" s="23"/>
      <c r="D59" s="23"/>
      <c r="E59" s="23"/>
      <c r="F59" s="23"/>
      <c r="G59" s="23"/>
      <c r="H59" s="23"/>
      <c r="I59" s="23"/>
      <c r="J59" s="23"/>
      <c r="K59" s="23"/>
      <c r="L59" s="23"/>
      <c r="M59" s="23"/>
    </row>
    <row r="60" spans="1:13" x14ac:dyDescent="0.2">
      <c r="B60" s="177" t="str">
        <f>"Enter tax settlements received during fiscal year "&amp;RIGHT(R2,4)&amp;" in the green highlighted section.  The green outlined section below will then show each settlement allocated by fund.  This data carries over as settlements received in the Accounts tab."</f>
        <v>Enter tax settlements received during fiscal year 2011 in the green highlighted section.  The green outlined section below will then show each settlement allocated by fund.  This data carries over as settlements received in the Accounts tab.</v>
      </c>
      <c r="C60" s="177"/>
      <c r="D60" s="177"/>
      <c r="E60" s="177"/>
      <c r="F60" s="177"/>
      <c r="G60" s="177"/>
      <c r="H60" s="177"/>
      <c r="I60" s="177"/>
      <c r="J60" s="177"/>
      <c r="K60" s="177"/>
      <c r="L60" s="177"/>
      <c r="M60" s="177"/>
    </row>
    <row r="61" spans="1:13" x14ac:dyDescent="0.2">
      <c r="B61" s="177"/>
      <c r="C61" s="177"/>
      <c r="D61" s="177"/>
      <c r="E61" s="177"/>
      <c r="F61" s="177"/>
      <c r="G61" s="177"/>
      <c r="H61" s="177"/>
      <c r="I61" s="177"/>
      <c r="J61" s="177"/>
      <c r="K61" s="177"/>
      <c r="L61" s="177"/>
      <c r="M61" s="177"/>
    </row>
    <row r="62" spans="1:13" x14ac:dyDescent="0.2">
      <c r="B62" s="23"/>
      <c r="C62" s="23"/>
      <c r="D62" s="23"/>
      <c r="E62" s="23"/>
      <c r="F62" s="23"/>
      <c r="G62" s="23"/>
      <c r="H62" s="23"/>
      <c r="I62" s="23"/>
      <c r="J62" s="23"/>
      <c r="K62" s="23"/>
      <c r="L62" s="23"/>
      <c r="M62" s="23"/>
    </row>
    <row r="63" spans="1:13" x14ac:dyDescent="0.2">
      <c r="A63" t="s">
        <v>684</v>
      </c>
    </row>
    <row r="64" spans="1:13" x14ac:dyDescent="0.2">
      <c r="B64" s="180" t="s">
        <v>0</v>
      </c>
      <c r="C64" s="180"/>
      <c r="D64" s="180"/>
      <c r="E64" s="180"/>
      <c r="F64" s="180"/>
      <c r="G64" s="180"/>
      <c r="H64" s="180"/>
      <c r="I64" s="180"/>
      <c r="J64" s="180"/>
      <c r="K64" s="180"/>
      <c r="L64" s="180"/>
      <c r="M64" s="180"/>
    </row>
    <row r="65" spans="1:13" x14ac:dyDescent="0.2">
      <c r="B65" s="180"/>
      <c r="C65" s="180"/>
      <c r="D65" s="180"/>
      <c r="E65" s="180"/>
      <c r="F65" s="180"/>
      <c r="G65" s="180"/>
      <c r="H65" s="180"/>
      <c r="I65" s="180"/>
      <c r="J65" s="180"/>
      <c r="K65" s="180"/>
      <c r="L65" s="180"/>
      <c r="M65" s="180"/>
    </row>
    <row r="66" spans="1:13" x14ac:dyDescent="0.2">
      <c r="B66" s="180"/>
      <c r="C66" s="180"/>
      <c r="D66" s="180"/>
      <c r="E66" s="180"/>
      <c r="F66" s="180"/>
      <c r="G66" s="180"/>
      <c r="H66" s="180"/>
      <c r="I66" s="180"/>
      <c r="J66" s="180"/>
      <c r="K66" s="180"/>
      <c r="L66" s="180"/>
      <c r="M66" s="180"/>
    </row>
    <row r="67" spans="1:13" x14ac:dyDescent="0.2">
      <c r="B67" s="16"/>
      <c r="C67" s="16"/>
      <c r="D67" s="16"/>
      <c r="E67" s="16"/>
      <c r="F67" s="16"/>
      <c r="G67" s="16"/>
      <c r="H67" s="16"/>
      <c r="I67" s="16"/>
      <c r="J67" s="16"/>
      <c r="K67" s="16"/>
      <c r="L67" s="16"/>
      <c r="M67" s="16"/>
    </row>
    <row r="68" spans="1:13" x14ac:dyDescent="0.2">
      <c r="B68" s="177" t="s">
        <v>688</v>
      </c>
      <c r="C68" s="180"/>
      <c r="D68" s="180"/>
      <c r="E68" s="180"/>
      <c r="F68" s="180"/>
      <c r="G68" s="180"/>
      <c r="H68" s="180"/>
      <c r="I68" s="180"/>
      <c r="J68" s="180"/>
      <c r="K68" s="180"/>
      <c r="L68" s="180"/>
      <c r="M68" s="180"/>
    </row>
    <row r="69" spans="1:13" x14ac:dyDescent="0.2">
      <c r="B69" s="177"/>
      <c r="C69" s="177"/>
      <c r="D69" s="177"/>
      <c r="E69" s="177"/>
      <c r="F69" s="177"/>
      <c r="G69" s="177"/>
      <c r="H69" s="177"/>
      <c r="I69" s="177"/>
      <c r="J69" s="177"/>
      <c r="K69" s="177"/>
      <c r="L69" s="177"/>
      <c r="M69" s="177"/>
    </row>
    <row r="70" spans="1:13" x14ac:dyDescent="0.2">
      <c r="B70" s="23"/>
      <c r="C70" s="23"/>
      <c r="D70" s="23"/>
      <c r="E70" s="23"/>
      <c r="F70" s="23"/>
      <c r="G70" s="23"/>
      <c r="H70" s="23"/>
      <c r="I70" s="23"/>
      <c r="J70" s="23"/>
      <c r="K70" s="23"/>
      <c r="L70" s="23"/>
      <c r="M70" s="23"/>
    </row>
    <row r="71" spans="1:13" ht="11.25" customHeight="1" x14ac:dyDescent="0.2">
      <c r="A71" s="177" t="s">
        <v>685</v>
      </c>
      <c r="B71" s="178"/>
      <c r="C71" s="178"/>
      <c r="D71" s="178"/>
      <c r="E71" s="178"/>
      <c r="F71" s="178"/>
      <c r="G71" s="178"/>
      <c r="H71" s="178"/>
      <c r="I71" s="178"/>
      <c r="J71" s="178"/>
      <c r="K71" s="178"/>
      <c r="L71" s="178"/>
      <c r="M71" s="178"/>
    </row>
    <row r="72" spans="1:13" ht="11.25" customHeight="1" x14ac:dyDescent="0.2">
      <c r="A72" s="23"/>
      <c r="B72" s="178" t="s">
        <v>625</v>
      </c>
      <c r="C72" s="178"/>
      <c r="D72" s="178"/>
      <c r="E72" s="178"/>
      <c r="F72" s="178"/>
      <c r="G72" s="178"/>
      <c r="H72" s="178"/>
      <c r="I72" s="178"/>
      <c r="J72" s="178"/>
      <c r="K72" s="178"/>
      <c r="L72" s="178"/>
      <c r="M72" s="178"/>
    </row>
    <row r="73" spans="1:13" ht="11.25" customHeight="1" x14ac:dyDescent="0.2">
      <c r="A73" s="23"/>
      <c r="B73" s="33"/>
      <c r="C73" s="33"/>
      <c r="D73" s="33"/>
      <c r="E73" s="33"/>
      <c r="F73" s="33"/>
      <c r="G73" s="33"/>
      <c r="H73" s="33"/>
      <c r="I73" s="33"/>
      <c r="J73" s="33"/>
      <c r="K73" s="33"/>
      <c r="L73" s="33"/>
      <c r="M73" s="33"/>
    </row>
    <row r="74" spans="1:13" x14ac:dyDescent="0.2">
      <c r="A74" t="s">
        <v>686</v>
      </c>
    </row>
    <row r="76" spans="1:13" x14ac:dyDescent="0.2">
      <c r="A76" s="178" t="s">
        <v>1</v>
      </c>
      <c r="B76" s="179"/>
      <c r="C76" s="179"/>
      <c r="D76" s="179"/>
      <c r="E76" s="179"/>
      <c r="F76" s="179"/>
      <c r="G76" s="179"/>
      <c r="H76" s="179"/>
      <c r="I76" s="179"/>
      <c r="J76" s="179"/>
      <c r="K76" s="179"/>
      <c r="L76" s="179"/>
      <c r="M76" s="179"/>
    </row>
    <row r="77" spans="1:13" x14ac:dyDescent="0.2">
      <c r="A77" s="179"/>
      <c r="B77" s="179"/>
      <c r="C77" s="179"/>
      <c r="D77" s="179"/>
      <c r="E77" s="179"/>
      <c r="F77" s="179"/>
      <c r="G77" s="179"/>
      <c r="H77" s="179"/>
      <c r="I77" s="179"/>
      <c r="J77" s="179"/>
      <c r="K77" s="179"/>
      <c r="L77" s="179"/>
      <c r="M77" s="179"/>
    </row>
  </sheetData>
  <mergeCells count="23">
    <mergeCell ref="A30:M30"/>
    <mergeCell ref="A5:M6"/>
    <mergeCell ref="A20:M21"/>
    <mergeCell ref="A24:M27"/>
    <mergeCell ref="A15:M17"/>
    <mergeCell ref="A13:M13"/>
    <mergeCell ref="A10:M11"/>
    <mergeCell ref="A71:M71"/>
    <mergeCell ref="B72:M72"/>
    <mergeCell ref="A76:M77"/>
    <mergeCell ref="A29:M29"/>
    <mergeCell ref="C44:M45"/>
    <mergeCell ref="B34:M35"/>
    <mergeCell ref="C40:M40"/>
    <mergeCell ref="B47:M47"/>
    <mergeCell ref="C41:M42"/>
    <mergeCell ref="C43:M43"/>
    <mergeCell ref="B49:M51"/>
    <mergeCell ref="B53:M54"/>
    <mergeCell ref="B64:M66"/>
    <mergeCell ref="B68:M69"/>
    <mergeCell ref="B60:M61"/>
    <mergeCell ref="B57:M58"/>
  </mergeCells>
  <phoneticPr fontId="0" type="noConversion"/>
  <pageMargins left="0.5" right="0.5" top="0.75" bottom="0.75" header="0.5" footer="0.5"/>
  <pageSetup scale="86"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8"/>
  <sheetViews>
    <sheetView tabSelected="1" zoomScaleNormal="100" workbookViewId="0">
      <selection activeCell="A3" sqref="A3"/>
    </sheetView>
  </sheetViews>
  <sheetFormatPr defaultRowHeight="11.25" x14ac:dyDescent="0.2"/>
  <cols>
    <col min="1" max="1" width="5.83203125" style="56" customWidth="1"/>
    <col min="2" max="2" width="44.83203125" style="56" customWidth="1"/>
    <col min="3" max="3" width="15.33203125" style="56" customWidth="1"/>
    <col min="4" max="5" width="15.83203125" style="56" customWidth="1"/>
    <col min="6" max="6" width="14.83203125" style="56" customWidth="1"/>
    <col min="7" max="7" width="5.83203125" style="56" customWidth="1"/>
    <col min="8" max="9" width="15.83203125" style="56" customWidth="1"/>
    <col min="10" max="16384" width="9.33203125" style="56"/>
  </cols>
  <sheetData>
    <row r="1" spans="1:9" x14ac:dyDescent="0.2">
      <c r="D1" s="51" t="s">
        <v>368</v>
      </c>
      <c r="I1" s="72">
        <v>40795</v>
      </c>
    </row>
    <row r="2" spans="1:9" x14ac:dyDescent="0.2">
      <c r="D2" s="159" t="str">
        <f>Instructions!S2</f>
        <v>06/30/11</v>
      </c>
    </row>
    <row r="3" spans="1:9" x14ac:dyDescent="0.2">
      <c r="A3" s="40">
        <v>2159</v>
      </c>
      <c r="B3" s="56" t="s">
        <v>369</v>
      </c>
    </row>
    <row r="4" spans="1:9" x14ac:dyDescent="0.2">
      <c r="C4" s="73"/>
    </row>
    <row r="5" spans="1:9" x14ac:dyDescent="0.2">
      <c r="B5" s="55" t="str">
        <f>VLOOKUP(A3,ShiftCY,3)</f>
        <v>BUFFALO LAKE-HEC</v>
      </c>
    </row>
    <row r="6" spans="1:9" x14ac:dyDescent="0.2">
      <c r="B6" s="55"/>
      <c r="C6" s="74">
        <v>1</v>
      </c>
      <c r="D6" s="74">
        <v>2</v>
      </c>
      <c r="E6" s="74">
        <v>3</v>
      </c>
      <c r="F6" s="74">
        <v>4</v>
      </c>
      <c r="G6" s="74"/>
      <c r="H6" s="74">
        <v>5</v>
      </c>
      <c r="I6" s="74">
        <v>6</v>
      </c>
    </row>
    <row r="7" spans="1:9" ht="33.75" x14ac:dyDescent="0.2">
      <c r="C7" s="75" t="str">
        <f>"Gross Shift Amount 
"&amp;Instructions!Q1</f>
        <v>Gross Shift Amount 
10 Pay 11</v>
      </c>
      <c r="D7" s="158" t="str">
        <f>"Replacement for "&amp;Instructions!Q2&amp;" Shift"</f>
        <v>Replacement for 09 Pay 10 Shift</v>
      </c>
      <c r="E7" s="158" t="str">
        <f>Instructions!R2&amp;"
Revenue Adjust
Src Code 001"</f>
        <v>FY 2011
Revenue Adjust
Src Code 001</v>
      </c>
      <c r="F7" s="76" t="str">
        <f>Instructions!R2&amp;" Net Shift Amount
Src Code 020"</f>
        <v>FY 2011 Net Shift Amount
Src Code 020</v>
      </c>
      <c r="G7" s="77"/>
      <c r="H7" s="75" t="s">
        <v>615</v>
      </c>
      <c r="I7" s="75" t="s">
        <v>616</v>
      </c>
    </row>
    <row r="8" spans="1:9" x14ac:dyDescent="0.2">
      <c r="F8" s="78"/>
      <c r="G8" s="77"/>
    </row>
    <row r="9" spans="1:9" x14ac:dyDescent="0.2">
      <c r="A9" s="79" t="s">
        <v>370</v>
      </c>
      <c r="B9" s="56" t="s">
        <v>371</v>
      </c>
      <c r="C9" s="56">
        <f>VLOOKUP($A$3,ShiftCY,4,FALSE)</f>
        <v>149413.66</v>
      </c>
      <c r="D9" s="56">
        <f>VLOOKUP($A$3,ShiftPY,4,FALSE)</f>
        <v>0</v>
      </c>
      <c r="F9" s="78">
        <f>C9-D9</f>
        <v>149413.66</v>
      </c>
      <c r="G9" s="77"/>
    </row>
    <row r="10" spans="1:9" x14ac:dyDescent="0.2">
      <c r="A10" s="80" t="s">
        <v>372</v>
      </c>
      <c r="B10" s="73" t="s">
        <v>373</v>
      </c>
      <c r="C10" s="56">
        <f>VLOOKUP($A$3,ShiftCY,5,FALSE)</f>
        <v>94040.76</v>
      </c>
      <c r="D10" s="56">
        <f>VLOOKUP($A$3,ShiftPY,5,FALSE)</f>
        <v>0</v>
      </c>
      <c r="E10" s="73"/>
      <c r="F10" s="78">
        <f>C10-D10</f>
        <v>94040.76</v>
      </c>
      <c r="G10" s="77"/>
    </row>
    <row r="11" spans="1:9" x14ac:dyDescent="0.2">
      <c r="A11" s="80" t="s">
        <v>374</v>
      </c>
      <c r="B11" s="73" t="s">
        <v>375</v>
      </c>
      <c r="C11" s="56">
        <f>VLOOKUP($A$3,ShiftCY,6,FALSE)</f>
        <v>102520.67</v>
      </c>
      <c r="D11" s="56">
        <f>VLOOKUP($A$3,ShiftPY,6,FALSE)</f>
        <v>102520.67</v>
      </c>
      <c r="E11" s="56">
        <f t="shared" ref="E11:E17" si="0">C11-D11</f>
        <v>0</v>
      </c>
      <c r="F11" s="81"/>
      <c r="G11" s="77"/>
    </row>
    <row r="12" spans="1:9" x14ac:dyDescent="0.2">
      <c r="A12" s="79" t="s">
        <v>376</v>
      </c>
      <c r="B12" s="56" t="s">
        <v>377</v>
      </c>
      <c r="C12" s="56">
        <f>VLOOKUP($A$3,ShiftCY,7,FALSE)</f>
        <v>23853.190000000002</v>
      </c>
      <c r="D12" s="56">
        <f>VLOOKUP($A$3,ShiftPY,7,FALSE)</f>
        <v>23853.190000000002</v>
      </c>
      <c r="E12" s="56">
        <f t="shared" si="0"/>
        <v>0</v>
      </c>
      <c r="F12" s="78"/>
      <c r="G12" s="77"/>
    </row>
    <row r="13" spans="1:9" x14ac:dyDescent="0.2">
      <c r="A13" s="80" t="s">
        <v>378</v>
      </c>
      <c r="B13" s="73" t="s">
        <v>463</v>
      </c>
      <c r="C13" s="56">
        <f>VLOOKUP($A$3,ShiftCY,8,FALSE)</f>
        <v>11812.8</v>
      </c>
      <c r="D13" s="56">
        <f>VLOOKUP($A$3,ShiftPY,8,FALSE)</f>
        <v>11812.8</v>
      </c>
      <c r="E13" s="73">
        <f t="shared" si="0"/>
        <v>0</v>
      </c>
      <c r="F13" s="81"/>
      <c r="G13" s="77"/>
    </row>
    <row r="14" spans="1:9" x14ac:dyDescent="0.2">
      <c r="A14" s="80" t="s">
        <v>379</v>
      </c>
      <c r="B14" s="73" t="s">
        <v>462</v>
      </c>
      <c r="C14" s="56">
        <f>VLOOKUP($A$3,ShiftCY,9,FALSE)</f>
        <v>0</v>
      </c>
      <c r="D14" s="56">
        <f>VLOOKUP($A$3,ShiftPY,9,FALSE)</f>
        <v>0</v>
      </c>
      <c r="E14" s="73">
        <f t="shared" si="0"/>
        <v>0</v>
      </c>
      <c r="F14" s="81"/>
      <c r="G14" s="77"/>
    </row>
    <row r="15" spans="1:9" x14ac:dyDescent="0.2">
      <c r="A15" s="79" t="s">
        <v>380</v>
      </c>
      <c r="B15" s="56" t="s">
        <v>381</v>
      </c>
      <c r="C15" s="56">
        <f>VLOOKUP($A$3,ShiftCY,10,FALSE)</f>
        <v>0</v>
      </c>
      <c r="D15" s="56">
        <f>VLOOKUP($A$3,ShiftPY,10,FALSE)</f>
        <v>0</v>
      </c>
      <c r="E15" s="56">
        <f t="shared" si="0"/>
        <v>0</v>
      </c>
      <c r="F15" s="78"/>
      <c r="G15" s="77"/>
    </row>
    <row r="16" spans="1:9" x14ac:dyDescent="0.2">
      <c r="A16" s="82" t="s">
        <v>382</v>
      </c>
      <c r="B16" s="56" t="s">
        <v>383</v>
      </c>
      <c r="C16" s="56">
        <f>VLOOKUP($A$3,ShiftCY,11,FALSE)</f>
        <v>10750.59</v>
      </c>
      <c r="D16" s="56">
        <f>VLOOKUP($A$3,ShiftPY,11,FALSE)</f>
        <v>0</v>
      </c>
      <c r="E16" s="56">
        <f t="shared" si="0"/>
        <v>10750.59</v>
      </c>
      <c r="F16" s="78"/>
      <c r="G16" s="77"/>
    </row>
    <row r="17" spans="1:9" x14ac:dyDescent="0.2">
      <c r="A17" s="79" t="s">
        <v>384</v>
      </c>
      <c r="B17" s="56" t="s">
        <v>385</v>
      </c>
      <c r="C17" s="56">
        <f>VLOOKUP($A$3,ShiftCY,12,FALSE)</f>
        <v>0</v>
      </c>
      <c r="D17" s="56">
        <f>VLOOKUP($A$3,ShiftPY,12,FALSE)</f>
        <v>0</v>
      </c>
      <c r="E17" s="56">
        <f t="shared" si="0"/>
        <v>0</v>
      </c>
      <c r="F17" s="78"/>
      <c r="G17" s="77"/>
    </row>
    <row r="18" spans="1:9" x14ac:dyDescent="0.2">
      <c r="A18" s="79" t="s">
        <v>386</v>
      </c>
      <c r="B18" s="56" t="s">
        <v>387</v>
      </c>
      <c r="C18" s="56">
        <f>SUM(C9:C17)</f>
        <v>392391.67</v>
      </c>
      <c r="D18" s="56">
        <f>SUM(D9:D17)</f>
        <v>138186.66</v>
      </c>
      <c r="E18" s="56">
        <f>SUM(E9:E17)</f>
        <v>10750.59</v>
      </c>
      <c r="F18" s="78">
        <f>SUM(F9:F17)</f>
        <v>243454.41999999998</v>
      </c>
      <c r="G18" s="77"/>
      <c r="H18" s="56">
        <f>-VLOOKUP($A$3,Ideas,4)</f>
        <v>-244360.64</v>
      </c>
      <c r="I18" s="56">
        <f>-F18-H18</f>
        <v>906.22000000003027</v>
      </c>
    </row>
    <row r="19" spans="1:9" x14ac:dyDescent="0.2">
      <c r="A19" s="79"/>
      <c r="F19" s="78"/>
      <c r="G19" s="77"/>
    </row>
    <row r="20" spans="1:9" x14ac:dyDescent="0.2">
      <c r="A20" s="79" t="s">
        <v>388</v>
      </c>
      <c r="B20" s="56" t="s">
        <v>389</v>
      </c>
      <c r="C20" s="56">
        <f>VLOOKUP($A$3,ShiftCY,13,FALSE)</f>
        <v>27316.07</v>
      </c>
      <c r="D20" s="56">
        <f>VLOOKUP($A$3,ShiftPY,13,FALSE)</f>
        <v>0</v>
      </c>
      <c r="F20" s="78">
        <f>C20-D20</f>
        <v>27316.07</v>
      </c>
      <c r="G20" s="77"/>
    </row>
    <row r="21" spans="1:9" x14ac:dyDescent="0.2">
      <c r="A21" s="79" t="s">
        <v>390</v>
      </c>
      <c r="B21" s="56" t="s">
        <v>391</v>
      </c>
      <c r="C21" s="56">
        <v>0</v>
      </c>
      <c r="D21" s="56">
        <v>0</v>
      </c>
      <c r="E21" s="56">
        <f>C21-D21</f>
        <v>0</v>
      </c>
      <c r="F21" s="78"/>
      <c r="G21" s="77"/>
    </row>
    <row r="22" spans="1:9" x14ac:dyDescent="0.2">
      <c r="A22" s="79" t="s">
        <v>392</v>
      </c>
      <c r="B22" s="56" t="s">
        <v>393</v>
      </c>
      <c r="C22" s="56">
        <f>VLOOKUP($A$3,ShiftCY,14,FALSE)</f>
        <v>0</v>
      </c>
      <c r="D22" s="56">
        <f>VLOOKUP($A$3,ShiftPY,14,FALSE)</f>
        <v>0</v>
      </c>
      <c r="E22" s="56">
        <f>C22-D22</f>
        <v>0</v>
      </c>
      <c r="F22" s="78"/>
      <c r="G22" s="77"/>
    </row>
    <row r="23" spans="1:9" x14ac:dyDescent="0.2">
      <c r="A23" s="79" t="s">
        <v>394</v>
      </c>
      <c r="B23" s="56" t="s">
        <v>395</v>
      </c>
      <c r="C23" s="56">
        <f>SUM(C20:C22)</f>
        <v>27316.07</v>
      </c>
      <c r="D23" s="56">
        <f>SUM(D20:D22)</f>
        <v>0</v>
      </c>
      <c r="E23" s="56">
        <f>SUM(E20:E22)</f>
        <v>0</v>
      </c>
      <c r="F23" s="78">
        <f>SUM(F20:F22)</f>
        <v>27316.07</v>
      </c>
      <c r="G23" s="77"/>
      <c r="H23" s="56">
        <f>-VLOOKUP($A$3,Ideas,5)</f>
        <v>-8362.49</v>
      </c>
      <c r="I23" s="56">
        <f>-F23-H23</f>
        <v>-18953.580000000002</v>
      </c>
    </row>
    <row r="24" spans="1:9" x14ac:dyDescent="0.2">
      <c r="A24" s="79"/>
      <c r="F24" s="78"/>
      <c r="G24" s="77"/>
    </row>
    <row r="25" spans="1:9" x14ac:dyDescent="0.2">
      <c r="A25" s="79"/>
      <c r="F25" s="78"/>
      <c r="G25" s="77"/>
    </row>
    <row r="26" spans="1:9" x14ac:dyDescent="0.2">
      <c r="A26" s="79" t="s">
        <v>396</v>
      </c>
      <c r="B26" s="56" t="s">
        <v>397</v>
      </c>
      <c r="C26" s="56">
        <f>C18+C23</f>
        <v>419707.74</v>
      </c>
      <c r="D26" s="56">
        <f>D18+D23</f>
        <v>138186.66</v>
      </c>
      <c r="E26" s="56">
        <f>E18+E23</f>
        <v>10750.59</v>
      </c>
      <c r="F26" s="78">
        <f>F18+F23</f>
        <v>270770.49</v>
      </c>
      <c r="G26" s="77"/>
      <c r="H26" s="56">
        <f>H18+H23</f>
        <v>-252723.13</v>
      </c>
      <c r="I26" s="56">
        <f>I18+I23</f>
        <v>-18047.359999999971</v>
      </c>
    </row>
    <row r="31" spans="1:9" x14ac:dyDescent="0.2">
      <c r="A31" s="55" t="s">
        <v>398</v>
      </c>
    </row>
    <row r="32" spans="1:9" x14ac:dyDescent="0.2">
      <c r="A32" s="56" t="s">
        <v>480</v>
      </c>
    </row>
    <row r="33" spans="2:9" x14ac:dyDescent="0.2">
      <c r="B33" s="73" t="s">
        <v>399</v>
      </c>
      <c r="C33" s="73" t="str">
        <f>"For "&amp;Instructions!P1&amp;" this category includes all levies not identified below, shifted at 48.6%."</f>
        <v>For Pay 2011 this category includes all levies not identified below, shifted at 48.6%.</v>
      </c>
      <c r="D33" s="73"/>
      <c r="E33" s="73"/>
      <c r="F33" s="73"/>
      <c r="G33" s="73"/>
      <c r="H33" s="73"/>
    </row>
    <row r="34" spans="2:9" x14ac:dyDescent="0.2">
      <c r="B34" s="73"/>
      <c r="C34" s="73" t="str">
        <f>"For "&amp;Instructions!P2&amp;" this category is zero."</f>
        <v>For Pay 2010 this category is zero.</v>
      </c>
      <c r="D34" s="73"/>
      <c r="E34" s="73"/>
      <c r="F34" s="73"/>
      <c r="G34" s="73"/>
      <c r="H34" s="73"/>
    </row>
    <row r="35" spans="2:9" x14ac:dyDescent="0.2">
      <c r="B35" s="73" t="s">
        <v>400</v>
      </c>
      <c r="C35" s="73" t="str">
        <f>"For "&amp;Instructions!P1&amp;" this category is the greater of zero, or the Pay 2011 referendum levy shifted at 48.6% minus"</f>
        <v>For Pay 2011 this category is the greater of zero, or the Pay 2011 referendum levy shifted at 48.6% minus</v>
      </c>
      <c r="D35" s="73"/>
      <c r="E35" s="73"/>
      <c r="F35" s="73"/>
      <c r="G35" s="73"/>
      <c r="H35" s="73"/>
    </row>
    <row r="36" spans="2:9" x14ac:dyDescent="0.2">
      <c r="B36" s="73"/>
      <c r="C36" s="73" t="str">
        <f>"the Pay 2001 referendum shifted at 31%.  For "&amp;Instructions!P2&amp;" this category is zero."</f>
        <v>the Pay 2001 referendum shifted at 31%.  For Pay 2010 this category is zero.</v>
      </c>
      <c r="D36" s="73"/>
      <c r="E36" s="73"/>
      <c r="F36" s="73"/>
      <c r="G36" s="73"/>
      <c r="H36" s="73"/>
    </row>
    <row r="37" spans="2:9" x14ac:dyDescent="0.2">
      <c r="B37" s="73" t="s">
        <v>401</v>
      </c>
      <c r="C37" s="30" t="s">
        <v>630</v>
      </c>
      <c r="D37" s="73"/>
      <c r="E37" s="73"/>
      <c r="F37" s="73"/>
      <c r="G37" s="73"/>
      <c r="H37" s="73"/>
    </row>
    <row r="38" spans="2:9" x14ac:dyDescent="0.2">
      <c r="B38" s="56" t="s">
        <v>402</v>
      </c>
      <c r="C38" s="56" t="s">
        <v>631</v>
      </c>
    </row>
    <row r="39" spans="2:9" x14ac:dyDescent="0.2">
      <c r="C39" s="56" t="s">
        <v>403</v>
      </c>
    </row>
    <row r="40" spans="2:9" x14ac:dyDescent="0.2">
      <c r="C40" s="56" t="s">
        <v>404</v>
      </c>
    </row>
    <row r="41" spans="2:9" x14ac:dyDescent="0.2">
      <c r="B41" s="56" t="s">
        <v>464</v>
      </c>
      <c r="C41" s="56" t="s">
        <v>661</v>
      </c>
    </row>
    <row r="42" spans="2:9" x14ac:dyDescent="0.2">
      <c r="B42" s="56" t="s">
        <v>405</v>
      </c>
      <c r="C42" s="56" t="s">
        <v>505</v>
      </c>
    </row>
    <row r="43" spans="2:9" x14ac:dyDescent="0.2">
      <c r="C43" s="56" t="s">
        <v>506</v>
      </c>
    </row>
    <row r="44" spans="2:9" x14ac:dyDescent="0.2">
      <c r="B44" s="56" t="s">
        <v>406</v>
      </c>
      <c r="C44" s="56" t="s">
        <v>628</v>
      </c>
    </row>
    <row r="45" spans="2:9" x14ac:dyDescent="0.2">
      <c r="B45" s="56" t="s">
        <v>407</v>
      </c>
      <c r="C45" s="56" t="s">
        <v>629</v>
      </c>
    </row>
    <row r="46" spans="2:9" x14ac:dyDescent="0.2">
      <c r="B46" s="73" t="s">
        <v>408</v>
      </c>
      <c r="C46" s="56" t="s">
        <v>495</v>
      </c>
    </row>
    <row r="47" spans="2:9" x14ac:dyDescent="0.2">
      <c r="C47" s="43" t="s">
        <v>693</v>
      </c>
    </row>
    <row r="48" spans="2:9" x14ac:dyDescent="0.2">
      <c r="C48" s="73" t="str">
        <f>"no adjustment to state aids.  For "&amp;Instructions!P2&amp;" and "&amp;Instructions!P1&amp;" this category is zero."</f>
        <v>no adjustment to state aids.  For Pay 2010 and Pay 2011 this category is zero.</v>
      </c>
      <c r="D48" s="73"/>
      <c r="E48" s="73"/>
      <c r="F48" s="73"/>
      <c r="G48" s="73"/>
      <c r="H48" s="73"/>
      <c r="I48" s="73"/>
    </row>
    <row r="49" spans="1:9" x14ac:dyDescent="0.2">
      <c r="C49" s="73"/>
      <c r="D49" s="73"/>
      <c r="E49" s="73"/>
      <c r="F49" s="73"/>
      <c r="G49" s="73"/>
      <c r="H49" s="73"/>
      <c r="I49" s="73"/>
    </row>
    <row r="50" spans="1:9" x14ac:dyDescent="0.2">
      <c r="C50" s="73"/>
      <c r="D50" s="73"/>
      <c r="E50" s="73"/>
      <c r="F50" s="73"/>
      <c r="G50" s="73"/>
      <c r="H50" s="73"/>
      <c r="I50" s="73"/>
    </row>
    <row r="52" spans="1:9" x14ac:dyDescent="0.2">
      <c r="A52" s="83">
        <f>$A$3</f>
        <v>2159</v>
      </c>
      <c r="B52" s="55" t="str">
        <f>VLOOKUP($A$3,ShiftCY,3)</f>
        <v>BUFFALO LAKE-HEC</v>
      </c>
      <c r="I52" s="72">
        <f>Instructions!$M$1</f>
        <v>40795</v>
      </c>
    </row>
    <row r="55" spans="1:9" x14ac:dyDescent="0.2">
      <c r="G55" s="79"/>
    </row>
    <row r="56" spans="1:9" x14ac:dyDescent="0.2">
      <c r="A56" s="84" t="s">
        <v>409</v>
      </c>
      <c r="B56" s="85"/>
      <c r="C56" s="85"/>
      <c r="D56" s="85"/>
      <c r="E56" s="85"/>
      <c r="F56" s="86"/>
      <c r="G56" s="79"/>
    </row>
    <row r="57" spans="1:9" x14ac:dyDescent="0.2">
      <c r="A57" s="87"/>
      <c r="B57" s="78"/>
      <c r="C57" s="78"/>
      <c r="D57" s="78"/>
      <c r="E57" s="78"/>
      <c r="F57" s="88"/>
      <c r="G57" s="79"/>
    </row>
    <row r="58" spans="1:9" x14ac:dyDescent="0.2">
      <c r="A58" s="89" t="s">
        <v>410</v>
      </c>
      <c r="B58" s="78" t="s">
        <v>484</v>
      </c>
      <c r="C58" s="78"/>
      <c r="D58" s="78"/>
      <c r="E58" s="78"/>
      <c r="F58" s="88"/>
      <c r="G58" s="79"/>
      <c r="H58" s="83"/>
    </row>
    <row r="59" spans="1:9" x14ac:dyDescent="0.2">
      <c r="A59" s="89"/>
      <c r="B59" s="78" t="str">
        <f>"in account 235 should equal the Certified "&amp;Instructions!P1&amp;" levy from the School Tax Report."</f>
        <v>in account 235 should equal the Certified Pay 2011 levy from the School Tax Report.</v>
      </c>
      <c r="C59" s="78"/>
      <c r="D59" s="78"/>
      <c r="E59" s="78"/>
      <c r="F59" s="88"/>
      <c r="G59" s="79"/>
    </row>
    <row r="60" spans="1:9" x14ac:dyDescent="0.2">
      <c r="A60" s="89"/>
      <c r="B60" s="78"/>
      <c r="C60" s="78"/>
      <c r="D60" s="78"/>
      <c r="E60" s="78"/>
      <c r="F60" s="88"/>
      <c r="G60" s="79"/>
    </row>
    <row r="61" spans="1:9" x14ac:dyDescent="0.2">
      <c r="A61" s="89"/>
      <c r="B61" s="78"/>
      <c r="C61" s="78"/>
      <c r="D61" s="78"/>
      <c r="E61" s="78"/>
      <c r="F61" s="88"/>
      <c r="G61" s="79"/>
    </row>
    <row r="62" spans="1:9" x14ac:dyDescent="0.2">
      <c r="A62" s="89"/>
      <c r="B62" s="78"/>
      <c r="C62" s="78"/>
      <c r="D62" s="78"/>
      <c r="E62" s="78"/>
      <c r="F62" s="88"/>
      <c r="G62" s="79"/>
    </row>
    <row r="63" spans="1:9" x14ac:dyDescent="0.2">
      <c r="A63" s="89" t="s">
        <v>411</v>
      </c>
      <c r="B63" s="78" t="str">
        <f>"If the Advance of Unearned General Education Revenue (GNL 214) was used in "&amp;Instructions!R3&amp;", enough general ed payments should"</f>
        <v>If the Advance of Unearned General Education Revenue (GNL 214) was used in FY 2010, enough general ed payments should</v>
      </c>
      <c r="C63" s="78"/>
      <c r="D63" s="78"/>
      <c r="E63" s="78"/>
      <c r="F63" s="88"/>
      <c r="G63" s="79"/>
    </row>
    <row r="64" spans="1:9" x14ac:dyDescent="0.2">
      <c r="A64" s="89"/>
      <c r="B64" s="78" t="s">
        <v>412</v>
      </c>
      <c r="C64" s="78"/>
      <c r="D64" s="78"/>
      <c r="E64" s="78"/>
      <c r="F64" s="88"/>
      <c r="G64" s="79"/>
    </row>
    <row r="65" spans="1:7" x14ac:dyDescent="0.2">
      <c r="A65" s="89"/>
      <c r="B65" s="78"/>
      <c r="C65" s="78"/>
      <c r="D65" s="78"/>
      <c r="E65" s="90" t="s">
        <v>413</v>
      </c>
      <c r="F65" s="91" t="s">
        <v>414</v>
      </c>
      <c r="G65" s="79"/>
    </row>
    <row r="66" spans="1:7" x14ac:dyDescent="0.2">
      <c r="A66" s="92" t="s">
        <v>415</v>
      </c>
      <c r="B66" s="56" t="s">
        <v>416</v>
      </c>
      <c r="C66" s="73" t="s">
        <v>417</v>
      </c>
      <c r="E66" s="56">
        <f>F68</f>
        <v>0</v>
      </c>
      <c r="F66" s="88"/>
      <c r="G66" s="79"/>
    </row>
    <row r="67" spans="1:7" x14ac:dyDescent="0.2">
      <c r="A67" s="92" t="s">
        <v>415</v>
      </c>
      <c r="B67" s="56" t="s">
        <v>449</v>
      </c>
      <c r="C67" s="73" t="s">
        <v>417</v>
      </c>
      <c r="E67" s="56">
        <f>F69</f>
        <v>0</v>
      </c>
      <c r="F67" s="88"/>
      <c r="G67" s="79"/>
    </row>
    <row r="68" spans="1:7" x14ac:dyDescent="0.2">
      <c r="A68" s="93" t="s">
        <v>418</v>
      </c>
      <c r="B68" s="73" t="s">
        <v>419</v>
      </c>
      <c r="C68" s="56" t="s">
        <v>420</v>
      </c>
      <c r="E68" s="78"/>
      <c r="F68" s="88">
        <f>-VLOOKUP($A$3,Ideas,7)</f>
        <v>0</v>
      </c>
      <c r="G68" s="79"/>
    </row>
    <row r="69" spans="1:7" x14ac:dyDescent="0.2">
      <c r="A69" s="93" t="s">
        <v>418</v>
      </c>
      <c r="B69" s="73" t="s">
        <v>436</v>
      </c>
      <c r="C69" s="56" t="s">
        <v>420</v>
      </c>
      <c r="E69" s="78"/>
      <c r="F69" s="88">
        <f>-VLOOKUP($A$3,Ideas,8)</f>
        <v>0</v>
      </c>
      <c r="G69" s="79"/>
    </row>
    <row r="70" spans="1:7" x14ac:dyDescent="0.2">
      <c r="A70" s="93"/>
      <c r="B70" s="73"/>
      <c r="F70" s="88"/>
      <c r="G70" s="79"/>
    </row>
    <row r="71" spans="1:7" x14ac:dyDescent="0.2">
      <c r="A71" s="93"/>
      <c r="B71" s="73"/>
      <c r="F71" s="88"/>
      <c r="G71" s="79"/>
    </row>
    <row r="72" spans="1:7" x14ac:dyDescent="0.2">
      <c r="A72" s="89"/>
      <c r="B72" s="78"/>
      <c r="C72" s="78"/>
      <c r="D72" s="78"/>
      <c r="E72" s="78"/>
      <c r="F72" s="88"/>
      <c r="G72" s="79"/>
    </row>
    <row r="73" spans="1:7" x14ac:dyDescent="0.2">
      <c r="A73" s="94" t="s">
        <v>421</v>
      </c>
      <c r="B73" s="78" t="str">
        <f>"The "&amp;Instructions!R2&amp;" tax shift payment adjustments reflected on the IDEAS reports should have been recorded to source 299."</f>
        <v>The FY 2011 tax shift payment adjustments reflected on the IDEAS reports should have been recorded to source 299.</v>
      </c>
      <c r="C73" s="78"/>
      <c r="D73" s="78"/>
      <c r="E73" s="78"/>
      <c r="F73" s="88"/>
      <c r="G73" s="79"/>
    </row>
    <row r="74" spans="1:7" x14ac:dyDescent="0.2">
      <c r="A74" s="89"/>
      <c r="B74" s="78" t="s">
        <v>422</v>
      </c>
      <c r="C74" s="78"/>
      <c r="D74" s="78"/>
      <c r="E74" s="78"/>
      <c r="F74" s="88"/>
      <c r="G74" s="79"/>
    </row>
    <row r="75" spans="1:7" x14ac:dyDescent="0.2">
      <c r="A75" s="92"/>
      <c r="B75" s="78"/>
      <c r="C75" s="78"/>
      <c r="D75" s="78"/>
      <c r="E75" s="90" t="s">
        <v>413</v>
      </c>
      <c r="F75" s="91" t="s">
        <v>414</v>
      </c>
      <c r="G75" s="79"/>
    </row>
    <row r="76" spans="1:7" x14ac:dyDescent="0.2">
      <c r="A76" s="93" t="s">
        <v>415</v>
      </c>
      <c r="B76" s="95" t="s">
        <v>423</v>
      </c>
      <c r="C76" s="81" t="s">
        <v>424</v>
      </c>
      <c r="D76" s="81"/>
      <c r="E76" s="96">
        <f>IF(H18&lt;=0,-H18," ")</f>
        <v>244360.64</v>
      </c>
      <c r="F76" s="97" t="str">
        <f>IF(H18&lt;=0," ",H18)</f>
        <v xml:space="preserve"> </v>
      </c>
      <c r="G76" s="79"/>
    </row>
    <row r="77" spans="1:7" x14ac:dyDescent="0.2">
      <c r="A77" s="93" t="s">
        <v>415</v>
      </c>
      <c r="B77" s="95" t="s">
        <v>425</v>
      </c>
      <c r="C77" s="81" t="s">
        <v>424</v>
      </c>
      <c r="D77" s="81"/>
      <c r="E77" s="96">
        <f>IF(H23&lt;=0,-H23," ")</f>
        <v>8362.49</v>
      </c>
      <c r="F77" s="97" t="str">
        <f>IF(H23&lt;=0," ",H23)</f>
        <v xml:space="preserve"> </v>
      </c>
      <c r="G77" s="79"/>
    </row>
    <row r="78" spans="1:7" x14ac:dyDescent="0.2">
      <c r="A78" s="93" t="s">
        <v>415</v>
      </c>
      <c r="B78" s="95" t="s">
        <v>426</v>
      </c>
      <c r="C78" s="78" t="s">
        <v>427</v>
      </c>
      <c r="D78" s="78"/>
      <c r="E78" s="78" t="str">
        <f>F76</f>
        <v xml:space="preserve"> </v>
      </c>
      <c r="F78" s="97">
        <f>E76</f>
        <v>244360.64</v>
      </c>
      <c r="G78" s="79"/>
    </row>
    <row r="79" spans="1:7" x14ac:dyDescent="0.2">
      <c r="A79" s="93" t="s">
        <v>415</v>
      </c>
      <c r="B79" s="95" t="s">
        <v>428</v>
      </c>
      <c r="C79" s="78" t="s">
        <v>427</v>
      </c>
      <c r="D79" s="78"/>
      <c r="E79" s="78" t="str">
        <f>F77</f>
        <v xml:space="preserve"> </v>
      </c>
      <c r="F79" s="97">
        <f>E77</f>
        <v>8362.49</v>
      </c>
      <c r="G79" s="79"/>
    </row>
    <row r="80" spans="1:7" x14ac:dyDescent="0.2">
      <c r="A80" s="98"/>
      <c r="B80" s="99"/>
      <c r="C80" s="100"/>
      <c r="D80" s="100"/>
      <c r="E80" s="100"/>
      <c r="F80" s="101"/>
      <c r="G80" s="79"/>
    </row>
    <row r="81" spans="1:8" x14ac:dyDescent="0.2">
      <c r="A81" s="81"/>
      <c r="B81" s="95"/>
      <c r="C81" s="78"/>
      <c r="D81" s="78"/>
      <c r="E81" s="78"/>
      <c r="F81" s="96"/>
      <c r="G81" s="79"/>
    </row>
    <row r="82" spans="1:8" x14ac:dyDescent="0.2">
      <c r="A82" s="81"/>
      <c r="B82" s="95"/>
      <c r="C82" s="78"/>
      <c r="D82" s="78"/>
      <c r="E82" s="78"/>
      <c r="F82" s="96"/>
      <c r="G82" s="79"/>
    </row>
    <row r="83" spans="1:8" x14ac:dyDescent="0.2">
      <c r="A83" s="81"/>
      <c r="B83" s="95"/>
      <c r="C83" s="78"/>
      <c r="D83" s="78"/>
      <c r="E83" s="78"/>
      <c r="F83" s="96"/>
      <c r="G83" s="79"/>
    </row>
    <row r="84" spans="1:8" x14ac:dyDescent="0.2">
      <c r="A84" s="81"/>
      <c r="B84" s="95"/>
      <c r="C84" s="78"/>
      <c r="D84" s="78"/>
      <c r="E84" s="78"/>
      <c r="F84" s="96"/>
      <c r="G84" s="79"/>
    </row>
    <row r="85" spans="1:8" x14ac:dyDescent="0.2">
      <c r="A85" s="81"/>
      <c r="B85" s="95"/>
      <c r="C85" s="78"/>
      <c r="D85" s="78"/>
      <c r="E85" s="78"/>
      <c r="F85" s="96"/>
      <c r="G85" s="79"/>
    </row>
    <row r="86" spans="1:8" x14ac:dyDescent="0.2">
      <c r="A86" s="81"/>
      <c r="B86" s="95"/>
      <c r="C86" s="78"/>
      <c r="D86" s="78"/>
      <c r="E86" s="78"/>
      <c r="F86" s="96"/>
      <c r="G86" s="79"/>
    </row>
    <row r="87" spans="1:8" x14ac:dyDescent="0.2">
      <c r="A87" s="81"/>
      <c r="B87" s="95"/>
      <c r="C87" s="78"/>
      <c r="D87" s="78"/>
      <c r="E87" s="78"/>
      <c r="F87" s="96"/>
      <c r="G87" s="79"/>
    </row>
    <row r="88" spans="1:8" x14ac:dyDescent="0.2">
      <c r="A88" s="100"/>
      <c r="B88" s="100"/>
      <c r="C88" s="100"/>
      <c r="D88" s="100"/>
      <c r="E88" s="100"/>
      <c r="F88" s="100"/>
      <c r="G88" s="79"/>
    </row>
    <row r="89" spans="1:8" ht="22.5" x14ac:dyDescent="0.2">
      <c r="A89" s="102" t="str">
        <f>"ENTER:  May/June/July "&amp;RIGHT(Instructions!R2,4)&amp;" Receipts for:"</f>
        <v>ENTER:  May/June/July 2011 Receipts for:</v>
      </c>
      <c r="B89" s="78"/>
      <c r="C89" s="78"/>
      <c r="D89" s="78"/>
      <c r="E89" s="103" t="s">
        <v>429</v>
      </c>
      <c r="F89" s="104" t="s">
        <v>430</v>
      </c>
      <c r="G89" s="79"/>
    </row>
    <row r="90" spans="1:8" x14ac:dyDescent="0.2">
      <c r="A90" s="105"/>
      <c r="B90" s="78"/>
      <c r="C90" s="78"/>
      <c r="D90" s="78"/>
      <c r="E90" s="78"/>
      <c r="F90" s="88"/>
      <c r="G90" s="79"/>
    </row>
    <row r="91" spans="1:8" x14ac:dyDescent="0.2">
      <c r="A91" s="92"/>
      <c r="B91" s="81" t="str">
        <f>Instructions!P1&amp;" Real Estate and Personal Property Taxes"</f>
        <v>Pay 2011 Real Estate and Personal Property Taxes</v>
      </c>
      <c r="C91" s="78"/>
      <c r="D91" s="78"/>
      <c r="E91" s="36">
        <f>VLOOKUP($A3,Receipts!$A$8:$L$342,5,FALSE)</f>
        <v>379149.74</v>
      </c>
      <c r="F91" s="34">
        <f>VLOOKUP($A3,Receipts!$A$8:$L$342,10,FALSE)</f>
        <v>28102.959999999999</v>
      </c>
      <c r="G91" s="79"/>
      <c r="H91" s="124" t="s">
        <v>5</v>
      </c>
    </row>
    <row r="92" spans="1:8" x14ac:dyDescent="0.2">
      <c r="A92" s="92"/>
      <c r="B92" s="81" t="str">
        <f>Instructions!P2&amp;" and earlier Real Estate and Personal Property Taxes"</f>
        <v>Pay 2010 and earlier Real Estate and Personal Property Taxes</v>
      </c>
      <c r="C92" s="78"/>
      <c r="D92" s="78"/>
      <c r="E92" s="35">
        <v>0</v>
      </c>
      <c r="F92" s="37">
        <v>0</v>
      </c>
      <c r="G92" s="79"/>
    </row>
    <row r="93" spans="1:8" x14ac:dyDescent="0.2">
      <c r="A93" s="92"/>
      <c r="B93" s="81" t="str">
        <f>Instructions!P1&amp;" Fiscal Disparities"</f>
        <v>Pay 2011 Fiscal Disparities</v>
      </c>
      <c r="C93" s="78"/>
      <c r="D93" s="78"/>
      <c r="E93" s="35">
        <v>0</v>
      </c>
      <c r="F93" s="37">
        <v>0</v>
      </c>
      <c r="G93" s="79"/>
    </row>
    <row r="94" spans="1:8" x14ac:dyDescent="0.2">
      <c r="A94" s="92"/>
      <c r="B94" s="81" t="str">
        <f>Instructions!P1&amp;" Taconite Homestead Credit"</f>
        <v>Pay 2011 Taconite Homestead Credit</v>
      </c>
      <c r="C94" s="78"/>
      <c r="D94" s="78"/>
      <c r="E94" s="35">
        <v>0</v>
      </c>
      <c r="F94" s="37">
        <v>0</v>
      </c>
      <c r="G94" s="79"/>
    </row>
    <row r="95" spans="1:8" x14ac:dyDescent="0.2">
      <c r="A95" s="106"/>
      <c r="B95" s="107" t="s">
        <v>431</v>
      </c>
      <c r="C95" s="100"/>
      <c r="D95" s="100"/>
      <c r="E95" s="38">
        <v>0</v>
      </c>
      <c r="F95" s="39">
        <v>0</v>
      </c>
      <c r="G95" s="79"/>
    </row>
    <row r="96" spans="1:8" x14ac:dyDescent="0.2">
      <c r="A96" s="92"/>
      <c r="B96" s="81"/>
      <c r="C96" s="78"/>
      <c r="D96" s="78"/>
      <c r="E96" s="108"/>
      <c r="F96" s="109"/>
      <c r="G96" s="79"/>
    </row>
    <row r="97" spans="1:9" ht="12" thickBot="1" x14ac:dyDescent="0.25">
      <c r="A97" s="92"/>
      <c r="B97" s="110" t="s">
        <v>432</v>
      </c>
      <c r="C97" s="78"/>
      <c r="D97" s="78"/>
      <c r="E97" s="111">
        <f>SUM(E91:E95)</f>
        <v>379149.74</v>
      </c>
      <c r="F97" s="112">
        <f>SUM(F91:F95)</f>
        <v>28102.959999999999</v>
      </c>
      <c r="G97" s="79"/>
    </row>
    <row r="98" spans="1:9" ht="12" thickTop="1" x14ac:dyDescent="0.2">
      <c r="A98" s="106"/>
      <c r="B98" s="107"/>
      <c r="C98" s="100"/>
      <c r="D98" s="100"/>
      <c r="E98" s="100"/>
      <c r="F98" s="113"/>
    </row>
    <row r="99" spans="1:9" x14ac:dyDescent="0.2">
      <c r="A99" s="78"/>
      <c r="B99" s="81"/>
      <c r="C99" s="78"/>
      <c r="D99" s="78"/>
      <c r="E99" s="78"/>
      <c r="F99" s="78"/>
    </row>
    <row r="100" spans="1:9" x14ac:dyDescent="0.2">
      <c r="A100" s="78"/>
      <c r="B100" s="81"/>
      <c r="C100" s="78"/>
      <c r="D100" s="78"/>
      <c r="E100" s="78"/>
      <c r="F100" s="78"/>
    </row>
    <row r="101" spans="1:9" x14ac:dyDescent="0.2">
      <c r="A101" s="78"/>
      <c r="B101" s="81"/>
      <c r="C101" s="78"/>
      <c r="D101" s="78"/>
      <c r="E101" s="78"/>
      <c r="F101" s="78"/>
    </row>
    <row r="102" spans="1:9" x14ac:dyDescent="0.2">
      <c r="A102" s="83">
        <f>$A$3</f>
        <v>2159</v>
      </c>
      <c r="B102" s="55" t="str">
        <f>VLOOKUP($A$3,ShiftCY,3)</f>
        <v>BUFFALO LAKE-HEC</v>
      </c>
      <c r="C102" s="78"/>
      <c r="D102" s="78"/>
      <c r="E102" s="78"/>
      <c r="F102" s="78"/>
      <c r="I102" s="72">
        <f>Instructions!$M$1</f>
        <v>40795</v>
      </c>
    </row>
    <row r="103" spans="1:9" x14ac:dyDescent="0.2">
      <c r="A103" s="78"/>
      <c r="B103" s="81"/>
      <c r="C103" s="78"/>
      <c r="D103" s="78"/>
      <c r="E103" s="78"/>
      <c r="F103" s="78"/>
    </row>
    <row r="104" spans="1:9" ht="22.5" x14ac:dyDescent="0.2">
      <c r="A104" s="55" t="str">
        <f>"Entry to record June "&amp;RIGHT(Instructions!R2,4)&amp;" property tax shift"</f>
        <v>Entry to record June 2011 property tax shift</v>
      </c>
      <c r="B104" s="81"/>
      <c r="C104" s="78"/>
      <c r="D104" s="78"/>
      <c r="E104" s="114" t="s">
        <v>618</v>
      </c>
      <c r="F104" s="114" t="s">
        <v>619</v>
      </c>
      <c r="H104" s="83"/>
    </row>
    <row r="105" spans="1:9" x14ac:dyDescent="0.2">
      <c r="A105" s="55"/>
      <c r="B105" s="81"/>
      <c r="C105" s="78"/>
      <c r="D105" s="78"/>
      <c r="E105" s="78"/>
      <c r="F105" s="78"/>
      <c r="H105" s="83"/>
    </row>
    <row r="106" spans="1:9" x14ac:dyDescent="0.2">
      <c r="B106" s="81"/>
      <c r="C106" s="78"/>
      <c r="D106" s="78"/>
      <c r="E106" s="78"/>
      <c r="F106" s="78"/>
    </row>
    <row r="107" spans="1:9" x14ac:dyDescent="0.2">
      <c r="A107" s="56" t="s">
        <v>418</v>
      </c>
      <c r="B107" s="115" t="s">
        <v>433</v>
      </c>
      <c r="C107" s="56" t="s">
        <v>434</v>
      </c>
      <c r="E107" s="73">
        <f>IF(C18&lt;E97,C18,E97)</f>
        <v>379149.74</v>
      </c>
      <c r="F107" s="73"/>
      <c r="G107" s="116"/>
      <c r="H107" s="56" t="str">
        <f>"Column "&amp;C6&amp;" - line "&amp;A18</f>
        <v>Column 1 - line J</v>
      </c>
    </row>
    <row r="108" spans="1:9" x14ac:dyDescent="0.2">
      <c r="B108" s="73" t="s">
        <v>419</v>
      </c>
      <c r="C108" s="56" t="s">
        <v>420</v>
      </c>
      <c r="E108" s="56">
        <f>IF(C18-E107&lt;0,0,C18-E107)</f>
        <v>13241.929999999993</v>
      </c>
      <c r="F108" s="73"/>
      <c r="G108" s="117"/>
    </row>
    <row r="109" spans="1:9" x14ac:dyDescent="0.2">
      <c r="A109" s="56" t="s">
        <v>418</v>
      </c>
      <c r="B109" s="115" t="s">
        <v>435</v>
      </c>
      <c r="C109" s="56" t="s">
        <v>434</v>
      </c>
      <c r="E109" s="73">
        <f>IF(C23&lt;F97,C23,F97)</f>
        <v>27316.07</v>
      </c>
      <c r="F109" s="73"/>
      <c r="G109" s="116"/>
      <c r="H109" s="56" t="str">
        <f>"Column "&amp;C6&amp;" - line "&amp;A23</f>
        <v>Column 1 - line N</v>
      </c>
    </row>
    <row r="110" spans="1:9" x14ac:dyDescent="0.2">
      <c r="B110" s="73" t="s">
        <v>436</v>
      </c>
      <c r="C110" s="56" t="s">
        <v>420</v>
      </c>
      <c r="E110" s="56">
        <f>C23-E109</f>
        <v>0</v>
      </c>
      <c r="F110" s="73"/>
      <c r="G110" s="117"/>
    </row>
    <row r="111" spans="1:9" x14ac:dyDescent="0.2">
      <c r="B111" s="73" t="str">
        <f>"(recognition of gross shift for "&amp;Instructions!R2&amp;")"</f>
        <v>(recognition of gross shift for FY 2011)</v>
      </c>
      <c r="E111" s="73"/>
      <c r="F111" s="73"/>
    </row>
    <row r="112" spans="1:9" x14ac:dyDescent="0.2">
      <c r="B112" s="73"/>
      <c r="E112" s="73"/>
      <c r="F112" s="73"/>
    </row>
    <row r="113" spans="1:8" x14ac:dyDescent="0.2">
      <c r="A113" s="56" t="s">
        <v>415</v>
      </c>
      <c r="B113" s="115" t="s">
        <v>507</v>
      </c>
      <c r="C113" s="56" t="s">
        <v>437</v>
      </c>
      <c r="E113" s="73"/>
      <c r="F113" s="73">
        <f>C15</f>
        <v>0</v>
      </c>
      <c r="G113" s="78"/>
      <c r="H113" s="56" t="str">
        <f>"Column "&amp;C6&amp;" - line "&amp;A15</f>
        <v>Column 1 - line G</v>
      </c>
    </row>
    <row r="114" spans="1:8" x14ac:dyDescent="0.2">
      <c r="A114" s="56" t="s">
        <v>415</v>
      </c>
      <c r="B114" s="56" t="s">
        <v>438</v>
      </c>
      <c r="C114" s="56" t="s">
        <v>439</v>
      </c>
      <c r="E114" s="73"/>
      <c r="F114" s="73">
        <f>C13-F115</f>
        <v>11812.8</v>
      </c>
      <c r="G114" s="116"/>
      <c r="H114" s="56" t="str">
        <f>"Column "&amp;C6&amp;" - line "&amp;A13</f>
        <v>Column 1 - line E</v>
      </c>
    </row>
    <row r="115" spans="1:8" x14ac:dyDescent="0.2">
      <c r="A115" s="56" t="s">
        <v>415</v>
      </c>
      <c r="B115" s="56" t="s">
        <v>440</v>
      </c>
      <c r="C115" s="56" t="s">
        <v>441</v>
      </c>
      <c r="E115" s="73"/>
      <c r="F115" s="73">
        <f>MIN(E108-F117,C13)</f>
        <v>0</v>
      </c>
      <c r="G115" s="117"/>
    </row>
    <row r="116" spans="1:8" x14ac:dyDescent="0.2">
      <c r="A116" s="56" t="s">
        <v>415</v>
      </c>
      <c r="B116" s="115" t="s">
        <v>442</v>
      </c>
      <c r="C116" s="56" t="s">
        <v>443</v>
      </c>
      <c r="E116" s="73"/>
      <c r="F116" s="73">
        <f>C11+C12+C14+C16+C17-F117</f>
        <v>123882.52000000002</v>
      </c>
      <c r="G116" s="116"/>
      <c r="H116" s="56" t="str">
        <f>"Column "&amp;C6&amp;" - line "&amp;A11&amp;"+"&amp;A12&amp;"+"&amp;A14&amp;"+"&amp;A16&amp;"+"&amp;A17</f>
        <v>Column 1 - line C+D+F+H+I</v>
      </c>
    </row>
    <row r="117" spans="1:8" x14ac:dyDescent="0.2">
      <c r="A117" s="56" t="s">
        <v>415</v>
      </c>
      <c r="B117" s="56" t="s">
        <v>444</v>
      </c>
      <c r="C117" s="56" t="s">
        <v>417</v>
      </c>
      <c r="E117" s="73"/>
      <c r="F117" s="73">
        <f>MIN(E108,MAX(0,C11+C12+C14+C16+C17))</f>
        <v>13241.929999999993</v>
      </c>
      <c r="G117" s="117"/>
    </row>
    <row r="118" spans="1:8" x14ac:dyDescent="0.2">
      <c r="A118" s="56" t="s">
        <v>415</v>
      </c>
      <c r="B118" s="115" t="s">
        <v>445</v>
      </c>
      <c r="C118" s="56" t="s">
        <v>443</v>
      </c>
      <c r="E118" s="73"/>
      <c r="F118" s="73">
        <f>C21+C22-F119</f>
        <v>0</v>
      </c>
      <c r="G118" s="116"/>
      <c r="H118" s="56" t="str">
        <f>"Column "&amp;C6&amp;" - line "&amp;A21&amp;"+"&amp;A22</f>
        <v>Column 1 - line L+M</v>
      </c>
    </row>
    <row r="119" spans="1:8" x14ac:dyDescent="0.2">
      <c r="A119" s="56" t="s">
        <v>415</v>
      </c>
      <c r="B119" s="115" t="s">
        <v>446</v>
      </c>
      <c r="C119" s="73" t="s">
        <v>417</v>
      </c>
      <c r="E119" s="73"/>
      <c r="F119" s="73">
        <f>E110</f>
        <v>0</v>
      </c>
      <c r="G119" s="117"/>
    </row>
    <row r="120" spans="1:8" x14ac:dyDescent="0.2">
      <c r="B120" s="56" t="str">
        <f>"(spread of early recognition items for "&amp;Instructions!R2&amp;")"</f>
        <v>(spread of early recognition items for FY 2011)</v>
      </c>
      <c r="E120" s="73"/>
      <c r="F120" s="73"/>
    </row>
    <row r="121" spans="1:8" x14ac:dyDescent="0.2">
      <c r="E121" s="73"/>
      <c r="F121" s="73"/>
    </row>
    <row r="122" spans="1:8" x14ac:dyDescent="0.2">
      <c r="A122" s="56" t="s">
        <v>415</v>
      </c>
      <c r="B122" s="56" t="s">
        <v>416</v>
      </c>
      <c r="C122" s="73" t="s">
        <v>417</v>
      </c>
      <c r="E122" s="73"/>
      <c r="F122" s="73">
        <f>E108-F115-F117</f>
        <v>0</v>
      </c>
      <c r="G122" s="116"/>
      <c r="H122" s="56" t="s">
        <v>632</v>
      </c>
    </row>
    <row r="123" spans="1:8" x14ac:dyDescent="0.2">
      <c r="A123" s="56" t="s">
        <v>415</v>
      </c>
      <c r="B123" s="56" t="s">
        <v>447</v>
      </c>
      <c r="C123" s="73" t="s">
        <v>448</v>
      </c>
      <c r="E123" s="73">
        <f>F122</f>
        <v>0</v>
      </c>
      <c r="F123" s="73"/>
      <c r="G123" s="117"/>
    </row>
    <row r="124" spans="1:8" x14ac:dyDescent="0.2">
      <c r="A124" s="73" t="s">
        <v>415</v>
      </c>
      <c r="B124" s="73" t="s">
        <v>449</v>
      </c>
      <c r="C124" s="73" t="s">
        <v>417</v>
      </c>
      <c r="D124" s="73"/>
      <c r="E124" s="73"/>
      <c r="F124" s="73">
        <f>E110-F119</f>
        <v>0</v>
      </c>
      <c r="G124" s="118"/>
      <c r="H124" s="73" t="s">
        <v>633</v>
      </c>
    </row>
    <row r="125" spans="1:8" x14ac:dyDescent="0.2">
      <c r="A125" s="73" t="s">
        <v>415</v>
      </c>
      <c r="B125" s="73" t="s">
        <v>450</v>
      </c>
      <c r="C125" s="73" t="s">
        <v>448</v>
      </c>
      <c r="D125" s="73"/>
      <c r="E125" s="73">
        <f>F124</f>
        <v>0</v>
      </c>
      <c r="F125" s="73"/>
      <c r="G125" s="119"/>
      <c r="H125" s="73"/>
    </row>
    <row r="126" spans="1:8" x14ac:dyDescent="0.2">
      <c r="A126" s="73"/>
      <c r="B126" s="73" t="s">
        <v>2</v>
      </c>
      <c r="C126" s="73"/>
      <c r="D126" s="73"/>
      <c r="E126" s="73"/>
      <c r="F126" s="73"/>
      <c r="G126" s="81"/>
      <c r="H126" s="73"/>
    </row>
    <row r="127" spans="1:8" x14ac:dyDescent="0.2">
      <c r="E127" s="73"/>
      <c r="F127" s="73"/>
    </row>
    <row r="128" spans="1:8" x14ac:dyDescent="0.2">
      <c r="A128" s="73" t="s">
        <v>415</v>
      </c>
      <c r="B128" s="73" t="s">
        <v>442</v>
      </c>
      <c r="C128" s="73" t="s">
        <v>443</v>
      </c>
      <c r="D128" s="73"/>
      <c r="E128" s="73"/>
      <c r="F128" s="73">
        <f>D9+D10</f>
        <v>0</v>
      </c>
      <c r="G128" s="73"/>
      <c r="H128" s="56" t="str">
        <f>"Column "&amp;D6&amp;" - line "&amp;A9&amp;"+"&amp;A10</f>
        <v>Column 2 - line A+B</v>
      </c>
    </row>
    <row r="129" spans="1:8" x14ac:dyDescent="0.2">
      <c r="A129" s="73" t="s">
        <v>415</v>
      </c>
      <c r="B129" s="73" t="s">
        <v>445</v>
      </c>
      <c r="C129" s="73" t="s">
        <v>443</v>
      </c>
      <c r="D129" s="73"/>
      <c r="E129" s="73"/>
      <c r="F129" s="73">
        <f>D20</f>
        <v>0</v>
      </c>
      <c r="G129" s="73"/>
      <c r="H129" s="56" t="str">
        <f>"Column "&amp;D6&amp;" - line "&amp;A20</f>
        <v>Column 2 - line K</v>
      </c>
    </row>
    <row r="130" spans="1:8" x14ac:dyDescent="0.2">
      <c r="B130" s="56" t="s">
        <v>451</v>
      </c>
      <c r="E130" s="73"/>
      <c r="F130" s="73"/>
    </row>
    <row r="131" spans="1:8" x14ac:dyDescent="0.2">
      <c r="E131" s="73"/>
      <c r="F131" s="73"/>
    </row>
    <row r="132" spans="1:8" x14ac:dyDescent="0.2">
      <c r="A132" s="56" t="s">
        <v>415</v>
      </c>
      <c r="B132" s="115" t="s">
        <v>452</v>
      </c>
      <c r="C132" s="73" t="s">
        <v>453</v>
      </c>
      <c r="E132" s="56" t="str">
        <f>IF($F18&lt;0,-$F18," ")</f>
        <v xml:space="preserve"> </v>
      </c>
      <c r="F132" s="56">
        <f>IF($F18&lt;0," ",$F18)</f>
        <v>243454.41999999998</v>
      </c>
      <c r="H132" s="56" t="str">
        <f>"Column "&amp;F6&amp;" - line "&amp;A18</f>
        <v>Column 4 - line J</v>
      </c>
    </row>
    <row r="133" spans="1:8" x14ac:dyDescent="0.2">
      <c r="A133" s="56" t="s">
        <v>415</v>
      </c>
      <c r="B133" s="115" t="s">
        <v>454</v>
      </c>
      <c r="C133" s="73" t="s">
        <v>453</v>
      </c>
      <c r="E133" s="56" t="str">
        <f>IF($F23&lt;0,-$F23," ")</f>
        <v xml:space="preserve"> </v>
      </c>
      <c r="F133" s="56">
        <f>IF($F23&lt;0," ",$F23)</f>
        <v>27316.07</v>
      </c>
      <c r="H133" s="56" t="str">
        <f>"Column "&amp;F6&amp;" - line "&amp;A23</f>
        <v>Column 4 - line N</v>
      </c>
    </row>
    <row r="134" spans="1:8" x14ac:dyDescent="0.2">
      <c r="B134" s="56" t="str">
        <f>"(spread of tax shift amount for "&amp;Instructions!R2&amp;")"</f>
        <v>(spread of tax shift amount for FY 2011)</v>
      </c>
      <c r="C134" s="73"/>
    </row>
    <row r="135" spans="1:8" x14ac:dyDescent="0.2">
      <c r="C135" s="73"/>
    </row>
    <row r="136" spans="1:8" ht="12" thickBot="1" x14ac:dyDescent="0.25">
      <c r="A136" s="120"/>
      <c r="B136" s="120" t="s">
        <v>397</v>
      </c>
      <c r="C136" s="120"/>
      <c r="D136" s="120"/>
      <c r="E136" s="120">
        <f>SUM(E107:E135)</f>
        <v>419707.74</v>
      </c>
      <c r="F136" s="120">
        <f>SUM(F107:F135)</f>
        <v>419707.74</v>
      </c>
    </row>
    <row r="137" spans="1:8" ht="12" thickTop="1" x14ac:dyDescent="0.2"/>
    <row r="141" spans="1:8" x14ac:dyDescent="0.2">
      <c r="A141" s="73" t="s">
        <v>415</v>
      </c>
      <c r="B141" s="121" t="s">
        <v>423</v>
      </c>
      <c r="C141" s="73" t="s">
        <v>455</v>
      </c>
      <c r="D141" s="73"/>
      <c r="E141" s="73" t="str">
        <f>IF(I18&lt;0,-I18," ")</f>
        <v xml:space="preserve"> </v>
      </c>
      <c r="F141" s="73">
        <f>IF(I18&lt;0," ",I18)</f>
        <v>906.22000000003027</v>
      </c>
      <c r="G141" s="116"/>
      <c r="H141" s="56" t="str">
        <f>"Column "&amp;I6&amp;" - line "&amp;A18</f>
        <v>Column 6 - line J</v>
      </c>
    </row>
    <row r="142" spans="1:8" x14ac:dyDescent="0.2">
      <c r="A142" s="73" t="s">
        <v>418</v>
      </c>
      <c r="B142" s="121" t="s">
        <v>456</v>
      </c>
      <c r="C142" s="73" t="s">
        <v>457</v>
      </c>
      <c r="D142" s="73"/>
      <c r="E142" s="73">
        <f>F141</f>
        <v>906.22000000003027</v>
      </c>
      <c r="F142" s="73" t="str">
        <f>E141</f>
        <v xml:space="preserve"> </v>
      </c>
      <c r="G142" s="117"/>
      <c r="H142" s="73"/>
    </row>
    <row r="143" spans="1:8" x14ac:dyDescent="0.2">
      <c r="A143" s="73" t="s">
        <v>415</v>
      </c>
      <c r="B143" s="121" t="s">
        <v>425</v>
      </c>
      <c r="C143" s="73" t="s">
        <v>455</v>
      </c>
      <c r="D143" s="73"/>
      <c r="E143" s="73">
        <f>IF(I23&lt;0,-I23," ")</f>
        <v>18953.580000000002</v>
      </c>
      <c r="F143" s="73" t="str">
        <f>IF(I23&lt;0," ",I23)</f>
        <v xml:space="preserve"> </v>
      </c>
      <c r="G143" s="116"/>
      <c r="H143" s="56" t="str">
        <f>"Column "&amp;I6&amp;" - line "&amp;A23</f>
        <v>Column 6 - line N</v>
      </c>
    </row>
    <row r="144" spans="1:8" x14ac:dyDescent="0.2">
      <c r="A144" s="73" t="s">
        <v>418</v>
      </c>
      <c r="B144" s="73" t="s">
        <v>458</v>
      </c>
      <c r="C144" s="73" t="s">
        <v>457</v>
      </c>
      <c r="D144" s="73"/>
      <c r="E144" s="73" t="str">
        <f>F143</f>
        <v xml:space="preserve"> </v>
      </c>
      <c r="F144" s="56">
        <f>E143</f>
        <v>18953.580000000002</v>
      </c>
      <c r="G144" s="117"/>
      <c r="H144" s="73"/>
    </row>
    <row r="145" spans="1:8" x14ac:dyDescent="0.2">
      <c r="A145" s="73" t="s">
        <v>418</v>
      </c>
      <c r="B145" s="73" t="s">
        <v>459</v>
      </c>
      <c r="C145" s="73" t="s">
        <v>460</v>
      </c>
      <c r="D145" s="73"/>
      <c r="E145" s="73" t="str">
        <f>F146</f>
        <v xml:space="preserve"> </v>
      </c>
      <c r="F145" s="73">
        <f>E146</f>
        <v>18047.359999999971</v>
      </c>
      <c r="G145" s="116"/>
      <c r="H145" s="56" t="str">
        <f>"Column "&amp;I6&amp;" - line "&amp;A26</f>
        <v>Column 6 - line O</v>
      </c>
    </row>
    <row r="146" spans="1:8" x14ac:dyDescent="0.2">
      <c r="A146" s="73" t="s">
        <v>418</v>
      </c>
      <c r="B146" s="121" t="s">
        <v>456</v>
      </c>
      <c r="C146" s="73" t="s">
        <v>457</v>
      </c>
      <c r="D146" s="73"/>
      <c r="E146" s="73">
        <f>IF(I26&lt;0,-I26," ")</f>
        <v>18047.359999999971</v>
      </c>
      <c r="F146" s="73" t="str">
        <f>IF(I26&lt;0," ",I26)</f>
        <v xml:space="preserve"> </v>
      </c>
      <c r="G146" s="117"/>
    </row>
    <row r="147" spans="1:8" x14ac:dyDescent="0.2">
      <c r="A147" s="73"/>
      <c r="B147" s="73" t="s">
        <v>461</v>
      </c>
      <c r="C147" s="73"/>
      <c r="D147" s="73"/>
      <c r="E147" s="73"/>
      <c r="G147" s="73"/>
      <c r="H147" s="73"/>
    </row>
    <row r="148" spans="1:8" x14ac:dyDescent="0.2">
      <c r="A148" s="73"/>
      <c r="B148" s="73"/>
      <c r="C148" s="73"/>
      <c r="D148" s="73"/>
      <c r="E148" s="73"/>
      <c r="G148" s="73"/>
      <c r="H148" s="73"/>
    </row>
    <row r="149" spans="1:8" ht="12" thickBot="1" x14ac:dyDescent="0.25">
      <c r="A149" s="122"/>
      <c r="B149" s="122" t="s">
        <v>397</v>
      </c>
      <c r="C149" s="122"/>
      <c r="D149" s="122"/>
      <c r="E149" s="122">
        <f>SUM(E141:E148)</f>
        <v>37907.160000000003</v>
      </c>
      <c r="F149" s="122">
        <f>SUM(F141:F148)</f>
        <v>37907.160000000003</v>
      </c>
      <c r="G149" s="73"/>
      <c r="H149" s="73"/>
    </row>
    <row r="150" spans="1:8" ht="12" thickTop="1" x14ac:dyDescent="0.2">
      <c r="A150" s="73"/>
      <c r="B150" s="73"/>
      <c r="C150" s="73"/>
      <c r="D150" s="73"/>
      <c r="E150" s="73"/>
      <c r="G150" s="73"/>
      <c r="H150" s="73"/>
    </row>
    <row r="151" spans="1:8" x14ac:dyDescent="0.2">
      <c r="A151" s="73"/>
      <c r="B151" s="73"/>
      <c r="C151" s="73"/>
      <c r="D151" s="73"/>
      <c r="E151" s="73"/>
      <c r="F151" s="73"/>
      <c r="G151" s="73"/>
      <c r="H151" s="73"/>
    </row>
    <row r="152" spans="1:8" x14ac:dyDescent="0.2">
      <c r="A152" s="73"/>
      <c r="C152" s="73"/>
      <c r="D152" s="73"/>
      <c r="E152" s="73"/>
      <c r="F152" s="73"/>
      <c r="G152" s="73"/>
      <c r="H152" s="73"/>
    </row>
    <row r="153" spans="1:8" x14ac:dyDescent="0.2">
      <c r="A153" s="123"/>
      <c r="B153" s="123"/>
      <c r="C153" s="123"/>
      <c r="D153" s="123"/>
    </row>
    <row r="154" spans="1:8" x14ac:dyDescent="0.2">
      <c r="A154" s="123"/>
      <c r="B154" s="123"/>
      <c r="C154" s="123"/>
      <c r="D154" s="123"/>
    </row>
    <row r="155" spans="1:8" x14ac:dyDescent="0.2">
      <c r="A155" s="123"/>
      <c r="B155" s="123"/>
      <c r="C155" s="123"/>
      <c r="D155" s="123"/>
    </row>
    <row r="156" spans="1:8" x14ac:dyDescent="0.2">
      <c r="A156" s="123"/>
      <c r="B156" s="123"/>
      <c r="C156" s="123"/>
      <c r="D156" s="123"/>
    </row>
    <row r="157" spans="1:8" x14ac:dyDescent="0.2">
      <c r="A157" s="123"/>
      <c r="B157" s="123"/>
      <c r="C157" s="123"/>
      <c r="D157" s="123"/>
    </row>
    <row r="158" spans="1:8" x14ac:dyDescent="0.2">
      <c r="A158" s="123"/>
      <c r="B158" s="123"/>
      <c r="C158" s="123"/>
      <c r="D158" s="123"/>
    </row>
    <row r="159" spans="1:8" x14ac:dyDescent="0.2">
      <c r="A159" s="123"/>
      <c r="B159" s="123"/>
      <c r="C159" s="123"/>
      <c r="D159" s="123"/>
    </row>
    <row r="160" spans="1:8" x14ac:dyDescent="0.2">
      <c r="A160" s="123"/>
      <c r="B160" s="123"/>
      <c r="C160" s="123"/>
      <c r="D160" s="123"/>
    </row>
    <row r="161" spans="1:4" x14ac:dyDescent="0.2">
      <c r="A161" s="123"/>
      <c r="B161" s="123"/>
      <c r="C161" s="123"/>
      <c r="D161" s="123"/>
    </row>
    <row r="162" spans="1:4" x14ac:dyDescent="0.2">
      <c r="A162" s="123"/>
      <c r="B162" s="123"/>
      <c r="C162" s="123"/>
      <c r="D162" s="123"/>
    </row>
    <row r="163" spans="1:4" x14ac:dyDescent="0.2">
      <c r="A163" s="123"/>
      <c r="B163" s="123"/>
      <c r="C163" s="123"/>
      <c r="D163" s="123"/>
    </row>
    <row r="164" spans="1:4" x14ac:dyDescent="0.2">
      <c r="A164" s="123"/>
      <c r="B164" s="123"/>
      <c r="C164" s="123"/>
      <c r="D164" s="123"/>
    </row>
    <row r="165" spans="1:4" x14ac:dyDescent="0.2">
      <c r="A165" s="123"/>
      <c r="B165" s="123"/>
      <c r="C165" s="123"/>
      <c r="D165" s="123"/>
    </row>
    <row r="166" spans="1:4" x14ac:dyDescent="0.2">
      <c r="A166" s="123"/>
      <c r="B166" s="123"/>
      <c r="C166" s="123"/>
      <c r="D166" s="123"/>
    </row>
    <row r="167" spans="1:4" x14ac:dyDescent="0.2">
      <c r="A167" s="123"/>
      <c r="B167" s="123"/>
      <c r="C167" s="123"/>
      <c r="D167" s="123"/>
    </row>
    <row r="168" spans="1:4" x14ac:dyDescent="0.2">
      <c r="A168" s="123"/>
      <c r="B168" s="123"/>
      <c r="C168" s="123"/>
      <c r="D168" s="123"/>
    </row>
    <row r="169" spans="1:4" x14ac:dyDescent="0.2">
      <c r="A169" s="123"/>
      <c r="B169" s="123"/>
      <c r="C169" s="123"/>
      <c r="D169" s="123"/>
    </row>
    <row r="170" spans="1:4" x14ac:dyDescent="0.2">
      <c r="A170" s="123"/>
      <c r="B170" s="123"/>
      <c r="C170" s="123"/>
      <c r="D170" s="123"/>
    </row>
    <row r="171" spans="1:4" x14ac:dyDescent="0.2">
      <c r="A171" s="123"/>
      <c r="B171" s="123"/>
      <c r="C171" s="123"/>
      <c r="D171" s="123"/>
    </row>
    <row r="172" spans="1:4" x14ac:dyDescent="0.2">
      <c r="A172" s="123"/>
      <c r="B172" s="123"/>
      <c r="C172" s="123"/>
      <c r="D172" s="123"/>
    </row>
    <row r="173" spans="1:4" x14ac:dyDescent="0.2">
      <c r="A173" s="123"/>
      <c r="B173" s="123"/>
      <c r="C173" s="123"/>
      <c r="D173" s="123"/>
    </row>
    <row r="174" spans="1:4" x14ac:dyDescent="0.2">
      <c r="A174" s="123"/>
      <c r="B174" s="123"/>
      <c r="C174" s="123"/>
      <c r="D174" s="123"/>
    </row>
    <row r="175" spans="1:4" x14ac:dyDescent="0.2">
      <c r="A175" s="123"/>
      <c r="B175" s="123"/>
      <c r="C175" s="123"/>
      <c r="D175" s="123"/>
    </row>
    <row r="176" spans="1:4" x14ac:dyDescent="0.2">
      <c r="A176" s="123"/>
      <c r="B176" s="123"/>
      <c r="C176" s="123"/>
      <c r="D176" s="123"/>
    </row>
    <row r="177" spans="1:4" x14ac:dyDescent="0.2">
      <c r="A177" s="123"/>
      <c r="B177" s="123"/>
      <c r="C177" s="123"/>
      <c r="D177" s="123"/>
    </row>
    <row r="178" spans="1:4" x14ac:dyDescent="0.2">
      <c r="A178" s="123"/>
      <c r="B178" s="123"/>
      <c r="C178" s="123"/>
      <c r="D178" s="123"/>
    </row>
    <row r="179" spans="1:4" x14ac:dyDescent="0.2">
      <c r="A179" s="123"/>
      <c r="B179" s="123"/>
      <c r="C179" s="123"/>
      <c r="D179" s="123"/>
    </row>
    <row r="180" spans="1:4" x14ac:dyDescent="0.2">
      <c r="A180" s="123"/>
      <c r="B180" s="123"/>
      <c r="C180" s="123"/>
      <c r="D180" s="123"/>
    </row>
    <row r="181" spans="1:4" x14ac:dyDescent="0.2">
      <c r="A181" s="123"/>
      <c r="B181" s="123"/>
      <c r="C181" s="123"/>
      <c r="D181" s="123"/>
    </row>
    <row r="182" spans="1:4" x14ac:dyDescent="0.2">
      <c r="A182" s="123"/>
      <c r="B182" s="123"/>
      <c r="C182" s="123"/>
      <c r="D182" s="123"/>
    </row>
    <row r="183" spans="1:4" x14ac:dyDescent="0.2">
      <c r="A183" s="123"/>
      <c r="B183" s="123"/>
      <c r="C183" s="123"/>
      <c r="D183" s="123"/>
    </row>
    <row r="184" spans="1:4" x14ac:dyDescent="0.2">
      <c r="A184" s="123"/>
      <c r="B184" s="123"/>
      <c r="C184" s="123"/>
      <c r="D184" s="123"/>
    </row>
    <row r="185" spans="1:4" x14ac:dyDescent="0.2">
      <c r="A185" s="123"/>
      <c r="B185" s="123"/>
      <c r="C185" s="123"/>
      <c r="D185" s="123"/>
    </row>
    <row r="186" spans="1:4" x14ac:dyDescent="0.2">
      <c r="A186" s="123"/>
      <c r="B186" s="123"/>
      <c r="C186" s="123"/>
      <c r="D186" s="123"/>
    </row>
    <row r="187" spans="1:4" x14ac:dyDescent="0.2">
      <c r="A187" s="123"/>
      <c r="B187" s="123"/>
      <c r="C187" s="123"/>
      <c r="D187" s="123"/>
    </row>
    <row r="188" spans="1:4" x14ac:dyDescent="0.2">
      <c r="A188" s="123"/>
      <c r="B188" s="123"/>
      <c r="C188" s="123"/>
      <c r="D188" s="123"/>
    </row>
    <row r="189" spans="1:4" x14ac:dyDescent="0.2">
      <c r="A189" s="123"/>
      <c r="B189" s="123"/>
      <c r="C189" s="123"/>
      <c r="D189" s="123"/>
    </row>
    <row r="190" spans="1:4" x14ac:dyDescent="0.2">
      <c r="A190" s="123"/>
      <c r="B190" s="123"/>
      <c r="C190" s="123"/>
      <c r="D190" s="123"/>
    </row>
    <row r="191" spans="1:4" x14ac:dyDescent="0.2">
      <c r="A191" s="123"/>
      <c r="B191" s="123"/>
      <c r="C191" s="123"/>
      <c r="D191" s="123"/>
    </row>
    <row r="192" spans="1:4" x14ac:dyDescent="0.2">
      <c r="A192" s="123"/>
      <c r="B192" s="123"/>
      <c r="C192" s="123"/>
      <c r="D192" s="123"/>
    </row>
    <row r="193" spans="1:4" x14ac:dyDescent="0.2">
      <c r="A193" s="123"/>
      <c r="B193" s="123"/>
      <c r="C193" s="123"/>
      <c r="D193" s="123"/>
    </row>
    <row r="194" spans="1:4" x14ac:dyDescent="0.2">
      <c r="A194" s="123"/>
      <c r="B194" s="123"/>
      <c r="C194" s="123"/>
      <c r="D194" s="123"/>
    </row>
    <row r="195" spans="1:4" x14ac:dyDescent="0.2">
      <c r="A195" s="123"/>
      <c r="B195" s="123"/>
      <c r="C195" s="123"/>
      <c r="D195" s="123"/>
    </row>
    <row r="196" spans="1:4" x14ac:dyDescent="0.2">
      <c r="A196" s="123"/>
      <c r="B196" s="123"/>
      <c r="C196" s="123"/>
      <c r="D196" s="123"/>
    </row>
    <row r="197" spans="1:4" x14ac:dyDescent="0.2">
      <c r="A197" s="123"/>
      <c r="B197" s="123"/>
      <c r="C197" s="123"/>
      <c r="D197" s="123"/>
    </row>
    <row r="198" spans="1:4" x14ac:dyDescent="0.2">
      <c r="A198" s="123"/>
      <c r="B198" s="123"/>
      <c r="C198" s="123"/>
      <c r="D198" s="123"/>
    </row>
    <row r="199" spans="1:4" x14ac:dyDescent="0.2">
      <c r="A199" s="123"/>
      <c r="B199" s="123"/>
      <c r="C199" s="123"/>
      <c r="D199" s="123"/>
    </row>
    <row r="200" spans="1:4" x14ac:dyDescent="0.2">
      <c r="A200" s="123"/>
      <c r="B200" s="123"/>
      <c r="C200" s="123"/>
      <c r="D200" s="123"/>
    </row>
    <row r="201" spans="1:4" x14ac:dyDescent="0.2">
      <c r="A201" s="123"/>
      <c r="B201" s="123"/>
      <c r="C201" s="123"/>
      <c r="D201" s="123"/>
    </row>
    <row r="202" spans="1:4" x14ac:dyDescent="0.2">
      <c r="A202" s="123"/>
      <c r="B202" s="123"/>
      <c r="C202" s="123"/>
      <c r="D202" s="123"/>
    </row>
    <row r="203" spans="1:4" x14ac:dyDescent="0.2">
      <c r="A203" s="123"/>
      <c r="B203" s="123"/>
      <c r="C203" s="123"/>
      <c r="D203" s="123"/>
    </row>
    <row r="204" spans="1:4" x14ac:dyDescent="0.2">
      <c r="A204" s="123"/>
      <c r="B204" s="123"/>
      <c r="C204" s="123"/>
      <c r="D204" s="123"/>
    </row>
    <row r="205" spans="1:4" x14ac:dyDescent="0.2">
      <c r="A205" s="123"/>
      <c r="B205" s="123"/>
      <c r="C205" s="123"/>
      <c r="D205" s="123"/>
    </row>
    <row r="206" spans="1:4" x14ac:dyDescent="0.2">
      <c r="A206" s="123"/>
      <c r="B206" s="123"/>
      <c r="C206" s="123"/>
      <c r="D206" s="123"/>
    </row>
    <row r="207" spans="1:4" x14ac:dyDescent="0.2">
      <c r="A207" s="123"/>
      <c r="B207" s="123"/>
      <c r="C207" s="123"/>
      <c r="D207" s="123"/>
    </row>
    <row r="208" spans="1:4" x14ac:dyDescent="0.2">
      <c r="A208" s="123"/>
      <c r="B208" s="123"/>
      <c r="C208" s="123"/>
      <c r="D208" s="123"/>
    </row>
    <row r="209" spans="1:4" x14ac:dyDescent="0.2">
      <c r="A209" s="123"/>
      <c r="B209" s="123"/>
      <c r="C209" s="123"/>
      <c r="D209" s="123"/>
    </row>
    <row r="210" spans="1:4" x14ac:dyDescent="0.2">
      <c r="A210" s="123"/>
      <c r="B210" s="123"/>
      <c r="C210" s="123"/>
      <c r="D210" s="123"/>
    </row>
    <row r="211" spans="1:4" x14ac:dyDescent="0.2">
      <c r="A211" s="123"/>
      <c r="B211" s="123"/>
      <c r="C211" s="123"/>
      <c r="D211" s="123"/>
    </row>
    <row r="212" spans="1:4" x14ac:dyDescent="0.2">
      <c r="A212" s="123"/>
      <c r="B212" s="123"/>
      <c r="C212" s="123"/>
      <c r="D212" s="123"/>
    </row>
    <row r="213" spans="1:4" x14ac:dyDescent="0.2">
      <c r="A213" s="123"/>
      <c r="B213" s="123"/>
      <c r="C213" s="123"/>
      <c r="D213" s="123"/>
    </row>
    <row r="214" spans="1:4" x14ac:dyDescent="0.2">
      <c r="A214" s="123"/>
      <c r="B214" s="123"/>
      <c r="C214" s="123"/>
      <c r="D214" s="123"/>
    </row>
    <row r="215" spans="1:4" x14ac:dyDescent="0.2">
      <c r="A215" s="123"/>
      <c r="B215" s="123"/>
      <c r="C215" s="123"/>
      <c r="D215" s="123"/>
    </row>
    <row r="216" spans="1:4" x14ac:dyDescent="0.2">
      <c r="A216" s="123"/>
      <c r="B216" s="123"/>
      <c r="C216" s="123"/>
      <c r="D216" s="123"/>
    </row>
    <row r="217" spans="1:4" x14ac:dyDescent="0.2">
      <c r="A217" s="123"/>
      <c r="B217" s="123"/>
      <c r="C217" s="123"/>
      <c r="D217" s="123"/>
    </row>
    <row r="218" spans="1:4" x14ac:dyDescent="0.2">
      <c r="A218" s="123"/>
      <c r="B218" s="123"/>
      <c r="C218" s="123"/>
      <c r="D218" s="123"/>
    </row>
    <row r="219" spans="1:4" x14ac:dyDescent="0.2">
      <c r="A219" s="123"/>
      <c r="B219" s="123"/>
      <c r="C219" s="123"/>
      <c r="D219" s="123"/>
    </row>
    <row r="220" spans="1:4" x14ac:dyDescent="0.2">
      <c r="A220" s="123"/>
      <c r="B220" s="123"/>
      <c r="C220" s="123"/>
      <c r="D220" s="123"/>
    </row>
    <row r="221" spans="1:4" x14ac:dyDescent="0.2">
      <c r="A221" s="123"/>
      <c r="B221" s="123"/>
      <c r="C221" s="123"/>
      <c r="D221" s="123"/>
    </row>
    <row r="222" spans="1:4" x14ac:dyDescent="0.2">
      <c r="A222" s="123"/>
      <c r="B222" s="123"/>
      <c r="C222" s="123"/>
      <c r="D222" s="123"/>
    </row>
    <row r="223" spans="1:4" x14ac:dyDescent="0.2">
      <c r="A223" s="123"/>
      <c r="B223" s="123"/>
      <c r="C223" s="123"/>
      <c r="D223" s="123"/>
    </row>
    <row r="224" spans="1:4" x14ac:dyDescent="0.2">
      <c r="A224" s="123"/>
      <c r="B224" s="123"/>
      <c r="C224" s="123"/>
      <c r="D224" s="123"/>
    </row>
    <row r="225" spans="1:4" x14ac:dyDescent="0.2">
      <c r="A225" s="123"/>
      <c r="B225" s="123"/>
      <c r="C225" s="123"/>
      <c r="D225" s="123"/>
    </row>
    <row r="226" spans="1:4" x14ac:dyDescent="0.2">
      <c r="A226" s="123"/>
      <c r="B226" s="123"/>
      <c r="C226" s="123"/>
      <c r="D226" s="123"/>
    </row>
    <row r="227" spans="1:4" x14ac:dyDescent="0.2">
      <c r="A227" s="123"/>
      <c r="B227" s="123"/>
      <c r="C227" s="123"/>
      <c r="D227" s="123"/>
    </row>
    <row r="228" spans="1:4" x14ac:dyDescent="0.2">
      <c r="A228" s="123"/>
      <c r="B228" s="123"/>
      <c r="C228" s="123"/>
      <c r="D228" s="123"/>
    </row>
    <row r="229" spans="1:4" x14ac:dyDescent="0.2">
      <c r="A229" s="123"/>
      <c r="B229" s="123"/>
      <c r="C229" s="123"/>
      <c r="D229" s="123"/>
    </row>
    <row r="230" spans="1:4" x14ac:dyDescent="0.2">
      <c r="A230" s="123"/>
      <c r="B230" s="123"/>
      <c r="C230" s="123"/>
      <c r="D230" s="123"/>
    </row>
    <row r="231" spans="1:4" x14ac:dyDescent="0.2">
      <c r="A231" s="123"/>
      <c r="B231" s="123"/>
      <c r="C231" s="123"/>
      <c r="D231" s="123"/>
    </row>
    <row r="232" spans="1:4" x14ac:dyDescent="0.2">
      <c r="A232" s="123"/>
      <c r="B232" s="123"/>
      <c r="C232" s="123"/>
      <c r="D232" s="123"/>
    </row>
    <row r="233" spans="1:4" x14ac:dyDescent="0.2">
      <c r="A233" s="123"/>
      <c r="B233" s="123"/>
      <c r="C233" s="123"/>
      <c r="D233" s="123"/>
    </row>
    <row r="234" spans="1:4" x14ac:dyDescent="0.2">
      <c r="A234" s="123"/>
      <c r="B234" s="123"/>
      <c r="C234" s="123"/>
      <c r="D234" s="123"/>
    </row>
    <row r="235" spans="1:4" x14ac:dyDescent="0.2">
      <c r="A235" s="123"/>
      <c r="B235" s="123"/>
      <c r="C235" s="123"/>
      <c r="D235" s="123"/>
    </row>
    <row r="236" spans="1:4" x14ac:dyDescent="0.2">
      <c r="A236" s="123"/>
      <c r="B236" s="123"/>
      <c r="C236" s="123"/>
      <c r="D236" s="123"/>
    </row>
    <row r="237" spans="1:4" x14ac:dyDescent="0.2">
      <c r="A237" s="123"/>
      <c r="B237" s="123"/>
      <c r="C237" s="123"/>
      <c r="D237" s="123"/>
    </row>
    <row r="238" spans="1:4" x14ac:dyDescent="0.2">
      <c r="A238" s="123"/>
      <c r="B238" s="123"/>
      <c r="C238" s="123"/>
      <c r="D238" s="123"/>
    </row>
    <row r="239" spans="1:4" x14ac:dyDescent="0.2">
      <c r="A239" s="123"/>
      <c r="B239" s="123"/>
      <c r="C239" s="123"/>
      <c r="D239" s="123"/>
    </row>
    <row r="240" spans="1:4" x14ac:dyDescent="0.2">
      <c r="A240" s="123"/>
      <c r="B240" s="123"/>
      <c r="C240" s="123"/>
      <c r="D240" s="123"/>
    </row>
    <row r="241" spans="1:4" x14ac:dyDescent="0.2">
      <c r="A241" s="123"/>
      <c r="B241" s="123"/>
      <c r="C241" s="123"/>
      <c r="D241" s="123"/>
    </row>
    <row r="242" spans="1:4" x14ac:dyDescent="0.2">
      <c r="A242" s="123"/>
      <c r="B242" s="123"/>
      <c r="C242" s="123"/>
      <c r="D242" s="123"/>
    </row>
    <row r="243" spans="1:4" x14ac:dyDescent="0.2">
      <c r="A243" s="123"/>
      <c r="B243" s="123"/>
      <c r="C243" s="123"/>
      <c r="D243" s="123"/>
    </row>
    <row r="244" spans="1:4" x14ac:dyDescent="0.2">
      <c r="A244" s="123"/>
      <c r="B244" s="123"/>
      <c r="C244" s="123"/>
      <c r="D244" s="123"/>
    </row>
    <row r="245" spans="1:4" x14ac:dyDescent="0.2">
      <c r="A245" s="123"/>
      <c r="B245" s="123"/>
      <c r="C245" s="123"/>
      <c r="D245" s="123"/>
    </row>
    <row r="246" spans="1:4" x14ac:dyDescent="0.2">
      <c r="A246" s="123"/>
      <c r="B246" s="123"/>
      <c r="C246" s="123"/>
      <c r="D246" s="123"/>
    </row>
    <row r="247" spans="1:4" x14ac:dyDescent="0.2">
      <c r="A247" s="123"/>
      <c r="B247" s="123"/>
      <c r="C247" s="123"/>
      <c r="D247" s="123"/>
    </row>
    <row r="248" spans="1:4" x14ac:dyDescent="0.2">
      <c r="A248" s="123"/>
      <c r="B248" s="123"/>
      <c r="C248" s="123"/>
      <c r="D248" s="123"/>
    </row>
    <row r="249" spans="1:4" x14ac:dyDescent="0.2">
      <c r="A249" s="123"/>
      <c r="B249" s="123"/>
      <c r="C249" s="123"/>
      <c r="D249" s="123"/>
    </row>
    <row r="250" spans="1:4" x14ac:dyDescent="0.2">
      <c r="A250" s="123"/>
      <c r="B250" s="123"/>
      <c r="C250" s="123"/>
      <c r="D250" s="123"/>
    </row>
    <row r="251" spans="1:4" x14ac:dyDescent="0.2">
      <c r="A251" s="123"/>
      <c r="B251" s="123"/>
      <c r="C251" s="123"/>
      <c r="D251" s="123"/>
    </row>
    <row r="252" spans="1:4" x14ac:dyDescent="0.2">
      <c r="A252" s="123"/>
      <c r="B252" s="123"/>
      <c r="C252" s="123"/>
      <c r="D252" s="123"/>
    </row>
    <row r="253" spans="1:4" x14ac:dyDescent="0.2">
      <c r="A253" s="123"/>
      <c r="B253" s="123"/>
      <c r="C253" s="123"/>
      <c r="D253" s="123"/>
    </row>
    <row r="254" spans="1:4" x14ac:dyDescent="0.2">
      <c r="A254" s="123"/>
      <c r="B254" s="123"/>
      <c r="C254" s="123"/>
      <c r="D254" s="123"/>
    </row>
    <row r="255" spans="1:4" x14ac:dyDescent="0.2">
      <c r="A255" s="123"/>
      <c r="B255" s="123"/>
      <c r="C255" s="123"/>
      <c r="D255" s="123"/>
    </row>
    <row r="256" spans="1:4" x14ac:dyDescent="0.2">
      <c r="A256" s="123"/>
      <c r="B256" s="123"/>
      <c r="C256" s="123"/>
      <c r="D256" s="123"/>
    </row>
    <row r="257" spans="1:4" x14ac:dyDescent="0.2">
      <c r="A257" s="123"/>
      <c r="B257" s="123"/>
      <c r="C257" s="123"/>
      <c r="D257" s="123"/>
    </row>
    <row r="258" spans="1:4" x14ac:dyDescent="0.2">
      <c r="A258" s="123"/>
      <c r="B258" s="123"/>
      <c r="C258" s="123"/>
      <c r="D258" s="123"/>
    </row>
    <row r="259" spans="1:4" x14ac:dyDescent="0.2">
      <c r="A259" s="123"/>
      <c r="B259" s="123"/>
      <c r="C259" s="123"/>
      <c r="D259" s="123"/>
    </row>
    <row r="260" spans="1:4" x14ac:dyDescent="0.2">
      <c r="A260" s="123"/>
      <c r="B260" s="123"/>
      <c r="C260" s="123"/>
      <c r="D260" s="123"/>
    </row>
    <row r="261" spans="1:4" x14ac:dyDescent="0.2">
      <c r="A261" s="123"/>
      <c r="B261" s="123"/>
      <c r="C261" s="123"/>
      <c r="D261" s="123"/>
    </row>
    <row r="262" spans="1:4" x14ac:dyDescent="0.2">
      <c r="A262" s="123"/>
      <c r="B262" s="123"/>
      <c r="C262" s="123"/>
      <c r="D262" s="123"/>
    </row>
    <row r="263" spans="1:4" x14ac:dyDescent="0.2">
      <c r="A263" s="123"/>
      <c r="B263" s="123"/>
      <c r="C263" s="123"/>
      <c r="D263" s="123"/>
    </row>
    <row r="264" spans="1:4" x14ac:dyDescent="0.2">
      <c r="A264" s="123"/>
      <c r="B264" s="123"/>
      <c r="C264" s="123"/>
      <c r="D264" s="123"/>
    </row>
    <row r="265" spans="1:4" x14ac:dyDescent="0.2">
      <c r="A265" s="123"/>
      <c r="B265" s="123"/>
      <c r="C265" s="123"/>
      <c r="D265" s="123"/>
    </row>
    <row r="266" spans="1:4" x14ac:dyDescent="0.2">
      <c r="A266" s="123"/>
      <c r="B266" s="123"/>
      <c r="C266" s="123"/>
      <c r="D266" s="123"/>
    </row>
    <row r="267" spans="1:4" x14ac:dyDescent="0.2">
      <c r="A267" s="123"/>
      <c r="B267" s="123"/>
      <c r="C267" s="123"/>
      <c r="D267" s="123"/>
    </row>
    <row r="268" spans="1:4" x14ac:dyDescent="0.2">
      <c r="A268" s="123"/>
      <c r="B268" s="123"/>
      <c r="C268" s="123"/>
      <c r="D268" s="123"/>
    </row>
    <row r="269" spans="1:4" x14ac:dyDescent="0.2">
      <c r="A269" s="123"/>
      <c r="B269" s="123"/>
      <c r="C269" s="123"/>
      <c r="D269" s="123"/>
    </row>
    <row r="270" spans="1:4" x14ac:dyDescent="0.2">
      <c r="A270" s="123"/>
      <c r="B270" s="123"/>
      <c r="C270" s="123"/>
      <c r="D270" s="123"/>
    </row>
    <row r="271" spans="1:4" x14ac:dyDescent="0.2">
      <c r="A271" s="123"/>
      <c r="B271" s="123"/>
      <c r="C271" s="123"/>
      <c r="D271" s="123"/>
    </row>
    <row r="272" spans="1:4" x14ac:dyDescent="0.2">
      <c r="A272" s="123"/>
      <c r="B272" s="123"/>
      <c r="C272" s="123"/>
      <c r="D272" s="123"/>
    </row>
    <row r="273" spans="1:4" x14ac:dyDescent="0.2">
      <c r="A273" s="123"/>
      <c r="B273" s="123"/>
      <c r="C273" s="123"/>
      <c r="D273" s="123"/>
    </row>
    <row r="274" spans="1:4" x14ac:dyDescent="0.2">
      <c r="A274" s="123"/>
      <c r="B274" s="123"/>
      <c r="C274" s="123"/>
      <c r="D274" s="123"/>
    </row>
    <row r="275" spans="1:4" x14ac:dyDescent="0.2">
      <c r="A275" s="123"/>
      <c r="B275" s="123"/>
      <c r="C275" s="123"/>
      <c r="D275" s="123"/>
    </row>
    <row r="276" spans="1:4" x14ac:dyDescent="0.2">
      <c r="A276" s="123"/>
      <c r="B276" s="123"/>
      <c r="C276" s="123"/>
      <c r="D276" s="123"/>
    </row>
    <row r="277" spans="1:4" x14ac:dyDescent="0.2">
      <c r="A277" s="123"/>
      <c r="B277" s="123"/>
      <c r="C277" s="123"/>
      <c r="D277" s="123"/>
    </row>
    <row r="278" spans="1:4" x14ac:dyDescent="0.2">
      <c r="A278" s="123"/>
      <c r="B278" s="123"/>
      <c r="C278" s="123"/>
      <c r="D278" s="123"/>
    </row>
    <row r="279" spans="1:4" x14ac:dyDescent="0.2">
      <c r="A279" s="123"/>
      <c r="B279" s="123"/>
      <c r="C279" s="123"/>
      <c r="D279" s="123"/>
    </row>
    <row r="280" spans="1:4" x14ac:dyDescent="0.2">
      <c r="A280" s="123"/>
      <c r="B280" s="123"/>
      <c r="C280" s="123"/>
      <c r="D280" s="123"/>
    </row>
    <row r="281" spans="1:4" x14ac:dyDescent="0.2">
      <c r="A281" s="123"/>
      <c r="B281" s="123"/>
      <c r="C281" s="123"/>
      <c r="D281" s="123"/>
    </row>
    <row r="282" spans="1:4" x14ac:dyDescent="0.2">
      <c r="A282" s="123"/>
      <c r="B282" s="123"/>
      <c r="C282" s="123"/>
      <c r="D282" s="123"/>
    </row>
    <row r="283" spans="1:4" x14ac:dyDescent="0.2">
      <c r="A283" s="123"/>
      <c r="B283" s="123"/>
      <c r="C283" s="123"/>
      <c r="D283" s="123"/>
    </row>
    <row r="284" spans="1:4" x14ac:dyDescent="0.2">
      <c r="A284" s="123"/>
      <c r="B284" s="123"/>
      <c r="C284" s="123"/>
      <c r="D284" s="123"/>
    </row>
    <row r="285" spans="1:4" x14ac:dyDescent="0.2">
      <c r="A285" s="123"/>
      <c r="B285" s="123"/>
      <c r="C285" s="123"/>
      <c r="D285" s="123"/>
    </row>
    <row r="286" spans="1:4" x14ac:dyDescent="0.2">
      <c r="A286" s="123"/>
      <c r="B286" s="123"/>
      <c r="C286" s="123"/>
      <c r="D286" s="123"/>
    </row>
    <row r="287" spans="1:4" x14ac:dyDescent="0.2">
      <c r="A287" s="123"/>
      <c r="B287" s="123"/>
      <c r="C287" s="123"/>
      <c r="D287" s="123"/>
    </row>
    <row r="288" spans="1:4" x14ac:dyDescent="0.2">
      <c r="A288" s="123"/>
      <c r="B288" s="123"/>
      <c r="C288" s="123"/>
      <c r="D288" s="123"/>
    </row>
    <row r="289" spans="1:4" x14ac:dyDescent="0.2">
      <c r="A289" s="123"/>
      <c r="B289" s="123"/>
      <c r="C289" s="123"/>
      <c r="D289" s="123"/>
    </row>
    <row r="290" spans="1:4" x14ac:dyDescent="0.2">
      <c r="A290" s="123"/>
      <c r="B290" s="123"/>
      <c r="C290" s="123"/>
      <c r="D290" s="123"/>
    </row>
    <row r="291" spans="1:4" x14ac:dyDescent="0.2">
      <c r="A291" s="123"/>
      <c r="B291" s="123"/>
      <c r="C291" s="123"/>
      <c r="D291" s="123"/>
    </row>
    <row r="292" spans="1:4" x14ac:dyDescent="0.2">
      <c r="A292" s="123"/>
      <c r="B292" s="123"/>
      <c r="C292" s="123"/>
      <c r="D292" s="123"/>
    </row>
    <row r="293" spans="1:4" x14ac:dyDescent="0.2">
      <c r="A293" s="123"/>
      <c r="B293" s="123"/>
      <c r="C293" s="123"/>
      <c r="D293" s="123"/>
    </row>
    <row r="294" spans="1:4" x14ac:dyDescent="0.2">
      <c r="A294" s="123"/>
      <c r="B294" s="123"/>
      <c r="C294" s="123"/>
      <c r="D294" s="123"/>
    </row>
    <row r="295" spans="1:4" x14ac:dyDescent="0.2">
      <c r="A295" s="123"/>
      <c r="B295" s="123"/>
      <c r="C295" s="123"/>
      <c r="D295" s="123"/>
    </row>
    <row r="296" spans="1:4" x14ac:dyDescent="0.2">
      <c r="A296" s="123"/>
      <c r="B296" s="123"/>
      <c r="C296" s="123"/>
      <c r="D296" s="123"/>
    </row>
    <row r="297" spans="1:4" x14ac:dyDescent="0.2">
      <c r="A297" s="123"/>
      <c r="B297" s="123"/>
      <c r="C297" s="123"/>
      <c r="D297" s="123"/>
    </row>
    <row r="298" spans="1:4" x14ac:dyDescent="0.2">
      <c r="A298" s="123"/>
      <c r="B298" s="123"/>
      <c r="C298" s="123"/>
      <c r="D298" s="123"/>
    </row>
    <row r="299" spans="1:4" x14ac:dyDescent="0.2">
      <c r="A299" s="123"/>
      <c r="B299" s="123"/>
      <c r="C299" s="123"/>
      <c r="D299" s="123"/>
    </row>
    <row r="300" spans="1:4" x14ac:dyDescent="0.2">
      <c r="A300" s="123"/>
      <c r="B300" s="123"/>
      <c r="C300" s="123"/>
      <c r="D300" s="123"/>
    </row>
    <row r="301" spans="1:4" x14ac:dyDescent="0.2">
      <c r="A301" s="123"/>
      <c r="B301" s="123"/>
      <c r="C301" s="123"/>
      <c r="D301" s="123"/>
    </row>
    <row r="302" spans="1:4" x14ac:dyDescent="0.2">
      <c r="A302" s="123"/>
      <c r="B302" s="123"/>
      <c r="C302" s="123"/>
      <c r="D302" s="123"/>
    </row>
    <row r="303" spans="1:4" x14ac:dyDescent="0.2">
      <c r="A303" s="123"/>
      <c r="B303" s="123"/>
      <c r="C303" s="123"/>
      <c r="D303" s="123"/>
    </row>
    <row r="304" spans="1:4" x14ac:dyDescent="0.2">
      <c r="A304" s="123"/>
      <c r="B304" s="123"/>
      <c r="C304" s="123"/>
      <c r="D304" s="123"/>
    </row>
    <row r="305" spans="1:4" x14ac:dyDescent="0.2">
      <c r="A305" s="123"/>
      <c r="B305" s="123"/>
      <c r="C305" s="123"/>
      <c r="D305" s="123"/>
    </row>
    <row r="306" spans="1:4" x14ac:dyDescent="0.2">
      <c r="A306" s="123"/>
      <c r="B306" s="123"/>
      <c r="C306" s="123"/>
      <c r="D306" s="123"/>
    </row>
    <row r="307" spans="1:4" x14ac:dyDescent="0.2">
      <c r="A307" s="123"/>
      <c r="B307" s="123"/>
      <c r="C307" s="123"/>
      <c r="D307" s="123"/>
    </row>
    <row r="308" spans="1:4" x14ac:dyDescent="0.2">
      <c r="A308" s="123"/>
      <c r="B308" s="123"/>
      <c r="C308" s="123"/>
      <c r="D308" s="123"/>
    </row>
    <row r="309" spans="1:4" x14ac:dyDescent="0.2">
      <c r="A309" s="123"/>
      <c r="B309" s="123"/>
      <c r="C309" s="123"/>
      <c r="D309" s="123"/>
    </row>
    <row r="310" spans="1:4" x14ac:dyDescent="0.2">
      <c r="A310" s="123"/>
      <c r="B310" s="123"/>
      <c r="C310" s="123"/>
      <c r="D310" s="123"/>
    </row>
    <row r="311" spans="1:4" x14ac:dyDescent="0.2">
      <c r="A311" s="123"/>
      <c r="B311" s="123"/>
      <c r="C311" s="123"/>
      <c r="D311" s="123"/>
    </row>
    <row r="312" spans="1:4" x14ac:dyDescent="0.2">
      <c r="A312" s="123"/>
      <c r="B312" s="123"/>
      <c r="C312" s="123"/>
      <c r="D312" s="123"/>
    </row>
    <row r="313" spans="1:4" x14ac:dyDescent="0.2">
      <c r="A313" s="123"/>
      <c r="B313" s="123"/>
      <c r="C313" s="123"/>
      <c r="D313" s="123"/>
    </row>
    <row r="314" spans="1:4" x14ac:dyDescent="0.2">
      <c r="A314" s="123"/>
      <c r="B314" s="123"/>
      <c r="C314" s="123"/>
      <c r="D314" s="123"/>
    </row>
    <row r="315" spans="1:4" x14ac:dyDescent="0.2">
      <c r="A315" s="123"/>
      <c r="B315" s="123"/>
      <c r="C315" s="123"/>
      <c r="D315" s="123"/>
    </row>
    <row r="316" spans="1:4" x14ac:dyDescent="0.2">
      <c r="A316" s="123"/>
      <c r="B316" s="123"/>
      <c r="C316" s="123"/>
      <c r="D316" s="123"/>
    </row>
    <row r="317" spans="1:4" x14ac:dyDescent="0.2">
      <c r="A317" s="123"/>
      <c r="B317" s="123"/>
      <c r="C317" s="123"/>
      <c r="D317" s="123"/>
    </row>
    <row r="318" spans="1:4" x14ac:dyDescent="0.2">
      <c r="A318" s="123"/>
      <c r="B318" s="123"/>
      <c r="C318" s="123"/>
      <c r="D318" s="123"/>
    </row>
    <row r="319" spans="1:4" x14ac:dyDescent="0.2">
      <c r="A319" s="123"/>
      <c r="B319" s="123"/>
      <c r="C319" s="123"/>
      <c r="D319" s="123"/>
    </row>
    <row r="320" spans="1:4" x14ac:dyDescent="0.2">
      <c r="A320" s="123"/>
      <c r="B320" s="123"/>
      <c r="C320" s="123"/>
      <c r="D320" s="123"/>
    </row>
    <row r="321" spans="1:4" x14ac:dyDescent="0.2">
      <c r="A321" s="123"/>
      <c r="B321" s="123"/>
      <c r="C321" s="123"/>
      <c r="D321" s="123"/>
    </row>
    <row r="322" spans="1:4" x14ac:dyDescent="0.2">
      <c r="A322" s="123"/>
      <c r="B322" s="123"/>
      <c r="C322" s="123"/>
      <c r="D322" s="123"/>
    </row>
    <row r="323" spans="1:4" x14ac:dyDescent="0.2">
      <c r="A323" s="123"/>
      <c r="B323" s="123"/>
      <c r="C323" s="123"/>
      <c r="D323" s="123"/>
    </row>
    <row r="324" spans="1:4" x14ac:dyDescent="0.2">
      <c r="A324" s="123"/>
      <c r="B324" s="123"/>
      <c r="C324" s="123"/>
      <c r="D324" s="123"/>
    </row>
    <row r="325" spans="1:4" x14ac:dyDescent="0.2">
      <c r="A325" s="123"/>
      <c r="B325" s="123"/>
      <c r="C325" s="123"/>
      <c r="D325" s="123"/>
    </row>
    <row r="326" spans="1:4" x14ac:dyDescent="0.2">
      <c r="A326" s="123"/>
      <c r="B326" s="123"/>
      <c r="C326" s="123"/>
      <c r="D326" s="123"/>
    </row>
    <row r="327" spans="1:4" x14ac:dyDescent="0.2">
      <c r="A327" s="123"/>
      <c r="B327" s="123"/>
      <c r="C327" s="123"/>
      <c r="D327" s="123"/>
    </row>
    <row r="328" spans="1:4" x14ac:dyDescent="0.2">
      <c r="A328" s="123"/>
      <c r="B328" s="123"/>
      <c r="C328" s="123"/>
      <c r="D328" s="123"/>
    </row>
    <row r="329" spans="1:4" x14ac:dyDescent="0.2">
      <c r="A329" s="123"/>
      <c r="B329" s="123"/>
      <c r="C329" s="123"/>
      <c r="D329" s="123"/>
    </row>
    <row r="330" spans="1:4" x14ac:dyDescent="0.2">
      <c r="A330" s="123"/>
      <c r="B330" s="123"/>
      <c r="C330" s="123"/>
      <c r="D330" s="123"/>
    </row>
    <row r="331" spans="1:4" x14ac:dyDescent="0.2">
      <c r="A331" s="123"/>
      <c r="B331" s="123"/>
      <c r="C331" s="123"/>
      <c r="D331" s="123"/>
    </row>
    <row r="332" spans="1:4" x14ac:dyDescent="0.2">
      <c r="A332" s="123"/>
      <c r="B332" s="123"/>
      <c r="C332" s="123"/>
      <c r="D332" s="123"/>
    </row>
    <row r="333" spans="1:4" x14ac:dyDescent="0.2">
      <c r="A333" s="123"/>
      <c r="B333" s="123"/>
      <c r="C333" s="123"/>
      <c r="D333" s="123"/>
    </row>
    <row r="334" spans="1:4" x14ac:dyDescent="0.2">
      <c r="A334" s="123"/>
      <c r="B334" s="123"/>
      <c r="C334" s="123"/>
      <c r="D334" s="123"/>
    </row>
    <row r="335" spans="1:4" x14ac:dyDescent="0.2">
      <c r="A335" s="123"/>
      <c r="B335" s="123"/>
      <c r="C335" s="123"/>
      <c r="D335" s="123"/>
    </row>
    <row r="336" spans="1:4" x14ac:dyDescent="0.2">
      <c r="A336" s="123"/>
      <c r="B336" s="123"/>
      <c r="C336" s="123"/>
      <c r="D336" s="123"/>
    </row>
    <row r="337" spans="1:4" x14ac:dyDescent="0.2">
      <c r="A337" s="123"/>
      <c r="B337" s="123"/>
      <c r="C337" s="123"/>
      <c r="D337" s="123"/>
    </row>
    <row r="338" spans="1:4" x14ac:dyDescent="0.2">
      <c r="A338" s="123"/>
      <c r="B338" s="123"/>
      <c r="C338" s="123"/>
      <c r="D338" s="123"/>
    </row>
    <row r="339" spans="1:4" x14ac:dyDescent="0.2">
      <c r="A339" s="123"/>
      <c r="B339" s="123"/>
      <c r="C339" s="123"/>
      <c r="D339" s="123"/>
    </row>
    <row r="340" spans="1:4" x14ac:dyDescent="0.2">
      <c r="A340" s="123"/>
      <c r="B340" s="123"/>
      <c r="C340" s="123"/>
      <c r="D340" s="123"/>
    </row>
    <row r="341" spans="1:4" x14ac:dyDescent="0.2">
      <c r="A341" s="123"/>
      <c r="B341" s="123"/>
      <c r="C341" s="123"/>
      <c r="D341" s="123"/>
    </row>
    <row r="342" spans="1:4" x14ac:dyDescent="0.2">
      <c r="A342" s="123"/>
      <c r="B342" s="123"/>
      <c r="C342" s="123"/>
      <c r="D342" s="123"/>
    </row>
    <row r="343" spans="1:4" x14ac:dyDescent="0.2">
      <c r="A343" s="123"/>
      <c r="B343" s="123"/>
      <c r="C343" s="123"/>
      <c r="D343" s="123"/>
    </row>
    <row r="344" spans="1:4" x14ac:dyDescent="0.2">
      <c r="A344" s="123"/>
      <c r="B344" s="123"/>
      <c r="C344" s="123"/>
      <c r="D344" s="123"/>
    </row>
    <row r="345" spans="1:4" x14ac:dyDescent="0.2">
      <c r="A345" s="123"/>
      <c r="B345" s="123"/>
      <c r="C345" s="123"/>
      <c r="D345" s="123"/>
    </row>
    <row r="346" spans="1:4" x14ac:dyDescent="0.2">
      <c r="A346" s="123"/>
      <c r="B346" s="123"/>
      <c r="C346" s="123"/>
      <c r="D346" s="123"/>
    </row>
    <row r="347" spans="1:4" x14ac:dyDescent="0.2">
      <c r="A347" s="123"/>
      <c r="B347" s="123"/>
      <c r="C347" s="123"/>
      <c r="D347" s="123"/>
    </row>
    <row r="348" spans="1:4" x14ac:dyDescent="0.2">
      <c r="A348" s="123"/>
      <c r="B348" s="123"/>
      <c r="C348" s="123"/>
      <c r="D348" s="123"/>
    </row>
  </sheetData>
  <phoneticPr fontId="0" type="noConversion"/>
  <printOptions horizontalCentered="1"/>
  <pageMargins left="0.75" right="0.75" top="1" bottom="1" header="0.5" footer="0.5"/>
  <pageSetup scale="89" fitToHeight="3" orientation="landscape" r:id="rId1"/>
  <headerFooter alignWithMargins="0">
    <oddFooter>&amp;C&amp;P of &amp;N</oddFooter>
  </headerFooter>
  <ignoredErrors>
    <ignoredError sqref="E91:F91" unlockedFormula="1"/>
    <ignoredError sqref="E143:F14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47"/>
  <sheetViews>
    <sheetView workbookViewId="0"/>
  </sheetViews>
  <sheetFormatPr defaultRowHeight="11.25" x14ac:dyDescent="0.2"/>
  <cols>
    <col min="1" max="1" width="5.83203125" style="43" customWidth="1"/>
    <col min="2" max="2" width="11.83203125" style="43" customWidth="1"/>
    <col min="3" max="3" width="14.83203125" style="43" customWidth="1"/>
    <col min="4" max="4" width="14.83203125" style="46" customWidth="1"/>
    <col min="5" max="5" width="14.83203125" style="47" customWidth="1"/>
    <col min="6" max="65" width="14.83203125" style="43" customWidth="1"/>
    <col min="66" max="16384" width="9.33203125" style="43"/>
  </cols>
  <sheetData>
    <row r="1" spans="1:13" x14ac:dyDescent="0.2">
      <c r="A1" s="45" t="s">
        <v>594</v>
      </c>
      <c r="K1" s="48">
        <f>Report!I1</f>
        <v>40795</v>
      </c>
    </row>
    <row r="2" spans="1:13" x14ac:dyDescent="0.2">
      <c r="A2" s="49" t="s">
        <v>596</v>
      </c>
      <c r="F2" s="56"/>
      <c r="G2" s="124"/>
      <c r="H2" s="124"/>
    </row>
    <row r="3" spans="1:13" x14ac:dyDescent="0.2">
      <c r="A3" s="49" t="s">
        <v>595</v>
      </c>
    </row>
    <row r="4" spans="1:13" x14ac:dyDescent="0.2">
      <c r="B4" s="49"/>
      <c r="C4" s="49"/>
      <c r="D4" s="50"/>
    </row>
    <row r="5" spans="1:13" x14ac:dyDescent="0.2">
      <c r="B5" s="49"/>
      <c r="C5" s="49"/>
      <c r="D5" s="50"/>
    </row>
    <row r="6" spans="1:13" ht="12" customHeight="1" x14ac:dyDescent="0.2">
      <c r="B6" s="45"/>
      <c r="C6" s="45"/>
      <c r="D6" s="51" t="s">
        <v>580</v>
      </c>
      <c r="E6" s="51"/>
      <c r="F6" s="51"/>
    </row>
    <row r="7" spans="1:13" s="52" customFormat="1" x14ac:dyDescent="0.2">
      <c r="B7" s="53"/>
      <c r="C7" s="53"/>
      <c r="D7" s="52" t="str">
        <f>Instructions!P1</f>
        <v>Pay 2011</v>
      </c>
      <c r="E7" s="52" t="str">
        <f>Instructions!P2</f>
        <v>Pay 2010</v>
      </c>
      <c r="F7" s="52" t="str">
        <f>Instructions!P3</f>
        <v>Pay 2009</v>
      </c>
      <c r="G7" s="52" t="str">
        <f>Instructions!P4</f>
        <v>Pay 2008</v>
      </c>
      <c r="H7" s="52" t="str">
        <f>Instructions!P5</f>
        <v>Pay 2007</v>
      </c>
      <c r="I7" s="52" t="str">
        <f>Instructions!P6</f>
        <v>Pay 2006</v>
      </c>
      <c r="J7" s="52" t="str">
        <f>Instructions!P7</f>
        <v>Pay 2005</v>
      </c>
      <c r="K7" s="52" t="str">
        <f>Instructions!P8</f>
        <v>Pay 2004</v>
      </c>
    </row>
    <row r="8" spans="1:13" x14ac:dyDescent="0.2">
      <c r="B8" s="53"/>
      <c r="C8" s="53"/>
      <c r="D8" s="47"/>
      <c r="E8" s="43"/>
    </row>
    <row r="9" spans="1:13" x14ac:dyDescent="0.2">
      <c r="B9" s="43" t="s">
        <v>514</v>
      </c>
      <c r="D9" s="31">
        <v>0</v>
      </c>
      <c r="E9" s="31">
        <v>0</v>
      </c>
      <c r="F9" s="31">
        <v>0</v>
      </c>
      <c r="G9" s="31">
        <v>0</v>
      </c>
      <c r="H9" s="31">
        <v>0</v>
      </c>
      <c r="I9" s="31">
        <v>0</v>
      </c>
      <c r="J9" s="31">
        <v>0</v>
      </c>
      <c r="K9" s="31">
        <v>0</v>
      </c>
    </row>
    <row r="10" spans="1:13" x14ac:dyDescent="0.2">
      <c r="B10" s="43" t="s">
        <v>565</v>
      </c>
      <c r="D10" s="31">
        <v>0</v>
      </c>
      <c r="E10" s="31">
        <v>0</v>
      </c>
      <c r="F10" s="31">
        <v>0</v>
      </c>
      <c r="G10" s="31">
        <v>0</v>
      </c>
      <c r="H10" s="31">
        <v>0</v>
      </c>
      <c r="I10" s="31">
        <v>0</v>
      </c>
      <c r="J10" s="31">
        <v>0</v>
      </c>
      <c r="K10" s="31">
        <v>0</v>
      </c>
    </row>
    <row r="11" spans="1:13" x14ac:dyDescent="0.2">
      <c r="B11" s="43" t="s">
        <v>566</v>
      </c>
      <c r="D11" s="31">
        <v>0</v>
      </c>
      <c r="E11" s="31">
        <v>0</v>
      </c>
      <c r="F11" s="31">
        <v>0</v>
      </c>
      <c r="G11" s="31">
        <v>0</v>
      </c>
      <c r="H11" s="31">
        <v>0</v>
      </c>
      <c r="I11" s="31">
        <v>0</v>
      </c>
      <c r="J11" s="31">
        <v>0</v>
      </c>
      <c r="K11" s="31">
        <v>0</v>
      </c>
    </row>
    <row r="12" spans="1:13" x14ac:dyDescent="0.2">
      <c r="B12" s="43" t="s">
        <v>4</v>
      </c>
      <c r="D12" s="31">
        <v>0</v>
      </c>
      <c r="E12" s="31">
        <v>0</v>
      </c>
      <c r="F12" s="31">
        <v>0</v>
      </c>
      <c r="G12" s="31">
        <v>0</v>
      </c>
      <c r="H12" s="31">
        <v>0</v>
      </c>
      <c r="I12" s="31">
        <v>0</v>
      </c>
      <c r="J12" s="31">
        <v>0</v>
      </c>
      <c r="K12" s="31">
        <v>0</v>
      </c>
    </row>
    <row r="13" spans="1:13" x14ac:dyDescent="0.2">
      <c r="D13" s="42"/>
      <c r="E13" s="30"/>
      <c r="F13" s="30"/>
      <c r="G13" s="30"/>
      <c r="H13" s="30"/>
      <c r="I13" s="30"/>
      <c r="J13" s="30"/>
      <c r="K13" s="30"/>
      <c r="M13" s="30"/>
    </row>
    <row r="14" spans="1:13" x14ac:dyDescent="0.2">
      <c r="B14" s="44" t="s">
        <v>612</v>
      </c>
      <c r="D14" s="42">
        <f t="shared" ref="D14:K14" si="0">SUM(D9:D13)</f>
        <v>0</v>
      </c>
      <c r="E14" s="42">
        <f t="shared" si="0"/>
        <v>0</v>
      </c>
      <c r="F14" s="42">
        <f t="shared" si="0"/>
        <v>0</v>
      </c>
      <c r="G14" s="42">
        <f t="shared" si="0"/>
        <v>0</v>
      </c>
      <c r="H14" s="42">
        <f t="shared" si="0"/>
        <v>0</v>
      </c>
      <c r="I14" s="42">
        <f t="shared" si="0"/>
        <v>0</v>
      </c>
      <c r="J14" s="42">
        <f t="shared" si="0"/>
        <v>0</v>
      </c>
      <c r="K14" s="42">
        <f t="shared" si="0"/>
        <v>0</v>
      </c>
      <c r="M14" s="30"/>
    </row>
    <row r="15" spans="1:13" x14ac:dyDescent="0.2">
      <c r="B15" s="53"/>
      <c r="C15" s="53"/>
      <c r="D15" s="54"/>
      <c r="E15" s="42"/>
      <c r="F15" s="30"/>
      <c r="G15" s="30"/>
      <c r="H15" s="30"/>
      <c r="I15" s="30"/>
      <c r="J15" s="30"/>
      <c r="K15" s="30"/>
      <c r="L15" s="30"/>
      <c r="M15" s="30"/>
    </row>
    <row r="16" spans="1:13" x14ac:dyDescent="0.2">
      <c r="B16" s="53"/>
      <c r="C16" s="53"/>
      <c r="D16" s="54"/>
    </row>
    <row r="17" spans="1:19" x14ac:dyDescent="0.2">
      <c r="B17" s="53"/>
      <c r="C17" s="53"/>
      <c r="D17" s="54"/>
    </row>
    <row r="18" spans="1:19" x14ac:dyDescent="0.2">
      <c r="B18" s="53"/>
      <c r="C18" s="53"/>
      <c r="D18" s="54"/>
    </row>
    <row r="19" spans="1:19" x14ac:dyDescent="0.2">
      <c r="B19" s="53"/>
      <c r="C19" s="53"/>
      <c r="D19" s="54"/>
    </row>
    <row r="20" spans="1:19" x14ac:dyDescent="0.2">
      <c r="A20" s="45" t="str">
        <f>"Enter each tax settlement received July 1, "&amp;RIGHT(Instructions!P2,4)&amp;" through June 30, "&amp;RIGHT(Instructions!P1,4)</f>
        <v>Enter each tax settlement received July 1, 2010 through June 30, 2011</v>
      </c>
    </row>
    <row r="21" spans="1:19" x14ac:dyDescent="0.2">
      <c r="A21" s="49" t="s">
        <v>634</v>
      </c>
    </row>
    <row r="22" spans="1:19" x14ac:dyDescent="0.2">
      <c r="A22" s="43" t="s">
        <v>620</v>
      </c>
    </row>
    <row r="23" spans="1:19" x14ac:dyDescent="0.2">
      <c r="A23" s="43" t="s">
        <v>610</v>
      </c>
    </row>
    <row r="24" spans="1:19" x14ac:dyDescent="0.2">
      <c r="A24" s="43" t="s">
        <v>611</v>
      </c>
    </row>
    <row r="26" spans="1:19" x14ac:dyDescent="0.2">
      <c r="A26" s="55" t="s">
        <v>617</v>
      </c>
    </row>
    <row r="27" spans="1:19" x14ac:dyDescent="0.2">
      <c r="A27" s="43" t="s">
        <v>635</v>
      </c>
    </row>
    <row r="28" spans="1:19" x14ac:dyDescent="0.2">
      <c r="A28" s="43" t="s">
        <v>636</v>
      </c>
    </row>
    <row r="31" spans="1:19" ht="12" customHeight="1" x14ac:dyDescent="0.2"/>
    <row r="32" spans="1:19" s="52" customFormat="1" x14ac:dyDescent="0.2">
      <c r="E32" s="52" t="s">
        <v>606</v>
      </c>
      <c r="F32" s="52" t="s">
        <v>606</v>
      </c>
      <c r="G32" s="52" t="s">
        <v>606</v>
      </c>
      <c r="H32" s="52" t="s">
        <v>606</v>
      </c>
      <c r="I32" s="52" t="s">
        <v>606</v>
      </c>
      <c r="J32" s="52" t="s">
        <v>606</v>
      </c>
      <c r="K32" s="52" t="s">
        <v>606</v>
      </c>
      <c r="L32" s="52" t="s">
        <v>606</v>
      </c>
      <c r="M32" s="52" t="s">
        <v>606</v>
      </c>
      <c r="N32" s="52" t="s">
        <v>606</v>
      </c>
      <c r="O32" s="52" t="s">
        <v>606</v>
      </c>
      <c r="P32" s="52" t="s">
        <v>606</v>
      </c>
      <c r="Q32" s="52" t="s">
        <v>606</v>
      </c>
      <c r="R32" s="52" t="s">
        <v>606</v>
      </c>
      <c r="S32" s="52" t="s">
        <v>606</v>
      </c>
    </row>
    <row r="33" spans="1:19" s="52" customFormat="1" x14ac:dyDescent="0.2">
      <c r="D33" s="52" t="s">
        <v>397</v>
      </c>
      <c r="E33" s="52" t="s">
        <v>592</v>
      </c>
      <c r="F33" s="52" t="s">
        <v>592</v>
      </c>
      <c r="G33" s="52" t="s">
        <v>592</v>
      </c>
      <c r="H33" s="52" t="s">
        <v>592</v>
      </c>
      <c r="I33" s="52" t="s">
        <v>592</v>
      </c>
      <c r="J33" s="52" t="s">
        <v>592</v>
      </c>
      <c r="K33" s="52" t="s">
        <v>592</v>
      </c>
      <c r="L33" s="52" t="s">
        <v>592</v>
      </c>
      <c r="M33" s="52" t="s">
        <v>592</v>
      </c>
      <c r="N33" s="52" t="s">
        <v>592</v>
      </c>
      <c r="O33" s="52" t="s">
        <v>592</v>
      </c>
      <c r="P33" s="52" t="s">
        <v>592</v>
      </c>
      <c r="Q33" s="52" t="s">
        <v>592</v>
      </c>
      <c r="R33" s="52" t="s">
        <v>592</v>
      </c>
      <c r="S33" s="52" t="s">
        <v>592</v>
      </c>
    </row>
    <row r="34" spans="1:19" x14ac:dyDescent="0.2">
      <c r="F34" s="52"/>
      <c r="G34" s="52"/>
    </row>
    <row r="35" spans="1:19" x14ac:dyDescent="0.2">
      <c r="A35" s="56" t="s">
        <v>602</v>
      </c>
      <c r="C35" s="57" t="str">
        <f>Instructions!P1</f>
        <v>Pay 2011</v>
      </c>
      <c r="D35" s="46">
        <f>SUM(E35:S35)</f>
        <v>0</v>
      </c>
      <c r="E35" s="32">
        <v>0</v>
      </c>
      <c r="F35" s="32">
        <v>0</v>
      </c>
      <c r="G35" s="32">
        <v>0</v>
      </c>
      <c r="H35" s="32">
        <v>0</v>
      </c>
      <c r="I35" s="32">
        <v>0</v>
      </c>
      <c r="J35" s="32">
        <v>0</v>
      </c>
      <c r="K35" s="32">
        <v>0</v>
      </c>
      <c r="L35" s="32">
        <v>0</v>
      </c>
      <c r="M35" s="32">
        <v>0</v>
      </c>
      <c r="N35" s="32">
        <v>0</v>
      </c>
      <c r="O35" s="32">
        <v>0</v>
      </c>
      <c r="P35" s="32">
        <v>0</v>
      </c>
      <c r="Q35" s="32">
        <v>0</v>
      </c>
      <c r="R35" s="32">
        <v>0</v>
      </c>
      <c r="S35" s="32">
        <v>0</v>
      </c>
    </row>
    <row r="36" spans="1:19" x14ac:dyDescent="0.2">
      <c r="C36" s="57" t="str">
        <f>Instructions!P2</f>
        <v>Pay 2010</v>
      </c>
      <c r="D36" s="46">
        <f t="shared" ref="D36:D46" si="1">SUM(E36:S36)</f>
        <v>0</v>
      </c>
      <c r="E36" s="32">
        <v>0</v>
      </c>
      <c r="F36" s="32">
        <v>0</v>
      </c>
      <c r="G36" s="32">
        <v>0</v>
      </c>
      <c r="H36" s="32">
        <v>0</v>
      </c>
      <c r="I36" s="32">
        <v>0</v>
      </c>
      <c r="J36" s="32">
        <v>0</v>
      </c>
      <c r="K36" s="32">
        <v>0</v>
      </c>
      <c r="L36" s="32">
        <v>0</v>
      </c>
      <c r="M36" s="32">
        <v>0</v>
      </c>
      <c r="N36" s="32">
        <v>0</v>
      </c>
      <c r="O36" s="32">
        <v>0</v>
      </c>
      <c r="P36" s="32">
        <v>0</v>
      </c>
      <c r="Q36" s="32">
        <v>0</v>
      </c>
      <c r="R36" s="32">
        <v>0</v>
      </c>
      <c r="S36" s="32">
        <v>0</v>
      </c>
    </row>
    <row r="37" spans="1:19" x14ac:dyDescent="0.2">
      <c r="C37" s="57" t="str">
        <f>Instructions!P3</f>
        <v>Pay 2009</v>
      </c>
      <c r="D37" s="46">
        <f t="shared" si="1"/>
        <v>0</v>
      </c>
      <c r="E37" s="32">
        <v>0</v>
      </c>
      <c r="F37" s="32">
        <v>0</v>
      </c>
      <c r="G37" s="32">
        <v>0</v>
      </c>
      <c r="H37" s="32">
        <v>0</v>
      </c>
      <c r="I37" s="32">
        <v>0</v>
      </c>
      <c r="J37" s="32">
        <v>0</v>
      </c>
      <c r="K37" s="32">
        <v>0</v>
      </c>
      <c r="L37" s="32">
        <v>0</v>
      </c>
      <c r="M37" s="32">
        <v>0</v>
      </c>
      <c r="N37" s="32">
        <v>0</v>
      </c>
      <c r="O37" s="32">
        <v>0</v>
      </c>
      <c r="P37" s="32">
        <v>0</v>
      </c>
      <c r="Q37" s="32">
        <v>0</v>
      </c>
      <c r="R37" s="32">
        <v>0</v>
      </c>
      <c r="S37" s="32">
        <v>0</v>
      </c>
    </row>
    <row r="38" spans="1:19" x14ac:dyDescent="0.2">
      <c r="C38" s="57" t="str">
        <f>Instructions!P4</f>
        <v>Pay 2008</v>
      </c>
      <c r="D38" s="46">
        <f t="shared" si="1"/>
        <v>0</v>
      </c>
      <c r="E38" s="32">
        <v>0</v>
      </c>
      <c r="F38" s="32">
        <v>0</v>
      </c>
      <c r="G38" s="32">
        <v>0</v>
      </c>
      <c r="H38" s="32">
        <v>0</v>
      </c>
      <c r="I38" s="32">
        <v>0</v>
      </c>
      <c r="J38" s="32">
        <v>0</v>
      </c>
      <c r="K38" s="32">
        <v>0</v>
      </c>
      <c r="L38" s="32">
        <v>0</v>
      </c>
      <c r="M38" s="32">
        <v>0</v>
      </c>
      <c r="N38" s="32">
        <v>0</v>
      </c>
      <c r="O38" s="32">
        <v>0</v>
      </c>
      <c r="P38" s="32">
        <v>0</v>
      </c>
      <c r="Q38" s="32">
        <v>0</v>
      </c>
      <c r="R38" s="32">
        <v>0</v>
      </c>
      <c r="S38" s="32">
        <v>0</v>
      </c>
    </row>
    <row r="39" spans="1:19" x14ac:dyDescent="0.2">
      <c r="C39" s="57" t="str">
        <f>Instructions!P5</f>
        <v>Pay 2007</v>
      </c>
      <c r="D39" s="46">
        <f t="shared" si="1"/>
        <v>0</v>
      </c>
      <c r="E39" s="32">
        <v>0</v>
      </c>
      <c r="F39" s="32">
        <v>0</v>
      </c>
      <c r="G39" s="32">
        <v>0</v>
      </c>
      <c r="H39" s="32">
        <v>0</v>
      </c>
      <c r="I39" s="32">
        <v>0</v>
      </c>
      <c r="J39" s="32">
        <v>0</v>
      </c>
      <c r="K39" s="32">
        <v>0</v>
      </c>
      <c r="L39" s="32">
        <v>0</v>
      </c>
      <c r="M39" s="32">
        <v>0</v>
      </c>
      <c r="N39" s="32">
        <v>0</v>
      </c>
      <c r="O39" s="32">
        <v>0</v>
      </c>
      <c r="P39" s="32">
        <v>0</v>
      </c>
      <c r="Q39" s="32">
        <v>0</v>
      </c>
      <c r="R39" s="32">
        <v>0</v>
      </c>
      <c r="S39" s="32">
        <v>0</v>
      </c>
    </row>
    <row r="40" spans="1:19" x14ac:dyDescent="0.2">
      <c r="C40" s="57" t="str">
        <f>Instructions!P6</f>
        <v>Pay 2006</v>
      </c>
      <c r="D40" s="46">
        <f t="shared" si="1"/>
        <v>0</v>
      </c>
      <c r="E40" s="32">
        <v>0</v>
      </c>
      <c r="F40" s="32">
        <v>0</v>
      </c>
      <c r="G40" s="32">
        <v>0</v>
      </c>
      <c r="H40" s="32">
        <v>0</v>
      </c>
      <c r="I40" s="32">
        <v>0</v>
      </c>
      <c r="J40" s="32">
        <v>0</v>
      </c>
      <c r="K40" s="32">
        <v>0</v>
      </c>
      <c r="L40" s="32">
        <v>0</v>
      </c>
      <c r="M40" s="32">
        <v>0</v>
      </c>
      <c r="N40" s="32">
        <v>0</v>
      </c>
      <c r="O40" s="32">
        <v>0</v>
      </c>
      <c r="P40" s="32">
        <v>0</v>
      </c>
      <c r="Q40" s="32">
        <v>0</v>
      </c>
      <c r="R40" s="32">
        <v>0</v>
      </c>
      <c r="S40" s="32">
        <v>0</v>
      </c>
    </row>
    <row r="41" spans="1:19" x14ac:dyDescent="0.2">
      <c r="C41" s="57" t="str">
        <f>Instructions!P7</f>
        <v>Pay 2005</v>
      </c>
      <c r="D41" s="46">
        <f t="shared" si="1"/>
        <v>0</v>
      </c>
      <c r="E41" s="32">
        <v>0</v>
      </c>
      <c r="F41" s="32">
        <v>0</v>
      </c>
      <c r="G41" s="32">
        <v>0</v>
      </c>
      <c r="H41" s="32">
        <v>0</v>
      </c>
      <c r="I41" s="32">
        <v>0</v>
      </c>
      <c r="J41" s="32">
        <v>0</v>
      </c>
      <c r="K41" s="32">
        <v>0</v>
      </c>
      <c r="L41" s="32">
        <v>0</v>
      </c>
      <c r="M41" s="32">
        <v>0</v>
      </c>
      <c r="N41" s="32">
        <v>0</v>
      </c>
      <c r="O41" s="32">
        <v>0</v>
      </c>
      <c r="P41" s="32">
        <v>0</v>
      </c>
      <c r="Q41" s="32">
        <v>0</v>
      </c>
      <c r="R41" s="32">
        <v>0</v>
      </c>
      <c r="S41" s="32">
        <v>0</v>
      </c>
    </row>
    <row r="42" spans="1:19" x14ac:dyDescent="0.2">
      <c r="C42" s="57" t="str">
        <f>Instructions!P8</f>
        <v>Pay 2004</v>
      </c>
      <c r="D42" s="46">
        <f t="shared" si="1"/>
        <v>0</v>
      </c>
      <c r="E42" s="32">
        <v>0</v>
      </c>
      <c r="F42" s="32">
        <v>0</v>
      </c>
      <c r="G42" s="32">
        <v>0</v>
      </c>
      <c r="H42" s="32">
        <v>0</v>
      </c>
      <c r="I42" s="32">
        <v>0</v>
      </c>
      <c r="J42" s="32">
        <v>0</v>
      </c>
      <c r="K42" s="32">
        <v>0</v>
      </c>
      <c r="L42" s="32">
        <v>0</v>
      </c>
      <c r="M42" s="32">
        <v>0</v>
      </c>
      <c r="N42" s="32">
        <v>0</v>
      </c>
      <c r="O42" s="32">
        <v>0</v>
      </c>
      <c r="P42" s="32">
        <v>0</v>
      </c>
      <c r="Q42" s="32">
        <v>0</v>
      </c>
      <c r="R42" s="32">
        <v>0</v>
      </c>
      <c r="S42" s="32">
        <v>0</v>
      </c>
    </row>
    <row r="43" spans="1:19" x14ac:dyDescent="0.2">
      <c r="A43" s="43" t="s">
        <v>603</v>
      </c>
      <c r="C43" s="57" t="str">
        <f>Instructions!P1</f>
        <v>Pay 2011</v>
      </c>
      <c r="D43" s="46">
        <f t="shared" si="1"/>
        <v>0</v>
      </c>
      <c r="E43" s="32">
        <v>0</v>
      </c>
      <c r="F43" s="32">
        <v>0</v>
      </c>
      <c r="G43" s="32">
        <v>0</v>
      </c>
      <c r="H43" s="32">
        <v>0</v>
      </c>
      <c r="I43" s="32">
        <v>0</v>
      </c>
      <c r="J43" s="32">
        <v>0</v>
      </c>
      <c r="K43" s="32">
        <v>0</v>
      </c>
      <c r="L43" s="32">
        <v>0</v>
      </c>
      <c r="M43" s="32">
        <v>0</v>
      </c>
      <c r="N43" s="32">
        <v>0</v>
      </c>
      <c r="O43" s="32">
        <v>0</v>
      </c>
      <c r="P43" s="32">
        <v>0</v>
      </c>
      <c r="Q43" s="32">
        <v>0</v>
      </c>
      <c r="R43" s="32">
        <v>0</v>
      </c>
      <c r="S43" s="32">
        <v>0</v>
      </c>
    </row>
    <row r="44" spans="1:19" x14ac:dyDescent="0.2">
      <c r="B44" s="57"/>
      <c r="C44" s="57" t="str">
        <f>Instructions!P2</f>
        <v>Pay 2010</v>
      </c>
      <c r="D44" s="46">
        <f t="shared" si="1"/>
        <v>0</v>
      </c>
      <c r="E44" s="32">
        <v>0</v>
      </c>
      <c r="F44" s="32">
        <v>0</v>
      </c>
      <c r="G44" s="32">
        <v>0</v>
      </c>
      <c r="H44" s="32">
        <v>0</v>
      </c>
      <c r="I44" s="32">
        <v>0</v>
      </c>
      <c r="J44" s="32">
        <v>0</v>
      </c>
      <c r="K44" s="32">
        <v>0</v>
      </c>
      <c r="L44" s="32">
        <v>0</v>
      </c>
      <c r="M44" s="32">
        <v>0</v>
      </c>
      <c r="N44" s="32">
        <v>0</v>
      </c>
      <c r="O44" s="32">
        <v>0</v>
      </c>
      <c r="P44" s="32">
        <v>0</v>
      </c>
      <c r="Q44" s="32">
        <v>0</v>
      </c>
      <c r="R44" s="32">
        <v>0</v>
      </c>
      <c r="S44" s="32">
        <v>0</v>
      </c>
    </row>
    <row r="45" spans="1:19" x14ac:dyDescent="0.2">
      <c r="A45" s="43" t="s">
        <v>608</v>
      </c>
      <c r="B45" s="57"/>
      <c r="C45" s="57" t="str">
        <f>Instructions!P1</f>
        <v>Pay 2011</v>
      </c>
      <c r="D45" s="46">
        <f t="shared" si="1"/>
        <v>0</v>
      </c>
      <c r="E45" s="32">
        <v>0</v>
      </c>
      <c r="F45" s="32">
        <v>0</v>
      </c>
      <c r="G45" s="32">
        <v>0</v>
      </c>
      <c r="H45" s="32">
        <v>0</v>
      </c>
      <c r="I45" s="32">
        <v>0</v>
      </c>
      <c r="J45" s="32">
        <v>0</v>
      </c>
      <c r="K45" s="32">
        <v>0</v>
      </c>
      <c r="L45" s="32">
        <v>0</v>
      </c>
      <c r="M45" s="32">
        <v>0</v>
      </c>
      <c r="N45" s="32">
        <v>0</v>
      </c>
      <c r="O45" s="32">
        <v>0</v>
      </c>
      <c r="P45" s="32">
        <v>0</v>
      </c>
      <c r="Q45" s="32">
        <v>0</v>
      </c>
      <c r="R45" s="32">
        <v>0</v>
      </c>
      <c r="S45" s="32">
        <v>0</v>
      </c>
    </row>
    <row r="46" spans="1:19" x14ac:dyDescent="0.2">
      <c r="B46" s="57"/>
      <c r="C46" s="57" t="str">
        <f>Instructions!P2</f>
        <v>Pay 2010</v>
      </c>
      <c r="D46" s="46">
        <f t="shared" si="1"/>
        <v>0</v>
      </c>
      <c r="E46" s="32">
        <v>0</v>
      </c>
      <c r="F46" s="32">
        <v>0</v>
      </c>
      <c r="G46" s="32">
        <v>0</v>
      </c>
      <c r="H46" s="32">
        <v>0</v>
      </c>
      <c r="I46" s="32">
        <v>0</v>
      </c>
      <c r="J46" s="32">
        <v>0</v>
      </c>
      <c r="K46" s="32">
        <v>0</v>
      </c>
      <c r="L46" s="32">
        <v>0</v>
      </c>
      <c r="M46" s="32">
        <v>0</v>
      </c>
      <c r="N46" s="32">
        <v>0</v>
      </c>
      <c r="O46" s="32">
        <v>0</v>
      </c>
      <c r="P46" s="32">
        <v>0</v>
      </c>
      <c r="Q46" s="32">
        <v>0</v>
      </c>
      <c r="R46" s="32">
        <v>0</v>
      </c>
      <c r="S46" s="32">
        <v>0</v>
      </c>
    </row>
    <row r="47" spans="1:19" x14ac:dyDescent="0.2">
      <c r="A47" s="43" t="s">
        <v>604</v>
      </c>
      <c r="E47" s="32">
        <v>0</v>
      </c>
      <c r="F47" s="32">
        <v>0</v>
      </c>
      <c r="G47" s="32">
        <v>0</v>
      </c>
      <c r="H47" s="32">
        <v>0</v>
      </c>
      <c r="I47" s="32">
        <v>0</v>
      </c>
      <c r="J47" s="32">
        <v>0</v>
      </c>
      <c r="K47" s="32">
        <v>0</v>
      </c>
      <c r="L47" s="32">
        <v>0</v>
      </c>
      <c r="M47" s="32">
        <v>0</v>
      </c>
      <c r="N47" s="32">
        <v>0</v>
      </c>
      <c r="O47" s="32">
        <v>0</v>
      </c>
      <c r="P47" s="32">
        <v>0</v>
      </c>
      <c r="Q47" s="32">
        <v>0</v>
      </c>
      <c r="R47" s="32">
        <v>0</v>
      </c>
      <c r="S47" s="32">
        <v>0</v>
      </c>
    </row>
    <row r="48" spans="1:19" x14ac:dyDescent="0.2">
      <c r="F48" s="52"/>
      <c r="G48" s="52"/>
    </row>
    <row r="49" spans="1:19" x14ac:dyDescent="0.2">
      <c r="B49" s="55" t="s">
        <v>605</v>
      </c>
      <c r="D49" s="47">
        <f>SUM(D35:D48)</f>
        <v>0</v>
      </c>
      <c r="E49" s="47">
        <f>SUM(E35:E48)</f>
        <v>0</v>
      </c>
      <c r="F49" s="47">
        <f t="shared" ref="F49:S49" si="2">SUM(F35:F48)</f>
        <v>0</v>
      </c>
      <c r="G49" s="47">
        <f t="shared" si="2"/>
        <v>0</v>
      </c>
      <c r="H49" s="47">
        <f t="shared" si="2"/>
        <v>0</v>
      </c>
      <c r="I49" s="47">
        <f t="shared" si="2"/>
        <v>0</v>
      </c>
      <c r="J49" s="47">
        <f t="shared" si="2"/>
        <v>0</v>
      </c>
      <c r="K49" s="47">
        <f t="shared" si="2"/>
        <v>0</v>
      </c>
      <c r="L49" s="47">
        <f t="shared" si="2"/>
        <v>0</v>
      </c>
      <c r="M49" s="47">
        <f t="shared" si="2"/>
        <v>0</v>
      </c>
      <c r="N49" s="47">
        <f t="shared" si="2"/>
        <v>0</v>
      </c>
      <c r="O49" s="47">
        <f t="shared" si="2"/>
        <v>0</v>
      </c>
      <c r="P49" s="47">
        <f t="shared" si="2"/>
        <v>0</v>
      </c>
      <c r="Q49" s="47">
        <f t="shared" si="2"/>
        <v>0</v>
      </c>
      <c r="R49" s="47">
        <f t="shared" si="2"/>
        <v>0</v>
      </c>
      <c r="S49" s="47">
        <f t="shared" si="2"/>
        <v>0</v>
      </c>
    </row>
    <row r="50" spans="1:19" x14ac:dyDescent="0.2">
      <c r="F50" s="52"/>
      <c r="G50" s="52"/>
    </row>
    <row r="51" spans="1:19" x14ac:dyDescent="0.2">
      <c r="F51" s="52"/>
      <c r="G51" s="52"/>
    </row>
    <row r="52" spans="1:19" x14ac:dyDescent="0.2">
      <c r="F52" s="52"/>
      <c r="G52" s="52"/>
    </row>
    <row r="53" spans="1:19" x14ac:dyDescent="0.2">
      <c r="F53" s="52"/>
      <c r="G53" s="52"/>
    </row>
    <row r="54" spans="1:19" x14ac:dyDescent="0.2">
      <c r="F54" s="52"/>
      <c r="G54" s="52"/>
    </row>
    <row r="55" spans="1:19" ht="12" thickBot="1" x14ac:dyDescent="0.25">
      <c r="A55" s="56" t="s">
        <v>614</v>
      </c>
    </row>
    <row r="56" spans="1:19" ht="12" thickTop="1" x14ac:dyDescent="0.2">
      <c r="B56" s="57" t="str">
        <f>Instructions!P1</f>
        <v>Pay 2011</v>
      </c>
      <c r="C56" s="57" t="s">
        <v>514</v>
      </c>
      <c r="D56" s="46">
        <f>SUM(E56:S56)</f>
        <v>0</v>
      </c>
      <c r="E56" s="126">
        <f t="shared" ref="E56:S56" si="3">ROUND(IF($D$14=0,0,E$35/$D$14*$D9),2)</f>
        <v>0</v>
      </c>
      <c r="F56" s="127">
        <f t="shared" si="3"/>
        <v>0</v>
      </c>
      <c r="G56" s="127">
        <f t="shared" si="3"/>
        <v>0</v>
      </c>
      <c r="H56" s="127">
        <f t="shared" si="3"/>
        <v>0</v>
      </c>
      <c r="I56" s="127">
        <f t="shared" si="3"/>
        <v>0</v>
      </c>
      <c r="J56" s="127">
        <f t="shared" si="3"/>
        <v>0</v>
      </c>
      <c r="K56" s="127">
        <f t="shared" si="3"/>
        <v>0</v>
      </c>
      <c r="L56" s="127">
        <f t="shared" si="3"/>
        <v>0</v>
      </c>
      <c r="M56" s="127">
        <f t="shared" si="3"/>
        <v>0</v>
      </c>
      <c r="N56" s="127">
        <f t="shared" si="3"/>
        <v>0</v>
      </c>
      <c r="O56" s="127">
        <f t="shared" si="3"/>
        <v>0</v>
      </c>
      <c r="P56" s="127">
        <f t="shared" si="3"/>
        <v>0</v>
      </c>
      <c r="Q56" s="127">
        <f t="shared" si="3"/>
        <v>0</v>
      </c>
      <c r="R56" s="127">
        <f t="shared" si="3"/>
        <v>0</v>
      </c>
      <c r="S56" s="128">
        <f t="shared" si="3"/>
        <v>0</v>
      </c>
    </row>
    <row r="57" spans="1:19" x14ac:dyDescent="0.2">
      <c r="B57" s="57" t="str">
        <f>Instructions!P1</f>
        <v>Pay 2011</v>
      </c>
      <c r="C57" s="57" t="s">
        <v>515</v>
      </c>
      <c r="D57" s="46">
        <f>SUM(E57:S57)</f>
        <v>0</v>
      </c>
      <c r="E57" s="129">
        <f t="shared" ref="E57:S57" si="4">ROUND(IF($D$14=0,0,E$35/$D$14*$D10),2)</f>
        <v>0</v>
      </c>
      <c r="F57" s="58">
        <f t="shared" si="4"/>
        <v>0</v>
      </c>
      <c r="G57" s="58">
        <f t="shared" si="4"/>
        <v>0</v>
      </c>
      <c r="H57" s="58">
        <f t="shared" si="4"/>
        <v>0</v>
      </c>
      <c r="I57" s="58">
        <f t="shared" si="4"/>
        <v>0</v>
      </c>
      <c r="J57" s="58">
        <f t="shared" si="4"/>
        <v>0</v>
      </c>
      <c r="K57" s="58">
        <f t="shared" si="4"/>
        <v>0</v>
      </c>
      <c r="L57" s="58">
        <f t="shared" si="4"/>
        <v>0</v>
      </c>
      <c r="M57" s="58">
        <f t="shared" si="4"/>
        <v>0</v>
      </c>
      <c r="N57" s="58">
        <f t="shared" si="4"/>
        <v>0</v>
      </c>
      <c r="O57" s="58">
        <f t="shared" si="4"/>
        <v>0</v>
      </c>
      <c r="P57" s="58">
        <f t="shared" si="4"/>
        <v>0</v>
      </c>
      <c r="Q57" s="58">
        <f t="shared" si="4"/>
        <v>0</v>
      </c>
      <c r="R57" s="58">
        <f t="shared" si="4"/>
        <v>0</v>
      </c>
      <c r="S57" s="130">
        <f t="shared" si="4"/>
        <v>0</v>
      </c>
    </row>
    <row r="58" spans="1:19" x14ac:dyDescent="0.2">
      <c r="B58" s="57" t="str">
        <f>Instructions!P1</f>
        <v>Pay 2011</v>
      </c>
      <c r="C58" s="57" t="s">
        <v>597</v>
      </c>
      <c r="D58" s="46">
        <f>SUM(E58:S58)</f>
        <v>0</v>
      </c>
      <c r="E58" s="129">
        <f t="shared" ref="E58:S58" si="5">ROUND(IF($D$14=0,0,E$35/$D$14*$D11),2)</f>
        <v>0</v>
      </c>
      <c r="F58" s="58">
        <f t="shared" si="5"/>
        <v>0</v>
      </c>
      <c r="G58" s="58">
        <f t="shared" si="5"/>
        <v>0</v>
      </c>
      <c r="H58" s="58">
        <f t="shared" si="5"/>
        <v>0</v>
      </c>
      <c r="I58" s="58">
        <f t="shared" si="5"/>
        <v>0</v>
      </c>
      <c r="J58" s="58">
        <f t="shared" si="5"/>
        <v>0</v>
      </c>
      <c r="K58" s="58">
        <f t="shared" si="5"/>
        <v>0</v>
      </c>
      <c r="L58" s="58">
        <f t="shared" si="5"/>
        <v>0</v>
      </c>
      <c r="M58" s="58">
        <f t="shared" si="5"/>
        <v>0</v>
      </c>
      <c r="N58" s="58">
        <f t="shared" si="5"/>
        <v>0</v>
      </c>
      <c r="O58" s="58">
        <f t="shared" si="5"/>
        <v>0</v>
      </c>
      <c r="P58" s="58">
        <f t="shared" si="5"/>
        <v>0</v>
      </c>
      <c r="Q58" s="58">
        <f t="shared" si="5"/>
        <v>0</v>
      </c>
      <c r="R58" s="58">
        <f t="shared" si="5"/>
        <v>0</v>
      </c>
      <c r="S58" s="130">
        <f t="shared" si="5"/>
        <v>0</v>
      </c>
    </row>
    <row r="59" spans="1:19" x14ac:dyDescent="0.2">
      <c r="B59" s="57" t="str">
        <f>Instructions!P1</f>
        <v>Pay 2011</v>
      </c>
      <c r="C59" s="57" t="s">
        <v>4</v>
      </c>
      <c r="D59" s="46">
        <f>SUM(E59:S59)</f>
        <v>0</v>
      </c>
      <c r="E59" s="129">
        <f t="shared" ref="E59:S59" si="6">ROUND(IF($D$14=0,0,E$35/$D$14*$D12),2)</f>
        <v>0</v>
      </c>
      <c r="F59" s="58">
        <f t="shared" si="6"/>
        <v>0</v>
      </c>
      <c r="G59" s="58">
        <f t="shared" si="6"/>
        <v>0</v>
      </c>
      <c r="H59" s="58">
        <f t="shared" si="6"/>
        <v>0</v>
      </c>
      <c r="I59" s="58">
        <f t="shared" si="6"/>
        <v>0</v>
      </c>
      <c r="J59" s="58">
        <f t="shared" si="6"/>
        <v>0</v>
      </c>
      <c r="K59" s="58">
        <f t="shared" si="6"/>
        <v>0</v>
      </c>
      <c r="L59" s="58">
        <f t="shared" si="6"/>
        <v>0</v>
      </c>
      <c r="M59" s="58">
        <f t="shared" si="6"/>
        <v>0</v>
      </c>
      <c r="N59" s="58">
        <f t="shared" si="6"/>
        <v>0</v>
      </c>
      <c r="O59" s="58">
        <f t="shared" si="6"/>
        <v>0</v>
      </c>
      <c r="P59" s="58">
        <f t="shared" si="6"/>
        <v>0</v>
      </c>
      <c r="Q59" s="58">
        <f t="shared" si="6"/>
        <v>0</v>
      </c>
      <c r="R59" s="58">
        <f t="shared" si="6"/>
        <v>0</v>
      </c>
      <c r="S59" s="130">
        <f t="shared" si="6"/>
        <v>0</v>
      </c>
    </row>
    <row r="60" spans="1:19" x14ac:dyDescent="0.2">
      <c r="B60" s="57"/>
      <c r="C60" s="57"/>
      <c r="E60" s="129"/>
      <c r="F60" s="59"/>
      <c r="G60" s="59"/>
      <c r="H60" s="59"/>
      <c r="I60" s="59"/>
      <c r="J60" s="59"/>
      <c r="K60" s="59"/>
      <c r="L60" s="59"/>
      <c r="M60" s="59"/>
      <c r="N60" s="59"/>
      <c r="O60" s="59"/>
      <c r="P60" s="59"/>
      <c r="Q60" s="59"/>
      <c r="R60" s="59"/>
      <c r="S60" s="131"/>
    </row>
    <row r="61" spans="1:19" s="30" customFormat="1" x14ac:dyDescent="0.2">
      <c r="C61" s="60" t="s">
        <v>593</v>
      </c>
      <c r="D61" s="42">
        <f>SUM(D56:D60)</f>
        <v>0</v>
      </c>
      <c r="E61" s="132">
        <f>SUM(E56:E60)</f>
        <v>0</v>
      </c>
      <c r="F61" s="61">
        <f t="shared" ref="F61:S61" si="7">SUM(F56:F60)</f>
        <v>0</v>
      </c>
      <c r="G61" s="61">
        <f t="shared" si="7"/>
        <v>0</v>
      </c>
      <c r="H61" s="61">
        <f t="shared" si="7"/>
        <v>0</v>
      </c>
      <c r="I61" s="61">
        <f t="shared" si="7"/>
        <v>0</v>
      </c>
      <c r="J61" s="61">
        <f t="shared" si="7"/>
        <v>0</v>
      </c>
      <c r="K61" s="61">
        <f t="shared" si="7"/>
        <v>0</v>
      </c>
      <c r="L61" s="61">
        <f t="shared" si="7"/>
        <v>0</v>
      </c>
      <c r="M61" s="61">
        <f t="shared" si="7"/>
        <v>0</v>
      </c>
      <c r="N61" s="61">
        <f t="shared" si="7"/>
        <v>0</v>
      </c>
      <c r="O61" s="61">
        <f t="shared" si="7"/>
        <v>0</v>
      </c>
      <c r="P61" s="61">
        <f t="shared" si="7"/>
        <v>0</v>
      </c>
      <c r="Q61" s="61">
        <f t="shared" si="7"/>
        <v>0</v>
      </c>
      <c r="R61" s="61">
        <f t="shared" si="7"/>
        <v>0</v>
      </c>
      <c r="S61" s="133">
        <f t="shared" si="7"/>
        <v>0</v>
      </c>
    </row>
    <row r="62" spans="1:19" x14ac:dyDescent="0.2">
      <c r="B62" s="62"/>
      <c r="C62" s="62"/>
      <c r="E62" s="129"/>
      <c r="F62" s="59"/>
      <c r="G62" s="59"/>
      <c r="H62" s="59"/>
      <c r="I62" s="59"/>
      <c r="J62" s="59"/>
      <c r="K62" s="59"/>
      <c r="L62" s="59"/>
      <c r="M62" s="59"/>
      <c r="N62" s="59"/>
      <c r="O62" s="59"/>
      <c r="P62" s="59"/>
      <c r="Q62" s="59"/>
      <c r="R62" s="59"/>
      <c r="S62" s="131"/>
    </row>
    <row r="63" spans="1:19" x14ac:dyDescent="0.2">
      <c r="B63" s="62"/>
      <c r="C63" s="62"/>
      <c r="E63" s="129"/>
      <c r="F63" s="59"/>
      <c r="G63" s="59"/>
      <c r="H63" s="59"/>
      <c r="I63" s="59"/>
      <c r="J63" s="59"/>
      <c r="K63" s="59"/>
      <c r="L63" s="59"/>
      <c r="M63" s="59"/>
      <c r="N63" s="59"/>
      <c r="O63" s="59"/>
      <c r="P63" s="59"/>
      <c r="Q63" s="59"/>
      <c r="R63" s="59"/>
      <c r="S63" s="131"/>
    </row>
    <row r="64" spans="1:19" x14ac:dyDescent="0.2">
      <c r="A64" s="43" t="s">
        <v>613</v>
      </c>
      <c r="B64" s="62"/>
      <c r="C64" s="62"/>
      <c r="E64" s="129"/>
      <c r="F64" s="59"/>
      <c r="G64" s="59"/>
      <c r="H64" s="59"/>
      <c r="I64" s="59"/>
      <c r="J64" s="59"/>
      <c r="K64" s="59"/>
      <c r="L64" s="59"/>
      <c r="M64" s="59"/>
      <c r="N64" s="59"/>
      <c r="O64" s="59"/>
      <c r="P64" s="59"/>
      <c r="Q64" s="59"/>
      <c r="R64" s="59"/>
      <c r="S64" s="131"/>
    </row>
    <row r="65" spans="1:19" x14ac:dyDescent="0.2">
      <c r="B65" s="57" t="str">
        <f>Instructions!P2</f>
        <v>Pay 2010</v>
      </c>
      <c r="C65" s="57" t="s">
        <v>514</v>
      </c>
      <c r="D65" s="46">
        <f t="shared" ref="D65:D71" si="8">SUM(E65:S65)</f>
        <v>0</v>
      </c>
      <c r="E65" s="129">
        <f t="shared" ref="E65:S65" si="9">ROUND(IF($E$14=0,0,E$36/$E$14*$E9),2)</f>
        <v>0</v>
      </c>
      <c r="F65" s="58">
        <f t="shared" si="9"/>
        <v>0</v>
      </c>
      <c r="G65" s="58">
        <f t="shared" si="9"/>
        <v>0</v>
      </c>
      <c r="H65" s="58">
        <f t="shared" si="9"/>
        <v>0</v>
      </c>
      <c r="I65" s="58">
        <f t="shared" si="9"/>
        <v>0</v>
      </c>
      <c r="J65" s="58">
        <f t="shared" si="9"/>
        <v>0</v>
      </c>
      <c r="K65" s="58">
        <f t="shared" si="9"/>
        <v>0</v>
      </c>
      <c r="L65" s="58">
        <f t="shared" si="9"/>
        <v>0</v>
      </c>
      <c r="M65" s="58">
        <f t="shared" si="9"/>
        <v>0</v>
      </c>
      <c r="N65" s="58">
        <f t="shared" si="9"/>
        <v>0</v>
      </c>
      <c r="O65" s="58">
        <f t="shared" si="9"/>
        <v>0</v>
      </c>
      <c r="P65" s="58">
        <f t="shared" si="9"/>
        <v>0</v>
      </c>
      <c r="Q65" s="58">
        <f t="shared" si="9"/>
        <v>0</v>
      </c>
      <c r="R65" s="58">
        <f t="shared" si="9"/>
        <v>0</v>
      </c>
      <c r="S65" s="130">
        <f t="shared" si="9"/>
        <v>0</v>
      </c>
    </row>
    <row r="66" spans="1:19" x14ac:dyDescent="0.2">
      <c r="B66" s="57" t="str">
        <f>Instructions!P3</f>
        <v>Pay 2009</v>
      </c>
      <c r="C66" s="57" t="s">
        <v>514</v>
      </c>
      <c r="D66" s="46">
        <f t="shared" si="8"/>
        <v>0</v>
      </c>
      <c r="E66" s="129">
        <f t="shared" ref="E66:S66" si="10">ROUND(IF($F$14=0,0,E$37/$F$14*$F9),2)</f>
        <v>0</v>
      </c>
      <c r="F66" s="58">
        <f t="shared" si="10"/>
        <v>0</v>
      </c>
      <c r="G66" s="58">
        <f t="shared" si="10"/>
        <v>0</v>
      </c>
      <c r="H66" s="58">
        <f t="shared" si="10"/>
        <v>0</v>
      </c>
      <c r="I66" s="58">
        <f t="shared" si="10"/>
        <v>0</v>
      </c>
      <c r="J66" s="58">
        <f t="shared" si="10"/>
        <v>0</v>
      </c>
      <c r="K66" s="58">
        <f t="shared" si="10"/>
        <v>0</v>
      </c>
      <c r="L66" s="58">
        <f t="shared" si="10"/>
        <v>0</v>
      </c>
      <c r="M66" s="58">
        <f t="shared" si="10"/>
        <v>0</v>
      </c>
      <c r="N66" s="58">
        <f t="shared" si="10"/>
        <v>0</v>
      </c>
      <c r="O66" s="58">
        <f t="shared" si="10"/>
        <v>0</v>
      </c>
      <c r="P66" s="58">
        <f t="shared" si="10"/>
        <v>0</v>
      </c>
      <c r="Q66" s="58">
        <f t="shared" si="10"/>
        <v>0</v>
      </c>
      <c r="R66" s="58">
        <f t="shared" si="10"/>
        <v>0</v>
      </c>
      <c r="S66" s="130">
        <f t="shared" si="10"/>
        <v>0</v>
      </c>
    </row>
    <row r="67" spans="1:19" x14ac:dyDescent="0.2">
      <c r="B67" s="57" t="str">
        <f>Instructions!P4</f>
        <v>Pay 2008</v>
      </c>
      <c r="C67" s="57" t="s">
        <v>514</v>
      </c>
      <c r="D67" s="46">
        <f t="shared" si="8"/>
        <v>0</v>
      </c>
      <c r="E67" s="129">
        <f t="shared" ref="E67:S67" si="11">ROUND(IF($G$14=0,0,E$38/$G$14*$G9),2)</f>
        <v>0</v>
      </c>
      <c r="F67" s="58">
        <f t="shared" si="11"/>
        <v>0</v>
      </c>
      <c r="G67" s="58">
        <f t="shared" si="11"/>
        <v>0</v>
      </c>
      <c r="H67" s="58">
        <f t="shared" si="11"/>
        <v>0</v>
      </c>
      <c r="I67" s="58">
        <f t="shared" si="11"/>
        <v>0</v>
      </c>
      <c r="J67" s="58">
        <f t="shared" si="11"/>
        <v>0</v>
      </c>
      <c r="K67" s="58">
        <f t="shared" si="11"/>
        <v>0</v>
      </c>
      <c r="L67" s="58">
        <f t="shared" si="11"/>
        <v>0</v>
      </c>
      <c r="M67" s="58">
        <f t="shared" si="11"/>
        <v>0</v>
      </c>
      <c r="N67" s="58">
        <f t="shared" si="11"/>
        <v>0</v>
      </c>
      <c r="O67" s="58">
        <f t="shared" si="11"/>
        <v>0</v>
      </c>
      <c r="P67" s="58">
        <f t="shared" si="11"/>
        <v>0</v>
      </c>
      <c r="Q67" s="58">
        <f t="shared" si="11"/>
        <v>0</v>
      </c>
      <c r="R67" s="58">
        <f t="shared" si="11"/>
        <v>0</v>
      </c>
      <c r="S67" s="130">
        <f t="shared" si="11"/>
        <v>0</v>
      </c>
    </row>
    <row r="68" spans="1:19" x14ac:dyDescent="0.2">
      <c r="B68" s="57" t="str">
        <f>Instructions!P5</f>
        <v>Pay 2007</v>
      </c>
      <c r="C68" s="57" t="s">
        <v>514</v>
      </c>
      <c r="D68" s="46">
        <f t="shared" si="8"/>
        <v>0</v>
      </c>
      <c r="E68" s="129">
        <f t="shared" ref="E68:S68" si="12">ROUND(IF($H$14=0,0,E$39/$H$14*$H9),2)</f>
        <v>0</v>
      </c>
      <c r="F68" s="58">
        <f t="shared" si="12"/>
        <v>0</v>
      </c>
      <c r="G68" s="58">
        <f t="shared" si="12"/>
        <v>0</v>
      </c>
      <c r="H68" s="58">
        <f t="shared" si="12"/>
        <v>0</v>
      </c>
      <c r="I68" s="58">
        <f t="shared" si="12"/>
        <v>0</v>
      </c>
      <c r="J68" s="58">
        <f t="shared" si="12"/>
        <v>0</v>
      </c>
      <c r="K68" s="58">
        <f t="shared" si="12"/>
        <v>0</v>
      </c>
      <c r="L68" s="58">
        <f t="shared" si="12"/>
        <v>0</v>
      </c>
      <c r="M68" s="58">
        <f t="shared" si="12"/>
        <v>0</v>
      </c>
      <c r="N68" s="58">
        <f t="shared" si="12"/>
        <v>0</v>
      </c>
      <c r="O68" s="58">
        <f t="shared" si="12"/>
        <v>0</v>
      </c>
      <c r="P68" s="58">
        <f t="shared" si="12"/>
        <v>0</v>
      </c>
      <c r="Q68" s="58">
        <f t="shared" si="12"/>
        <v>0</v>
      </c>
      <c r="R68" s="58">
        <f t="shared" si="12"/>
        <v>0</v>
      </c>
      <c r="S68" s="130">
        <f t="shared" si="12"/>
        <v>0</v>
      </c>
    </row>
    <row r="69" spans="1:19" x14ac:dyDescent="0.2">
      <c r="B69" s="57" t="str">
        <f>Instructions!P6</f>
        <v>Pay 2006</v>
      </c>
      <c r="C69" s="57" t="s">
        <v>514</v>
      </c>
      <c r="D69" s="46">
        <f t="shared" si="8"/>
        <v>0</v>
      </c>
      <c r="E69" s="129">
        <f t="shared" ref="E69:S69" si="13">ROUND(IF($I$14=0,0,E$40/$I$14*$I9),2)</f>
        <v>0</v>
      </c>
      <c r="F69" s="58">
        <f t="shared" si="13"/>
        <v>0</v>
      </c>
      <c r="G69" s="58">
        <f t="shared" si="13"/>
        <v>0</v>
      </c>
      <c r="H69" s="58">
        <f t="shared" si="13"/>
        <v>0</v>
      </c>
      <c r="I69" s="58">
        <f t="shared" si="13"/>
        <v>0</v>
      </c>
      <c r="J69" s="58">
        <f t="shared" si="13"/>
        <v>0</v>
      </c>
      <c r="K69" s="58">
        <f t="shared" si="13"/>
        <v>0</v>
      </c>
      <c r="L69" s="58">
        <f t="shared" si="13"/>
        <v>0</v>
      </c>
      <c r="M69" s="58">
        <f t="shared" si="13"/>
        <v>0</v>
      </c>
      <c r="N69" s="58">
        <f t="shared" si="13"/>
        <v>0</v>
      </c>
      <c r="O69" s="58">
        <f t="shared" si="13"/>
        <v>0</v>
      </c>
      <c r="P69" s="58">
        <f t="shared" si="13"/>
        <v>0</v>
      </c>
      <c r="Q69" s="58">
        <f t="shared" si="13"/>
        <v>0</v>
      </c>
      <c r="R69" s="58">
        <f t="shared" si="13"/>
        <v>0</v>
      </c>
      <c r="S69" s="130">
        <f t="shared" si="13"/>
        <v>0</v>
      </c>
    </row>
    <row r="70" spans="1:19" x14ac:dyDescent="0.2">
      <c r="B70" s="57" t="str">
        <f>Instructions!P7</f>
        <v>Pay 2005</v>
      </c>
      <c r="C70" s="57" t="s">
        <v>514</v>
      </c>
      <c r="D70" s="46">
        <f t="shared" si="8"/>
        <v>0</v>
      </c>
      <c r="E70" s="129">
        <f t="shared" ref="E70:S70" si="14">ROUND(IF($J$14=0,0,E$41/$J$14*$J9),2)</f>
        <v>0</v>
      </c>
      <c r="F70" s="58">
        <f t="shared" si="14"/>
        <v>0</v>
      </c>
      <c r="G70" s="58">
        <f t="shared" si="14"/>
        <v>0</v>
      </c>
      <c r="H70" s="58">
        <f t="shared" si="14"/>
        <v>0</v>
      </c>
      <c r="I70" s="58">
        <f t="shared" si="14"/>
        <v>0</v>
      </c>
      <c r="J70" s="58">
        <f t="shared" si="14"/>
        <v>0</v>
      </c>
      <c r="K70" s="58">
        <f t="shared" si="14"/>
        <v>0</v>
      </c>
      <c r="L70" s="58">
        <f t="shared" si="14"/>
        <v>0</v>
      </c>
      <c r="M70" s="58">
        <f t="shared" si="14"/>
        <v>0</v>
      </c>
      <c r="N70" s="58">
        <f t="shared" si="14"/>
        <v>0</v>
      </c>
      <c r="O70" s="58">
        <f t="shared" si="14"/>
        <v>0</v>
      </c>
      <c r="P70" s="58">
        <f t="shared" si="14"/>
        <v>0</v>
      </c>
      <c r="Q70" s="58">
        <f t="shared" si="14"/>
        <v>0</v>
      </c>
      <c r="R70" s="58">
        <f t="shared" si="14"/>
        <v>0</v>
      </c>
      <c r="S70" s="130">
        <f t="shared" si="14"/>
        <v>0</v>
      </c>
    </row>
    <row r="71" spans="1:19" x14ac:dyDescent="0.2">
      <c r="B71" s="57" t="str">
        <f>Instructions!P8</f>
        <v>Pay 2004</v>
      </c>
      <c r="C71" s="57" t="s">
        <v>514</v>
      </c>
      <c r="D71" s="46">
        <f t="shared" si="8"/>
        <v>0</v>
      </c>
      <c r="E71" s="129">
        <f t="shared" ref="E71:S71" si="15">ROUND(IF($K$14=0,0,E$42/$K$14*$K9),2)</f>
        <v>0</v>
      </c>
      <c r="F71" s="58">
        <f t="shared" si="15"/>
        <v>0</v>
      </c>
      <c r="G71" s="58">
        <f t="shared" si="15"/>
        <v>0</v>
      </c>
      <c r="H71" s="58">
        <f t="shared" si="15"/>
        <v>0</v>
      </c>
      <c r="I71" s="58">
        <f t="shared" si="15"/>
        <v>0</v>
      </c>
      <c r="J71" s="58">
        <f t="shared" si="15"/>
        <v>0</v>
      </c>
      <c r="K71" s="58">
        <f t="shared" si="15"/>
        <v>0</v>
      </c>
      <c r="L71" s="58">
        <f t="shared" si="15"/>
        <v>0</v>
      </c>
      <c r="M71" s="58">
        <f t="shared" si="15"/>
        <v>0</v>
      </c>
      <c r="N71" s="58">
        <f t="shared" si="15"/>
        <v>0</v>
      </c>
      <c r="O71" s="58">
        <f t="shared" si="15"/>
        <v>0</v>
      </c>
      <c r="P71" s="58">
        <f t="shared" si="15"/>
        <v>0</v>
      </c>
      <c r="Q71" s="58">
        <f t="shared" si="15"/>
        <v>0</v>
      </c>
      <c r="R71" s="58">
        <f t="shared" si="15"/>
        <v>0</v>
      </c>
      <c r="S71" s="130">
        <f t="shared" si="15"/>
        <v>0</v>
      </c>
    </row>
    <row r="72" spans="1:19" x14ac:dyDescent="0.2">
      <c r="B72" s="57"/>
      <c r="C72" s="57"/>
      <c r="E72" s="129"/>
      <c r="F72" s="58"/>
      <c r="G72" s="58"/>
      <c r="H72" s="58"/>
      <c r="I72" s="58"/>
      <c r="J72" s="58"/>
      <c r="K72" s="58"/>
      <c r="L72" s="58"/>
      <c r="M72" s="58"/>
      <c r="N72" s="58"/>
      <c r="O72" s="58"/>
      <c r="P72" s="58"/>
      <c r="Q72" s="58"/>
      <c r="R72" s="58"/>
      <c r="S72" s="130"/>
    </row>
    <row r="73" spans="1:19" x14ac:dyDescent="0.2">
      <c r="B73" s="57"/>
      <c r="C73" s="57" t="s">
        <v>593</v>
      </c>
      <c r="D73" s="46">
        <f>SUM(D65:D72)</f>
        <v>0</v>
      </c>
      <c r="E73" s="134">
        <f t="shared" ref="E73:S73" si="16">SUM(E65:E72)</f>
        <v>0</v>
      </c>
      <c r="F73" s="63">
        <f t="shared" si="16"/>
        <v>0</v>
      </c>
      <c r="G73" s="63">
        <f t="shared" si="16"/>
        <v>0</v>
      </c>
      <c r="H73" s="63">
        <f t="shared" si="16"/>
        <v>0</v>
      </c>
      <c r="I73" s="63">
        <f t="shared" si="16"/>
        <v>0</v>
      </c>
      <c r="J73" s="63">
        <f t="shared" si="16"/>
        <v>0</v>
      </c>
      <c r="K73" s="63">
        <f t="shared" si="16"/>
        <v>0</v>
      </c>
      <c r="L73" s="63">
        <f t="shared" si="16"/>
        <v>0</v>
      </c>
      <c r="M73" s="63">
        <f t="shared" si="16"/>
        <v>0</v>
      </c>
      <c r="N73" s="63">
        <f t="shared" si="16"/>
        <v>0</v>
      </c>
      <c r="O73" s="63">
        <f t="shared" si="16"/>
        <v>0</v>
      </c>
      <c r="P73" s="63">
        <f t="shared" si="16"/>
        <v>0</v>
      </c>
      <c r="Q73" s="63">
        <f t="shared" si="16"/>
        <v>0</v>
      </c>
      <c r="R73" s="63">
        <f t="shared" si="16"/>
        <v>0</v>
      </c>
      <c r="S73" s="135">
        <f t="shared" si="16"/>
        <v>0</v>
      </c>
    </row>
    <row r="74" spans="1:19" x14ac:dyDescent="0.2">
      <c r="B74" s="57"/>
      <c r="C74" s="57"/>
      <c r="E74" s="129"/>
      <c r="F74" s="58"/>
      <c r="G74" s="58"/>
      <c r="H74" s="58"/>
      <c r="I74" s="58"/>
      <c r="J74" s="58"/>
      <c r="K74" s="58"/>
      <c r="L74" s="58"/>
      <c r="M74" s="58"/>
      <c r="N74" s="58"/>
      <c r="O74" s="58"/>
      <c r="P74" s="58"/>
      <c r="Q74" s="58"/>
      <c r="R74" s="58"/>
      <c r="S74" s="130"/>
    </row>
    <row r="75" spans="1:19" x14ac:dyDescent="0.2">
      <c r="B75" s="57"/>
      <c r="C75" s="57"/>
      <c r="E75" s="129"/>
      <c r="F75" s="58"/>
      <c r="G75" s="58"/>
      <c r="H75" s="58"/>
      <c r="I75" s="58"/>
      <c r="J75" s="58"/>
      <c r="K75" s="58"/>
      <c r="L75" s="58"/>
      <c r="M75" s="58"/>
      <c r="N75" s="58"/>
      <c r="O75" s="58"/>
      <c r="P75" s="58"/>
      <c r="Q75" s="58"/>
      <c r="R75" s="58"/>
      <c r="S75" s="130"/>
    </row>
    <row r="76" spans="1:19" x14ac:dyDescent="0.2">
      <c r="A76" s="64"/>
      <c r="B76" s="57" t="str">
        <f>Instructions!P2</f>
        <v>Pay 2010</v>
      </c>
      <c r="C76" s="57" t="s">
        <v>515</v>
      </c>
      <c r="D76" s="46">
        <f t="shared" ref="D76:D82" si="17">SUM(E76:S76)</f>
        <v>0</v>
      </c>
      <c r="E76" s="129">
        <f t="shared" ref="E76:S76" si="18">ROUND(IF($E$14=0,0,E$36/$E$14*$E10),2)</f>
        <v>0</v>
      </c>
      <c r="F76" s="58">
        <f t="shared" si="18"/>
        <v>0</v>
      </c>
      <c r="G76" s="58">
        <f t="shared" si="18"/>
        <v>0</v>
      </c>
      <c r="H76" s="58">
        <f t="shared" si="18"/>
        <v>0</v>
      </c>
      <c r="I76" s="58">
        <f t="shared" si="18"/>
        <v>0</v>
      </c>
      <c r="J76" s="58">
        <f t="shared" si="18"/>
        <v>0</v>
      </c>
      <c r="K76" s="58">
        <f t="shared" si="18"/>
        <v>0</v>
      </c>
      <c r="L76" s="58">
        <f t="shared" si="18"/>
        <v>0</v>
      </c>
      <c r="M76" s="58">
        <f t="shared" si="18"/>
        <v>0</v>
      </c>
      <c r="N76" s="58">
        <f t="shared" si="18"/>
        <v>0</v>
      </c>
      <c r="O76" s="58">
        <f t="shared" si="18"/>
        <v>0</v>
      </c>
      <c r="P76" s="58">
        <f t="shared" si="18"/>
        <v>0</v>
      </c>
      <c r="Q76" s="58">
        <f t="shared" si="18"/>
        <v>0</v>
      </c>
      <c r="R76" s="58">
        <f t="shared" si="18"/>
        <v>0</v>
      </c>
      <c r="S76" s="130">
        <f t="shared" si="18"/>
        <v>0</v>
      </c>
    </row>
    <row r="77" spans="1:19" x14ac:dyDescent="0.2">
      <c r="B77" s="57" t="str">
        <f>Instructions!P3</f>
        <v>Pay 2009</v>
      </c>
      <c r="C77" s="57" t="s">
        <v>515</v>
      </c>
      <c r="D77" s="46">
        <f t="shared" si="17"/>
        <v>0</v>
      </c>
      <c r="E77" s="129">
        <f t="shared" ref="E77:S77" si="19">ROUND(IF($F$14=0,0,E$37/$F$14*$F10),2)</f>
        <v>0</v>
      </c>
      <c r="F77" s="58">
        <f t="shared" si="19"/>
        <v>0</v>
      </c>
      <c r="G77" s="58">
        <f t="shared" si="19"/>
        <v>0</v>
      </c>
      <c r="H77" s="58">
        <f t="shared" si="19"/>
        <v>0</v>
      </c>
      <c r="I77" s="58">
        <f t="shared" si="19"/>
        <v>0</v>
      </c>
      <c r="J77" s="58">
        <f t="shared" si="19"/>
        <v>0</v>
      </c>
      <c r="K77" s="58">
        <f t="shared" si="19"/>
        <v>0</v>
      </c>
      <c r="L77" s="58">
        <f t="shared" si="19"/>
        <v>0</v>
      </c>
      <c r="M77" s="58">
        <f t="shared" si="19"/>
        <v>0</v>
      </c>
      <c r="N77" s="58">
        <f t="shared" si="19"/>
        <v>0</v>
      </c>
      <c r="O77" s="58">
        <f t="shared" si="19"/>
        <v>0</v>
      </c>
      <c r="P77" s="58">
        <f t="shared" si="19"/>
        <v>0</v>
      </c>
      <c r="Q77" s="58">
        <f t="shared" si="19"/>
        <v>0</v>
      </c>
      <c r="R77" s="58">
        <f t="shared" si="19"/>
        <v>0</v>
      </c>
      <c r="S77" s="130">
        <f t="shared" si="19"/>
        <v>0</v>
      </c>
    </row>
    <row r="78" spans="1:19" x14ac:dyDescent="0.2">
      <c r="B78" s="57" t="str">
        <f>Instructions!P4</f>
        <v>Pay 2008</v>
      </c>
      <c r="C78" s="57" t="s">
        <v>515</v>
      </c>
      <c r="D78" s="46">
        <f t="shared" si="17"/>
        <v>0</v>
      </c>
      <c r="E78" s="129">
        <f t="shared" ref="E78:S78" si="20">ROUND(IF($G$14=0,0,E$38/$G$14*$G10),2)</f>
        <v>0</v>
      </c>
      <c r="F78" s="58">
        <f t="shared" si="20"/>
        <v>0</v>
      </c>
      <c r="G78" s="58">
        <f t="shared" si="20"/>
        <v>0</v>
      </c>
      <c r="H78" s="58">
        <f t="shared" si="20"/>
        <v>0</v>
      </c>
      <c r="I78" s="58">
        <f t="shared" si="20"/>
        <v>0</v>
      </c>
      <c r="J78" s="58">
        <f t="shared" si="20"/>
        <v>0</v>
      </c>
      <c r="K78" s="58">
        <f t="shared" si="20"/>
        <v>0</v>
      </c>
      <c r="L78" s="58">
        <f t="shared" si="20"/>
        <v>0</v>
      </c>
      <c r="M78" s="58">
        <f t="shared" si="20"/>
        <v>0</v>
      </c>
      <c r="N78" s="58">
        <f t="shared" si="20"/>
        <v>0</v>
      </c>
      <c r="O78" s="58">
        <f t="shared" si="20"/>
        <v>0</v>
      </c>
      <c r="P78" s="58">
        <f t="shared" si="20"/>
        <v>0</v>
      </c>
      <c r="Q78" s="58">
        <f t="shared" si="20"/>
        <v>0</v>
      </c>
      <c r="R78" s="58">
        <f t="shared" si="20"/>
        <v>0</v>
      </c>
      <c r="S78" s="130">
        <f t="shared" si="20"/>
        <v>0</v>
      </c>
    </row>
    <row r="79" spans="1:19" x14ac:dyDescent="0.2">
      <c r="B79" s="57" t="str">
        <f>Instructions!P5</f>
        <v>Pay 2007</v>
      </c>
      <c r="C79" s="57" t="s">
        <v>515</v>
      </c>
      <c r="D79" s="46">
        <f t="shared" si="17"/>
        <v>0</v>
      </c>
      <c r="E79" s="129">
        <f t="shared" ref="E79:S79" si="21">ROUND(IF($H$14=0,0,E$39/$H$14*$H10),2)</f>
        <v>0</v>
      </c>
      <c r="F79" s="58">
        <f t="shared" si="21"/>
        <v>0</v>
      </c>
      <c r="G79" s="58">
        <f t="shared" si="21"/>
        <v>0</v>
      </c>
      <c r="H79" s="58">
        <f t="shared" si="21"/>
        <v>0</v>
      </c>
      <c r="I79" s="58">
        <f t="shared" si="21"/>
        <v>0</v>
      </c>
      <c r="J79" s="58">
        <f t="shared" si="21"/>
        <v>0</v>
      </c>
      <c r="K79" s="58">
        <f t="shared" si="21"/>
        <v>0</v>
      </c>
      <c r="L79" s="58">
        <f t="shared" si="21"/>
        <v>0</v>
      </c>
      <c r="M79" s="58">
        <f t="shared" si="21"/>
        <v>0</v>
      </c>
      <c r="N79" s="58">
        <f t="shared" si="21"/>
        <v>0</v>
      </c>
      <c r="O79" s="58">
        <f t="shared" si="21"/>
        <v>0</v>
      </c>
      <c r="P79" s="58">
        <f t="shared" si="21"/>
        <v>0</v>
      </c>
      <c r="Q79" s="58">
        <f t="shared" si="21"/>
        <v>0</v>
      </c>
      <c r="R79" s="58">
        <f t="shared" si="21"/>
        <v>0</v>
      </c>
      <c r="S79" s="130">
        <f t="shared" si="21"/>
        <v>0</v>
      </c>
    </row>
    <row r="80" spans="1:19" x14ac:dyDescent="0.2">
      <c r="B80" s="57" t="str">
        <f>Instructions!P6</f>
        <v>Pay 2006</v>
      </c>
      <c r="C80" s="57" t="s">
        <v>515</v>
      </c>
      <c r="D80" s="46">
        <f t="shared" si="17"/>
        <v>0</v>
      </c>
      <c r="E80" s="129">
        <f t="shared" ref="E80:S80" si="22">ROUND(IF($I$14=0,0,E$40/$I$14*$I10),2)</f>
        <v>0</v>
      </c>
      <c r="F80" s="58">
        <f t="shared" si="22"/>
        <v>0</v>
      </c>
      <c r="G80" s="58">
        <f t="shared" si="22"/>
        <v>0</v>
      </c>
      <c r="H80" s="58">
        <f t="shared" si="22"/>
        <v>0</v>
      </c>
      <c r="I80" s="58">
        <f t="shared" si="22"/>
        <v>0</v>
      </c>
      <c r="J80" s="58">
        <f t="shared" si="22"/>
        <v>0</v>
      </c>
      <c r="K80" s="58">
        <f t="shared" si="22"/>
        <v>0</v>
      </c>
      <c r="L80" s="58">
        <f t="shared" si="22"/>
        <v>0</v>
      </c>
      <c r="M80" s="58">
        <f t="shared" si="22"/>
        <v>0</v>
      </c>
      <c r="N80" s="58">
        <f t="shared" si="22"/>
        <v>0</v>
      </c>
      <c r="O80" s="58">
        <f t="shared" si="22"/>
        <v>0</v>
      </c>
      <c r="P80" s="58">
        <f t="shared" si="22"/>
        <v>0</v>
      </c>
      <c r="Q80" s="58">
        <f t="shared" si="22"/>
        <v>0</v>
      </c>
      <c r="R80" s="58">
        <f t="shared" si="22"/>
        <v>0</v>
      </c>
      <c r="S80" s="130">
        <f t="shared" si="22"/>
        <v>0</v>
      </c>
    </row>
    <row r="81" spans="1:19" x14ac:dyDescent="0.2">
      <c r="B81" s="57" t="str">
        <f>Instructions!P7</f>
        <v>Pay 2005</v>
      </c>
      <c r="C81" s="57" t="s">
        <v>515</v>
      </c>
      <c r="D81" s="46">
        <f t="shared" si="17"/>
        <v>0</v>
      </c>
      <c r="E81" s="129">
        <f t="shared" ref="E81:S81" si="23">ROUND(IF($J$14=0,0,E$41/$J$14*$J10),2)</f>
        <v>0</v>
      </c>
      <c r="F81" s="58">
        <f t="shared" si="23"/>
        <v>0</v>
      </c>
      <c r="G81" s="58">
        <f t="shared" si="23"/>
        <v>0</v>
      </c>
      <c r="H81" s="58">
        <f t="shared" si="23"/>
        <v>0</v>
      </c>
      <c r="I81" s="58">
        <f t="shared" si="23"/>
        <v>0</v>
      </c>
      <c r="J81" s="58">
        <f t="shared" si="23"/>
        <v>0</v>
      </c>
      <c r="K81" s="58">
        <f t="shared" si="23"/>
        <v>0</v>
      </c>
      <c r="L81" s="58">
        <f t="shared" si="23"/>
        <v>0</v>
      </c>
      <c r="M81" s="58">
        <f t="shared" si="23"/>
        <v>0</v>
      </c>
      <c r="N81" s="58">
        <f t="shared" si="23"/>
        <v>0</v>
      </c>
      <c r="O81" s="58">
        <f t="shared" si="23"/>
        <v>0</v>
      </c>
      <c r="P81" s="58">
        <f t="shared" si="23"/>
        <v>0</v>
      </c>
      <c r="Q81" s="58">
        <f t="shared" si="23"/>
        <v>0</v>
      </c>
      <c r="R81" s="58">
        <f t="shared" si="23"/>
        <v>0</v>
      </c>
      <c r="S81" s="130">
        <f t="shared" si="23"/>
        <v>0</v>
      </c>
    </row>
    <row r="82" spans="1:19" x14ac:dyDescent="0.2">
      <c r="B82" s="57" t="str">
        <f>Instructions!P8</f>
        <v>Pay 2004</v>
      </c>
      <c r="C82" s="57" t="s">
        <v>515</v>
      </c>
      <c r="D82" s="46">
        <f t="shared" si="17"/>
        <v>0</v>
      </c>
      <c r="E82" s="129">
        <f t="shared" ref="E82:S82" si="24">ROUND(IF($K$14=0,0,E$42/$K$14*$K10),2)</f>
        <v>0</v>
      </c>
      <c r="F82" s="58">
        <f t="shared" si="24"/>
        <v>0</v>
      </c>
      <c r="G82" s="58">
        <f t="shared" si="24"/>
        <v>0</v>
      </c>
      <c r="H82" s="58">
        <f t="shared" si="24"/>
        <v>0</v>
      </c>
      <c r="I82" s="58">
        <f t="shared" si="24"/>
        <v>0</v>
      </c>
      <c r="J82" s="58">
        <f t="shared" si="24"/>
        <v>0</v>
      </c>
      <c r="K82" s="58">
        <f t="shared" si="24"/>
        <v>0</v>
      </c>
      <c r="L82" s="58">
        <f t="shared" si="24"/>
        <v>0</v>
      </c>
      <c r="M82" s="58">
        <f t="shared" si="24"/>
        <v>0</v>
      </c>
      <c r="N82" s="58">
        <f t="shared" si="24"/>
        <v>0</v>
      </c>
      <c r="O82" s="58">
        <f t="shared" si="24"/>
        <v>0</v>
      </c>
      <c r="P82" s="58">
        <f t="shared" si="24"/>
        <v>0</v>
      </c>
      <c r="Q82" s="58">
        <f t="shared" si="24"/>
        <v>0</v>
      </c>
      <c r="R82" s="58">
        <f t="shared" si="24"/>
        <v>0</v>
      </c>
      <c r="S82" s="130">
        <f t="shared" si="24"/>
        <v>0</v>
      </c>
    </row>
    <row r="83" spans="1:19" x14ac:dyDescent="0.2">
      <c r="B83" s="57"/>
      <c r="C83" s="57"/>
      <c r="E83" s="129"/>
      <c r="F83" s="58"/>
      <c r="G83" s="58"/>
      <c r="H83" s="58"/>
      <c r="I83" s="58"/>
      <c r="J83" s="58"/>
      <c r="K83" s="58"/>
      <c r="L83" s="58"/>
      <c r="M83" s="58"/>
      <c r="N83" s="58"/>
      <c r="O83" s="58"/>
      <c r="P83" s="58"/>
      <c r="Q83" s="58"/>
      <c r="R83" s="58"/>
      <c r="S83" s="130"/>
    </row>
    <row r="84" spans="1:19" x14ac:dyDescent="0.2">
      <c r="B84" s="57"/>
      <c r="C84" s="57" t="s">
        <v>593</v>
      </c>
      <c r="D84" s="46">
        <f>SUM(D76:D83)</f>
        <v>0</v>
      </c>
      <c r="E84" s="134">
        <f t="shared" ref="E84:S84" si="25">SUM(E76:E83)</f>
        <v>0</v>
      </c>
      <c r="F84" s="63">
        <f t="shared" si="25"/>
        <v>0</v>
      </c>
      <c r="G84" s="63">
        <f t="shared" si="25"/>
        <v>0</v>
      </c>
      <c r="H84" s="63">
        <f t="shared" si="25"/>
        <v>0</v>
      </c>
      <c r="I84" s="63">
        <f t="shared" si="25"/>
        <v>0</v>
      </c>
      <c r="J84" s="63">
        <f t="shared" si="25"/>
        <v>0</v>
      </c>
      <c r="K84" s="63">
        <f t="shared" si="25"/>
        <v>0</v>
      </c>
      <c r="L84" s="63">
        <f t="shared" si="25"/>
        <v>0</v>
      </c>
      <c r="M84" s="63">
        <f t="shared" si="25"/>
        <v>0</v>
      </c>
      <c r="N84" s="63">
        <f t="shared" si="25"/>
        <v>0</v>
      </c>
      <c r="O84" s="63">
        <f t="shared" si="25"/>
        <v>0</v>
      </c>
      <c r="P84" s="63">
        <f t="shared" si="25"/>
        <v>0</v>
      </c>
      <c r="Q84" s="63">
        <f t="shared" si="25"/>
        <v>0</v>
      </c>
      <c r="R84" s="63">
        <f t="shared" si="25"/>
        <v>0</v>
      </c>
      <c r="S84" s="135">
        <f t="shared" si="25"/>
        <v>0</v>
      </c>
    </row>
    <row r="85" spans="1:19" x14ac:dyDescent="0.2">
      <c r="B85" s="57"/>
      <c r="C85" s="57"/>
      <c r="E85" s="129"/>
      <c r="F85" s="58"/>
      <c r="G85" s="58"/>
      <c r="H85" s="58"/>
      <c r="I85" s="58"/>
      <c r="J85" s="58"/>
      <c r="K85" s="58"/>
      <c r="L85" s="58"/>
      <c r="M85" s="58"/>
      <c r="N85" s="58"/>
      <c r="O85" s="58"/>
      <c r="P85" s="58"/>
      <c r="Q85" s="58"/>
      <c r="R85" s="58"/>
      <c r="S85" s="130"/>
    </row>
    <row r="86" spans="1:19" x14ac:dyDescent="0.2">
      <c r="A86" s="64"/>
      <c r="B86" s="57"/>
      <c r="C86" s="57"/>
      <c r="E86" s="129"/>
      <c r="F86" s="58"/>
      <c r="G86" s="58"/>
      <c r="H86" s="58"/>
      <c r="I86" s="58"/>
      <c r="J86" s="58"/>
      <c r="K86" s="58"/>
      <c r="L86" s="58"/>
      <c r="M86" s="58"/>
      <c r="N86" s="58"/>
      <c r="O86" s="58"/>
      <c r="P86" s="58"/>
      <c r="Q86" s="58"/>
      <c r="R86" s="58"/>
      <c r="S86" s="130"/>
    </row>
    <row r="87" spans="1:19" x14ac:dyDescent="0.2">
      <c r="B87" s="57" t="str">
        <f>Instructions!P2</f>
        <v>Pay 2010</v>
      </c>
      <c r="C87" s="57" t="s">
        <v>597</v>
      </c>
      <c r="D87" s="46">
        <f t="shared" ref="D87:D93" si="26">SUM(E87:S87)</f>
        <v>0</v>
      </c>
      <c r="E87" s="129">
        <f t="shared" ref="E87:S87" si="27">ROUND(IF($E$14=0,0,E$36/$E$14*$E11),2)</f>
        <v>0</v>
      </c>
      <c r="F87" s="58">
        <f t="shared" si="27"/>
        <v>0</v>
      </c>
      <c r="G87" s="58">
        <f t="shared" si="27"/>
        <v>0</v>
      </c>
      <c r="H87" s="58">
        <f t="shared" si="27"/>
        <v>0</v>
      </c>
      <c r="I87" s="58">
        <f t="shared" si="27"/>
        <v>0</v>
      </c>
      <c r="J87" s="58">
        <f t="shared" si="27"/>
        <v>0</v>
      </c>
      <c r="K87" s="58">
        <f t="shared" si="27"/>
        <v>0</v>
      </c>
      <c r="L87" s="58">
        <f t="shared" si="27"/>
        <v>0</v>
      </c>
      <c r="M87" s="58">
        <f t="shared" si="27"/>
        <v>0</v>
      </c>
      <c r="N87" s="58">
        <f t="shared" si="27"/>
        <v>0</v>
      </c>
      <c r="O87" s="58">
        <f t="shared" si="27"/>
        <v>0</v>
      </c>
      <c r="P87" s="58">
        <f t="shared" si="27"/>
        <v>0</v>
      </c>
      <c r="Q87" s="58">
        <f t="shared" si="27"/>
        <v>0</v>
      </c>
      <c r="R87" s="58">
        <f t="shared" si="27"/>
        <v>0</v>
      </c>
      <c r="S87" s="130">
        <f t="shared" si="27"/>
        <v>0</v>
      </c>
    </row>
    <row r="88" spans="1:19" x14ac:dyDescent="0.2">
      <c r="B88" s="57" t="str">
        <f>Instructions!P3</f>
        <v>Pay 2009</v>
      </c>
      <c r="C88" s="57" t="s">
        <v>597</v>
      </c>
      <c r="D88" s="46">
        <f t="shared" si="26"/>
        <v>0</v>
      </c>
      <c r="E88" s="129">
        <f t="shared" ref="E88:S88" si="28">ROUND(IF($F$14=0,0,E$37/$F$14*$F11),2)</f>
        <v>0</v>
      </c>
      <c r="F88" s="58">
        <f t="shared" si="28"/>
        <v>0</v>
      </c>
      <c r="G88" s="58">
        <f t="shared" si="28"/>
        <v>0</v>
      </c>
      <c r="H88" s="58">
        <f t="shared" si="28"/>
        <v>0</v>
      </c>
      <c r="I88" s="58">
        <f t="shared" si="28"/>
        <v>0</v>
      </c>
      <c r="J88" s="58">
        <f t="shared" si="28"/>
        <v>0</v>
      </c>
      <c r="K88" s="58">
        <f t="shared" si="28"/>
        <v>0</v>
      </c>
      <c r="L88" s="58">
        <f t="shared" si="28"/>
        <v>0</v>
      </c>
      <c r="M88" s="58">
        <f t="shared" si="28"/>
        <v>0</v>
      </c>
      <c r="N88" s="58">
        <f t="shared" si="28"/>
        <v>0</v>
      </c>
      <c r="O88" s="58">
        <f t="shared" si="28"/>
        <v>0</v>
      </c>
      <c r="P88" s="58">
        <f t="shared" si="28"/>
        <v>0</v>
      </c>
      <c r="Q88" s="58">
        <f t="shared" si="28"/>
        <v>0</v>
      </c>
      <c r="R88" s="58">
        <f t="shared" si="28"/>
        <v>0</v>
      </c>
      <c r="S88" s="130">
        <f t="shared" si="28"/>
        <v>0</v>
      </c>
    </row>
    <row r="89" spans="1:19" x14ac:dyDescent="0.2">
      <c r="B89" s="57" t="str">
        <f>Instructions!P4</f>
        <v>Pay 2008</v>
      </c>
      <c r="C89" s="57" t="s">
        <v>597</v>
      </c>
      <c r="D89" s="46">
        <f t="shared" si="26"/>
        <v>0</v>
      </c>
      <c r="E89" s="129">
        <f t="shared" ref="E89:S89" si="29">ROUND(IF($G$14=0,0,E$38/$G$14*$G11),2)</f>
        <v>0</v>
      </c>
      <c r="F89" s="58">
        <f t="shared" si="29"/>
        <v>0</v>
      </c>
      <c r="G89" s="58">
        <f t="shared" si="29"/>
        <v>0</v>
      </c>
      <c r="H89" s="58">
        <f t="shared" si="29"/>
        <v>0</v>
      </c>
      <c r="I89" s="58">
        <f t="shared" si="29"/>
        <v>0</v>
      </c>
      <c r="J89" s="58">
        <f t="shared" si="29"/>
        <v>0</v>
      </c>
      <c r="K89" s="58">
        <f t="shared" si="29"/>
        <v>0</v>
      </c>
      <c r="L89" s="58">
        <f t="shared" si="29"/>
        <v>0</v>
      </c>
      <c r="M89" s="58">
        <f t="shared" si="29"/>
        <v>0</v>
      </c>
      <c r="N89" s="58">
        <f t="shared" si="29"/>
        <v>0</v>
      </c>
      <c r="O89" s="58">
        <f t="shared" si="29"/>
        <v>0</v>
      </c>
      <c r="P89" s="58">
        <f t="shared" si="29"/>
        <v>0</v>
      </c>
      <c r="Q89" s="58">
        <f t="shared" si="29"/>
        <v>0</v>
      </c>
      <c r="R89" s="58">
        <f t="shared" si="29"/>
        <v>0</v>
      </c>
      <c r="S89" s="130">
        <f t="shared" si="29"/>
        <v>0</v>
      </c>
    </row>
    <row r="90" spans="1:19" x14ac:dyDescent="0.2">
      <c r="B90" s="57" t="str">
        <f>Instructions!P5</f>
        <v>Pay 2007</v>
      </c>
      <c r="C90" s="57" t="s">
        <v>597</v>
      </c>
      <c r="D90" s="46">
        <f t="shared" si="26"/>
        <v>0</v>
      </c>
      <c r="E90" s="129">
        <f t="shared" ref="E90:S90" si="30">ROUND(IF($H$14=0,0,E$39/$H$14*$H11),2)</f>
        <v>0</v>
      </c>
      <c r="F90" s="58">
        <f t="shared" si="30"/>
        <v>0</v>
      </c>
      <c r="G90" s="58">
        <f t="shared" si="30"/>
        <v>0</v>
      </c>
      <c r="H90" s="58">
        <f t="shared" si="30"/>
        <v>0</v>
      </c>
      <c r="I90" s="58">
        <f t="shared" si="30"/>
        <v>0</v>
      </c>
      <c r="J90" s="58">
        <f t="shared" si="30"/>
        <v>0</v>
      </c>
      <c r="K90" s="58">
        <f t="shared" si="30"/>
        <v>0</v>
      </c>
      <c r="L90" s="58">
        <f t="shared" si="30"/>
        <v>0</v>
      </c>
      <c r="M90" s="58">
        <f t="shared" si="30"/>
        <v>0</v>
      </c>
      <c r="N90" s="58">
        <f t="shared" si="30"/>
        <v>0</v>
      </c>
      <c r="O90" s="58">
        <f t="shared" si="30"/>
        <v>0</v>
      </c>
      <c r="P90" s="58">
        <f t="shared" si="30"/>
        <v>0</v>
      </c>
      <c r="Q90" s="58">
        <f t="shared" si="30"/>
        <v>0</v>
      </c>
      <c r="R90" s="58">
        <f t="shared" si="30"/>
        <v>0</v>
      </c>
      <c r="S90" s="130">
        <f t="shared" si="30"/>
        <v>0</v>
      </c>
    </row>
    <row r="91" spans="1:19" x14ac:dyDescent="0.2">
      <c r="B91" s="57" t="str">
        <f>Instructions!P6</f>
        <v>Pay 2006</v>
      </c>
      <c r="C91" s="57" t="s">
        <v>597</v>
      </c>
      <c r="D91" s="46">
        <f t="shared" si="26"/>
        <v>0</v>
      </c>
      <c r="E91" s="129">
        <f t="shared" ref="E91:S91" si="31">ROUND(IF($I$14=0,0,E$40/$I$14*$I11),2)</f>
        <v>0</v>
      </c>
      <c r="F91" s="58">
        <f t="shared" si="31"/>
        <v>0</v>
      </c>
      <c r="G91" s="58">
        <f t="shared" si="31"/>
        <v>0</v>
      </c>
      <c r="H91" s="58">
        <f t="shared" si="31"/>
        <v>0</v>
      </c>
      <c r="I91" s="58">
        <f t="shared" si="31"/>
        <v>0</v>
      </c>
      <c r="J91" s="58">
        <f t="shared" si="31"/>
        <v>0</v>
      </c>
      <c r="K91" s="58">
        <f t="shared" si="31"/>
        <v>0</v>
      </c>
      <c r="L91" s="58">
        <f t="shared" si="31"/>
        <v>0</v>
      </c>
      <c r="M91" s="58">
        <f t="shared" si="31"/>
        <v>0</v>
      </c>
      <c r="N91" s="58">
        <f t="shared" si="31"/>
        <v>0</v>
      </c>
      <c r="O91" s="58">
        <f t="shared" si="31"/>
        <v>0</v>
      </c>
      <c r="P91" s="58">
        <f t="shared" si="31"/>
        <v>0</v>
      </c>
      <c r="Q91" s="58">
        <f t="shared" si="31"/>
        <v>0</v>
      </c>
      <c r="R91" s="58">
        <f t="shared" si="31"/>
        <v>0</v>
      </c>
      <c r="S91" s="130">
        <f t="shared" si="31"/>
        <v>0</v>
      </c>
    </row>
    <row r="92" spans="1:19" x14ac:dyDescent="0.2">
      <c r="B92" s="57" t="str">
        <f>Instructions!P7</f>
        <v>Pay 2005</v>
      </c>
      <c r="C92" s="57" t="s">
        <v>597</v>
      </c>
      <c r="D92" s="46">
        <f t="shared" si="26"/>
        <v>0</v>
      </c>
      <c r="E92" s="129">
        <f t="shared" ref="E92:S92" si="32">ROUND(IF($J$14=0,0,E$41/$J$14*$J11),2)</f>
        <v>0</v>
      </c>
      <c r="F92" s="58">
        <f t="shared" si="32"/>
        <v>0</v>
      </c>
      <c r="G92" s="58">
        <f t="shared" si="32"/>
        <v>0</v>
      </c>
      <c r="H92" s="58">
        <f t="shared" si="32"/>
        <v>0</v>
      </c>
      <c r="I92" s="58">
        <f t="shared" si="32"/>
        <v>0</v>
      </c>
      <c r="J92" s="58">
        <f t="shared" si="32"/>
        <v>0</v>
      </c>
      <c r="K92" s="58">
        <f t="shared" si="32"/>
        <v>0</v>
      </c>
      <c r="L92" s="58">
        <f t="shared" si="32"/>
        <v>0</v>
      </c>
      <c r="M92" s="58">
        <f t="shared" si="32"/>
        <v>0</v>
      </c>
      <c r="N92" s="58">
        <f t="shared" si="32"/>
        <v>0</v>
      </c>
      <c r="O92" s="58">
        <f t="shared" si="32"/>
        <v>0</v>
      </c>
      <c r="P92" s="58">
        <f t="shared" si="32"/>
        <v>0</v>
      </c>
      <c r="Q92" s="58">
        <f t="shared" si="32"/>
        <v>0</v>
      </c>
      <c r="R92" s="58">
        <f t="shared" si="32"/>
        <v>0</v>
      </c>
      <c r="S92" s="130">
        <f t="shared" si="32"/>
        <v>0</v>
      </c>
    </row>
    <row r="93" spans="1:19" x14ac:dyDescent="0.2">
      <c r="B93" s="57" t="str">
        <f>Instructions!P8</f>
        <v>Pay 2004</v>
      </c>
      <c r="C93" s="57" t="s">
        <v>597</v>
      </c>
      <c r="D93" s="46">
        <f t="shared" si="26"/>
        <v>0</v>
      </c>
      <c r="E93" s="129">
        <f t="shared" ref="E93:S93" si="33">ROUND(IF($K$14=0,0,E$42/$K$14*$K11),2)</f>
        <v>0</v>
      </c>
      <c r="F93" s="58">
        <f t="shared" si="33"/>
        <v>0</v>
      </c>
      <c r="G93" s="58">
        <f t="shared" si="33"/>
        <v>0</v>
      </c>
      <c r="H93" s="58">
        <f t="shared" si="33"/>
        <v>0</v>
      </c>
      <c r="I93" s="58">
        <f t="shared" si="33"/>
        <v>0</v>
      </c>
      <c r="J93" s="58">
        <f t="shared" si="33"/>
        <v>0</v>
      </c>
      <c r="K93" s="58">
        <f t="shared" si="33"/>
        <v>0</v>
      </c>
      <c r="L93" s="58">
        <f t="shared" si="33"/>
        <v>0</v>
      </c>
      <c r="M93" s="58">
        <f t="shared" si="33"/>
        <v>0</v>
      </c>
      <c r="N93" s="58">
        <f t="shared" si="33"/>
        <v>0</v>
      </c>
      <c r="O93" s="58">
        <f t="shared" si="33"/>
        <v>0</v>
      </c>
      <c r="P93" s="58">
        <f t="shared" si="33"/>
        <v>0</v>
      </c>
      <c r="Q93" s="58">
        <f t="shared" si="33"/>
        <v>0</v>
      </c>
      <c r="R93" s="58">
        <f t="shared" si="33"/>
        <v>0</v>
      </c>
      <c r="S93" s="130">
        <f t="shared" si="33"/>
        <v>0</v>
      </c>
    </row>
    <row r="94" spans="1:19" x14ac:dyDescent="0.2">
      <c r="E94" s="129"/>
      <c r="F94" s="58"/>
      <c r="G94" s="58"/>
      <c r="H94" s="58"/>
      <c r="I94" s="58"/>
      <c r="J94" s="58"/>
      <c r="K94" s="58"/>
      <c r="L94" s="58"/>
      <c r="M94" s="58"/>
      <c r="N94" s="58"/>
      <c r="O94" s="58"/>
      <c r="P94" s="58"/>
      <c r="Q94" s="58"/>
      <c r="R94" s="58"/>
      <c r="S94" s="130"/>
    </row>
    <row r="95" spans="1:19" x14ac:dyDescent="0.2">
      <c r="C95" s="62" t="s">
        <v>593</v>
      </c>
      <c r="D95" s="47">
        <f>SUM(D87:D94)</f>
        <v>0</v>
      </c>
      <c r="E95" s="129">
        <f t="shared" ref="E95:S95" si="34">SUM(E87:E94)</f>
        <v>0</v>
      </c>
      <c r="F95" s="58">
        <f t="shared" si="34"/>
        <v>0</v>
      </c>
      <c r="G95" s="58">
        <f t="shared" si="34"/>
        <v>0</v>
      </c>
      <c r="H95" s="58">
        <f t="shared" si="34"/>
        <v>0</v>
      </c>
      <c r="I95" s="58">
        <f t="shared" si="34"/>
        <v>0</v>
      </c>
      <c r="J95" s="58">
        <f t="shared" si="34"/>
        <v>0</v>
      </c>
      <c r="K95" s="58">
        <f t="shared" si="34"/>
        <v>0</v>
      </c>
      <c r="L95" s="58">
        <f t="shared" si="34"/>
        <v>0</v>
      </c>
      <c r="M95" s="58">
        <f t="shared" si="34"/>
        <v>0</v>
      </c>
      <c r="N95" s="58">
        <f t="shared" si="34"/>
        <v>0</v>
      </c>
      <c r="O95" s="58">
        <f t="shared" si="34"/>
        <v>0</v>
      </c>
      <c r="P95" s="58">
        <f t="shared" si="34"/>
        <v>0</v>
      </c>
      <c r="Q95" s="58">
        <f t="shared" si="34"/>
        <v>0</v>
      </c>
      <c r="R95" s="58">
        <f t="shared" si="34"/>
        <v>0</v>
      </c>
      <c r="S95" s="130">
        <f t="shared" si="34"/>
        <v>0</v>
      </c>
    </row>
    <row r="96" spans="1:19" x14ac:dyDescent="0.2">
      <c r="B96" s="62"/>
      <c r="D96" s="47"/>
      <c r="E96" s="129"/>
      <c r="F96" s="58"/>
      <c r="G96" s="58"/>
      <c r="H96" s="58"/>
      <c r="I96" s="58"/>
      <c r="J96" s="58"/>
      <c r="K96" s="58"/>
      <c r="L96" s="58"/>
      <c r="M96" s="58"/>
      <c r="N96" s="58"/>
      <c r="O96" s="58"/>
      <c r="P96" s="58"/>
      <c r="Q96" s="58"/>
      <c r="R96" s="58"/>
      <c r="S96" s="130"/>
    </row>
    <row r="97" spans="1:19" x14ac:dyDescent="0.2">
      <c r="B97" s="62"/>
      <c r="D97" s="47"/>
      <c r="E97" s="129"/>
      <c r="F97" s="58"/>
      <c r="G97" s="58"/>
      <c r="H97" s="58"/>
      <c r="I97" s="58"/>
      <c r="J97" s="58"/>
      <c r="K97" s="58"/>
      <c r="L97" s="58"/>
      <c r="M97" s="58"/>
      <c r="N97" s="58"/>
      <c r="O97" s="58"/>
      <c r="P97" s="58"/>
      <c r="Q97" s="58"/>
      <c r="R97" s="58"/>
      <c r="S97" s="130"/>
    </row>
    <row r="98" spans="1:19" x14ac:dyDescent="0.2">
      <c r="B98" s="57" t="str">
        <f>Instructions!P2</f>
        <v>Pay 2010</v>
      </c>
      <c r="C98" s="57" t="s">
        <v>4</v>
      </c>
      <c r="D98" s="46">
        <f t="shared" ref="D98:D104" si="35">SUM(E98:S98)</f>
        <v>0</v>
      </c>
      <c r="E98" s="129">
        <f>ROUND(IF($E$14=0,0,E$36/$E$14*$E12),2)</f>
        <v>0</v>
      </c>
      <c r="F98" s="58">
        <f t="shared" ref="F98:S98" si="36">ROUND(IF($E$14=0,0,F$36/$E$14*$E12),2)</f>
        <v>0</v>
      </c>
      <c r="G98" s="58">
        <f t="shared" si="36"/>
        <v>0</v>
      </c>
      <c r="H98" s="58">
        <f t="shared" si="36"/>
        <v>0</v>
      </c>
      <c r="I98" s="58">
        <f t="shared" si="36"/>
        <v>0</v>
      </c>
      <c r="J98" s="58">
        <f t="shared" si="36"/>
        <v>0</v>
      </c>
      <c r="K98" s="58">
        <f t="shared" si="36"/>
        <v>0</v>
      </c>
      <c r="L98" s="58">
        <f t="shared" si="36"/>
        <v>0</v>
      </c>
      <c r="M98" s="58">
        <f t="shared" si="36"/>
        <v>0</v>
      </c>
      <c r="N98" s="58">
        <f t="shared" si="36"/>
        <v>0</v>
      </c>
      <c r="O98" s="58">
        <f t="shared" si="36"/>
        <v>0</v>
      </c>
      <c r="P98" s="58">
        <f t="shared" si="36"/>
        <v>0</v>
      </c>
      <c r="Q98" s="58">
        <f t="shared" si="36"/>
        <v>0</v>
      </c>
      <c r="R98" s="58">
        <f t="shared" si="36"/>
        <v>0</v>
      </c>
      <c r="S98" s="130">
        <f t="shared" si="36"/>
        <v>0</v>
      </c>
    </row>
    <row r="99" spans="1:19" x14ac:dyDescent="0.2">
      <c r="B99" s="57" t="str">
        <f>Instructions!P3</f>
        <v>Pay 2009</v>
      </c>
      <c r="C99" s="57" t="s">
        <v>4</v>
      </c>
      <c r="D99" s="46">
        <f t="shared" si="35"/>
        <v>0</v>
      </c>
      <c r="E99" s="129">
        <f>ROUND(IF($F$14=0,0,E$37/$F$14*$F12),2)</f>
        <v>0</v>
      </c>
      <c r="F99" s="58">
        <f t="shared" ref="F99:S99" si="37">ROUND(IF($F$14=0,0,F$37/$F$14*$F12),2)</f>
        <v>0</v>
      </c>
      <c r="G99" s="58">
        <f t="shared" si="37"/>
        <v>0</v>
      </c>
      <c r="H99" s="58">
        <f t="shared" si="37"/>
        <v>0</v>
      </c>
      <c r="I99" s="58">
        <f t="shared" si="37"/>
        <v>0</v>
      </c>
      <c r="J99" s="58">
        <f t="shared" si="37"/>
        <v>0</v>
      </c>
      <c r="K99" s="58">
        <f t="shared" si="37"/>
        <v>0</v>
      </c>
      <c r="L99" s="58">
        <f t="shared" si="37"/>
        <v>0</v>
      </c>
      <c r="M99" s="58">
        <f t="shared" si="37"/>
        <v>0</v>
      </c>
      <c r="N99" s="58">
        <f t="shared" si="37"/>
        <v>0</v>
      </c>
      <c r="O99" s="58">
        <f t="shared" si="37"/>
        <v>0</v>
      </c>
      <c r="P99" s="58">
        <f t="shared" si="37"/>
        <v>0</v>
      </c>
      <c r="Q99" s="58">
        <f t="shared" si="37"/>
        <v>0</v>
      </c>
      <c r="R99" s="58">
        <f t="shared" si="37"/>
        <v>0</v>
      </c>
      <c r="S99" s="130">
        <f t="shared" si="37"/>
        <v>0</v>
      </c>
    </row>
    <row r="100" spans="1:19" x14ac:dyDescent="0.2">
      <c r="B100" s="57" t="str">
        <f>Instructions!P4</f>
        <v>Pay 2008</v>
      </c>
      <c r="C100" s="57" t="s">
        <v>4</v>
      </c>
      <c r="D100" s="46">
        <f t="shared" si="35"/>
        <v>0</v>
      </c>
      <c r="E100" s="129">
        <f>ROUND(IF($G$14=0,0,E$38/$G$14*$G12),2)</f>
        <v>0</v>
      </c>
      <c r="F100" s="58">
        <f t="shared" ref="F100:S100" si="38">ROUND(IF($G$14=0,0,F$38/$G$14*$G12),2)</f>
        <v>0</v>
      </c>
      <c r="G100" s="58">
        <f t="shared" si="38"/>
        <v>0</v>
      </c>
      <c r="H100" s="58">
        <f t="shared" si="38"/>
        <v>0</v>
      </c>
      <c r="I100" s="58">
        <f t="shared" si="38"/>
        <v>0</v>
      </c>
      <c r="J100" s="58">
        <f t="shared" si="38"/>
        <v>0</v>
      </c>
      <c r="K100" s="58">
        <f t="shared" si="38"/>
        <v>0</v>
      </c>
      <c r="L100" s="58">
        <f t="shared" si="38"/>
        <v>0</v>
      </c>
      <c r="M100" s="58">
        <f t="shared" si="38"/>
        <v>0</v>
      </c>
      <c r="N100" s="58">
        <f t="shared" si="38"/>
        <v>0</v>
      </c>
      <c r="O100" s="58">
        <f t="shared" si="38"/>
        <v>0</v>
      </c>
      <c r="P100" s="58">
        <f t="shared" si="38"/>
        <v>0</v>
      </c>
      <c r="Q100" s="58">
        <f t="shared" si="38"/>
        <v>0</v>
      </c>
      <c r="R100" s="58">
        <f t="shared" si="38"/>
        <v>0</v>
      </c>
      <c r="S100" s="130">
        <f t="shared" si="38"/>
        <v>0</v>
      </c>
    </row>
    <row r="101" spans="1:19" x14ac:dyDescent="0.2">
      <c r="B101" s="57" t="str">
        <f>Instructions!P5</f>
        <v>Pay 2007</v>
      </c>
      <c r="C101" s="57" t="s">
        <v>4</v>
      </c>
      <c r="D101" s="46">
        <f t="shared" si="35"/>
        <v>0</v>
      </c>
      <c r="E101" s="129">
        <f>ROUND(IF($H$14=0,0,E$39/$H$14*$H12),2)</f>
        <v>0</v>
      </c>
      <c r="F101" s="58">
        <f t="shared" ref="F101:S101" si="39">ROUND(IF($H$14=0,0,F$39/$H$14*$H12),2)</f>
        <v>0</v>
      </c>
      <c r="G101" s="58">
        <f t="shared" si="39"/>
        <v>0</v>
      </c>
      <c r="H101" s="58">
        <f t="shared" si="39"/>
        <v>0</v>
      </c>
      <c r="I101" s="58">
        <f t="shared" si="39"/>
        <v>0</v>
      </c>
      <c r="J101" s="58">
        <f t="shared" si="39"/>
        <v>0</v>
      </c>
      <c r="K101" s="58">
        <f t="shared" si="39"/>
        <v>0</v>
      </c>
      <c r="L101" s="58">
        <f t="shared" si="39"/>
        <v>0</v>
      </c>
      <c r="M101" s="58">
        <f t="shared" si="39"/>
        <v>0</v>
      </c>
      <c r="N101" s="58">
        <f t="shared" si="39"/>
        <v>0</v>
      </c>
      <c r="O101" s="58">
        <f t="shared" si="39"/>
        <v>0</v>
      </c>
      <c r="P101" s="58">
        <f t="shared" si="39"/>
        <v>0</v>
      </c>
      <c r="Q101" s="58">
        <f t="shared" si="39"/>
        <v>0</v>
      </c>
      <c r="R101" s="58">
        <f t="shared" si="39"/>
        <v>0</v>
      </c>
      <c r="S101" s="130">
        <f t="shared" si="39"/>
        <v>0</v>
      </c>
    </row>
    <row r="102" spans="1:19" x14ac:dyDescent="0.2">
      <c r="B102" s="57" t="str">
        <f>Instructions!P6</f>
        <v>Pay 2006</v>
      </c>
      <c r="C102" s="57" t="s">
        <v>4</v>
      </c>
      <c r="D102" s="46">
        <f t="shared" si="35"/>
        <v>0</v>
      </c>
      <c r="E102" s="129">
        <f>ROUND(IF($I$14=0,0,E$40/$I$14*$I12),2)</f>
        <v>0</v>
      </c>
      <c r="F102" s="58">
        <f t="shared" ref="F102:S102" si="40">ROUND(IF($I$14=0,0,F$40/$I$14*$I12),2)</f>
        <v>0</v>
      </c>
      <c r="G102" s="58">
        <f t="shared" si="40"/>
        <v>0</v>
      </c>
      <c r="H102" s="58">
        <f t="shared" si="40"/>
        <v>0</v>
      </c>
      <c r="I102" s="58">
        <f t="shared" si="40"/>
        <v>0</v>
      </c>
      <c r="J102" s="58">
        <f t="shared" si="40"/>
        <v>0</v>
      </c>
      <c r="K102" s="58">
        <f t="shared" si="40"/>
        <v>0</v>
      </c>
      <c r="L102" s="58">
        <f t="shared" si="40"/>
        <v>0</v>
      </c>
      <c r="M102" s="58">
        <f t="shared" si="40"/>
        <v>0</v>
      </c>
      <c r="N102" s="58">
        <f t="shared" si="40"/>
        <v>0</v>
      </c>
      <c r="O102" s="58">
        <f t="shared" si="40"/>
        <v>0</v>
      </c>
      <c r="P102" s="58">
        <f t="shared" si="40"/>
        <v>0</v>
      </c>
      <c r="Q102" s="58">
        <f t="shared" si="40"/>
        <v>0</v>
      </c>
      <c r="R102" s="58">
        <f t="shared" si="40"/>
        <v>0</v>
      </c>
      <c r="S102" s="130">
        <f t="shared" si="40"/>
        <v>0</v>
      </c>
    </row>
    <row r="103" spans="1:19" x14ac:dyDescent="0.2">
      <c r="B103" s="57" t="str">
        <f>Instructions!P7</f>
        <v>Pay 2005</v>
      </c>
      <c r="C103" s="57" t="s">
        <v>4</v>
      </c>
      <c r="D103" s="46">
        <f t="shared" si="35"/>
        <v>0</v>
      </c>
      <c r="E103" s="129">
        <f>ROUND(IF($J$14=0,0,E$41/$J$14*$J12),2)</f>
        <v>0</v>
      </c>
      <c r="F103" s="58">
        <f t="shared" ref="F103:S103" si="41">ROUND(IF($J$14=0,0,F$41/$J$14*$J12),2)</f>
        <v>0</v>
      </c>
      <c r="G103" s="58">
        <f t="shared" si="41"/>
        <v>0</v>
      </c>
      <c r="H103" s="58">
        <f t="shared" si="41"/>
        <v>0</v>
      </c>
      <c r="I103" s="58">
        <f t="shared" si="41"/>
        <v>0</v>
      </c>
      <c r="J103" s="58">
        <f t="shared" si="41"/>
        <v>0</v>
      </c>
      <c r="K103" s="58">
        <f t="shared" si="41"/>
        <v>0</v>
      </c>
      <c r="L103" s="58">
        <f t="shared" si="41"/>
        <v>0</v>
      </c>
      <c r="M103" s="58">
        <f t="shared" si="41"/>
        <v>0</v>
      </c>
      <c r="N103" s="58">
        <f t="shared" si="41"/>
        <v>0</v>
      </c>
      <c r="O103" s="58">
        <f t="shared" si="41"/>
        <v>0</v>
      </c>
      <c r="P103" s="58">
        <f t="shared" si="41"/>
        <v>0</v>
      </c>
      <c r="Q103" s="58">
        <f t="shared" si="41"/>
        <v>0</v>
      </c>
      <c r="R103" s="58">
        <f t="shared" si="41"/>
        <v>0</v>
      </c>
      <c r="S103" s="130">
        <f t="shared" si="41"/>
        <v>0</v>
      </c>
    </row>
    <row r="104" spans="1:19" x14ac:dyDescent="0.2">
      <c r="B104" s="57" t="str">
        <f>Instructions!P8</f>
        <v>Pay 2004</v>
      </c>
      <c r="C104" s="57" t="s">
        <v>4</v>
      </c>
      <c r="D104" s="46">
        <f t="shared" si="35"/>
        <v>0</v>
      </c>
      <c r="E104" s="129">
        <f>ROUND(IF($K$14=0,0,E$42/$K$14*$K12),2)</f>
        <v>0</v>
      </c>
      <c r="F104" s="58">
        <f t="shared" ref="F104:S104" si="42">ROUND(IF($K$14=0,0,F$42/$K$14*$K12),2)</f>
        <v>0</v>
      </c>
      <c r="G104" s="58">
        <f t="shared" si="42"/>
        <v>0</v>
      </c>
      <c r="H104" s="58">
        <f t="shared" si="42"/>
        <v>0</v>
      </c>
      <c r="I104" s="58">
        <f t="shared" si="42"/>
        <v>0</v>
      </c>
      <c r="J104" s="58">
        <f t="shared" si="42"/>
        <v>0</v>
      </c>
      <c r="K104" s="58">
        <f t="shared" si="42"/>
        <v>0</v>
      </c>
      <c r="L104" s="58">
        <f t="shared" si="42"/>
        <v>0</v>
      </c>
      <c r="M104" s="58">
        <f t="shared" si="42"/>
        <v>0</v>
      </c>
      <c r="N104" s="58">
        <f t="shared" si="42"/>
        <v>0</v>
      </c>
      <c r="O104" s="58">
        <f t="shared" si="42"/>
        <v>0</v>
      </c>
      <c r="P104" s="58">
        <f t="shared" si="42"/>
        <v>0</v>
      </c>
      <c r="Q104" s="58">
        <f t="shared" si="42"/>
        <v>0</v>
      </c>
      <c r="R104" s="58">
        <f t="shared" si="42"/>
        <v>0</v>
      </c>
      <c r="S104" s="130">
        <f t="shared" si="42"/>
        <v>0</v>
      </c>
    </row>
    <row r="105" spans="1:19" x14ac:dyDescent="0.2">
      <c r="B105" s="62"/>
      <c r="D105" s="47"/>
      <c r="E105" s="129"/>
      <c r="F105" s="58"/>
      <c r="G105" s="58"/>
      <c r="H105" s="58"/>
      <c r="I105" s="58"/>
      <c r="J105" s="58"/>
      <c r="K105" s="58"/>
      <c r="L105" s="58"/>
      <c r="M105" s="58"/>
      <c r="N105" s="58"/>
      <c r="O105" s="58"/>
      <c r="P105" s="58"/>
      <c r="Q105" s="58"/>
      <c r="R105" s="58"/>
      <c r="S105" s="130"/>
    </row>
    <row r="106" spans="1:19" x14ac:dyDescent="0.2">
      <c r="B106" s="62"/>
      <c r="C106" s="62" t="s">
        <v>593</v>
      </c>
      <c r="D106" s="47">
        <f t="shared" ref="D106:S106" si="43">SUM(D98:D105)</f>
        <v>0</v>
      </c>
      <c r="E106" s="129">
        <f t="shared" si="43"/>
        <v>0</v>
      </c>
      <c r="F106" s="58">
        <f t="shared" si="43"/>
        <v>0</v>
      </c>
      <c r="G106" s="58">
        <f t="shared" si="43"/>
        <v>0</v>
      </c>
      <c r="H106" s="58">
        <f t="shared" si="43"/>
        <v>0</v>
      </c>
      <c r="I106" s="58">
        <f t="shared" si="43"/>
        <v>0</v>
      </c>
      <c r="J106" s="58">
        <f t="shared" si="43"/>
        <v>0</v>
      </c>
      <c r="K106" s="58">
        <f t="shared" si="43"/>
        <v>0</v>
      </c>
      <c r="L106" s="58">
        <f t="shared" si="43"/>
        <v>0</v>
      </c>
      <c r="M106" s="58">
        <f t="shared" si="43"/>
        <v>0</v>
      </c>
      <c r="N106" s="58">
        <f t="shared" si="43"/>
        <v>0</v>
      </c>
      <c r="O106" s="58">
        <f t="shared" si="43"/>
        <v>0</v>
      </c>
      <c r="P106" s="58">
        <f t="shared" si="43"/>
        <v>0</v>
      </c>
      <c r="Q106" s="58">
        <f t="shared" si="43"/>
        <v>0</v>
      </c>
      <c r="R106" s="58">
        <f t="shared" si="43"/>
        <v>0</v>
      </c>
      <c r="S106" s="130">
        <f t="shared" si="43"/>
        <v>0</v>
      </c>
    </row>
    <row r="107" spans="1:19" x14ac:dyDescent="0.2">
      <c r="B107" s="62"/>
      <c r="D107" s="47"/>
      <c r="E107" s="129"/>
      <c r="F107" s="58"/>
      <c r="G107" s="58"/>
      <c r="H107" s="58"/>
      <c r="I107" s="58"/>
      <c r="J107" s="58"/>
      <c r="K107" s="58"/>
      <c r="L107" s="58"/>
      <c r="M107" s="58"/>
      <c r="N107" s="58"/>
      <c r="O107" s="58"/>
      <c r="P107" s="58"/>
      <c r="Q107" s="58"/>
      <c r="R107" s="58"/>
      <c r="S107" s="130"/>
    </row>
    <row r="108" spans="1:19" x14ac:dyDescent="0.2">
      <c r="E108" s="129"/>
      <c r="F108" s="59"/>
      <c r="G108" s="59"/>
      <c r="H108" s="59"/>
      <c r="I108" s="59"/>
      <c r="J108" s="59"/>
      <c r="K108" s="59"/>
      <c r="L108" s="59"/>
      <c r="M108" s="59"/>
      <c r="N108" s="59"/>
      <c r="O108" s="59"/>
      <c r="P108" s="59"/>
      <c r="Q108" s="59"/>
      <c r="R108" s="59"/>
      <c r="S108" s="131"/>
    </row>
    <row r="109" spans="1:19" x14ac:dyDescent="0.2">
      <c r="A109" s="43" t="s">
        <v>603</v>
      </c>
      <c r="B109" s="62"/>
      <c r="C109" s="62"/>
      <c r="E109" s="129"/>
      <c r="F109" s="59"/>
      <c r="G109" s="59"/>
      <c r="H109" s="59"/>
      <c r="I109" s="59"/>
      <c r="J109" s="59"/>
      <c r="K109" s="59"/>
      <c r="L109" s="59"/>
      <c r="M109" s="59"/>
      <c r="N109" s="59"/>
      <c r="O109" s="59"/>
      <c r="P109" s="59"/>
      <c r="Q109" s="59"/>
      <c r="R109" s="59"/>
      <c r="S109" s="131"/>
    </row>
    <row r="110" spans="1:19" x14ac:dyDescent="0.2">
      <c r="B110" s="57" t="str">
        <f>Instructions!P1</f>
        <v>Pay 2011</v>
      </c>
      <c r="C110" s="57" t="s">
        <v>514</v>
      </c>
      <c r="D110" s="46">
        <f>SUM(E110:S110)</f>
        <v>0</v>
      </c>
      <c r="E110" s="129">
        <f t="shared" ref="E110:S110" si="44">ROUND(IF($D$14=0,0,E$43/$D$14*$D9),2)</f>
        <v>0</v>
      </c>
      <c r="F110" s="58">
        <f t="shared" si="44"/>
        <v>0</v>
      </c>
      <c r="G110" s="58">
        <f t="shared" si="44"/>
        <v>0</v>
      </c>
      <c r="H110" s="58">
        <f t="shared" si="44"/>
        <v>0</v>
      </c>
      <c r="I110" s="58">
        <f t="shared" si="44"/>
        <v>0</v>
      </c>
      <c r="J110" s="58">
        <f t="shared" si="44"/>
        <v>0</v>
      </c>
      <c r="K110" s="58">
        <f t="shared" si="44"/>
        <v>0</v>
      </c>
      <c r="L110" s="58">
        <f t="shared" si="44"/>
        <v>0</v>
      </c>
      <c r="M110" s="58">
        <f t="shared" si="44"/>
        <v>0</v>
      </c>
      <c r="N110" s="58">
        <f t="shared" si="44"/>
        <v>0</v>
      </c>
      <c r="O110" s="58">
        <f t="shared" si="44"/>
        <v>0</v>
      </c>
      <c r="P110" s="58">
        <f t="shared" si="44"/>
        <v>0</v>
      </c>
      <c r="Q110" s="58">
        <f t="shared" si="44"/>
        <v>0</v>
      </c>
      <c r="R110" s="58">
        <f t="shared" si="44"/>
        <v>0</v>
      </c>
      <c r="S110" s="130">
        <f t="shared" si="44"/>
        <v>0</v>
      </c>
    </row>
    <row r="111" spans="1:19" x14ac:dyDescent="0.2">
      <c r="A111" s="64"/>
      <c r="B111" s="57" t="str">
        <f>Instructions!P1</f>
        <v>Pay 2011</v>
      </c>
      <c r="C111" s="57" t="s">
        <v>515</v>
      </c>
      <c r="D111" s="46">
        <f>SUM(E111:S111)</f>
        <v>0</v>
      </c>
      <c r="E111" s="129">
        <f t="shared" ref="E111:S111" si="45">ROUND(IF($D$14=0,0,E$43/$D$14*$D10),2)</f>
        <v>0</v>
      </c>
      <c r="F111" s="58">
        <f t="shared" si="45"/>
        <v>0</v>
      </c>
      <c r="G111" s="58">
        <f t="shared" si="45"/>
        <v>0</v>
      </c>
      <c r="H111" s="58">
        <f t="shared" si="45"/>
        <v>0</v>
      </c>
      <c r="I111" s="58">
        <f t="shared" si="45"/>
        <v>0</v>
      </c>
      <c r="J111" s="58">
        <f t="shared" si="45"/>
        <v>0</v>
      </c>
      <c r="K111" s="58">
        <f t="shared" si="45"/>
        <v>0</v>
      </c>
      <c r="L111" s="58">
        <f t="shared" si="45"/>
        <v>0</v>
      </c>
      <c r="M111" s="58">
        <f t="shared" si="45"/>
        <v>0</v>
      </c>
      <c r="N111" s="58">
        <f t="shared" si="45"/>
        <v>0</v>
      </c>
      <c r="O111" s="58">
        <f t="shared" si="45"/>
        <v>0</v>
      </c>
      <c r="P111" s="58">
        <f t="shared" si="45"/>
        <v>0</v>
      </c>
      <c r="Q111" s="58">
        <f t="shared" si="45"/>
        <v>0</v>
      </c>
      <c r="R111" s="58">
        <f t="shared" si="45"/>
        <v>0</v>
      </c>
      <c r="S111" s="130">
        <f t="shared" si="45"/>
        <v>0</v>
      </c>
    </row>
    <row r="112" spans="1:19" x14ac:dyDescent="0.2">
      <c r="B112" s="57" t="str">
        <f>Instructions!P1</f>
        <v>Pay 2011</v>
      </c>
      <c r="C112" s="57" t="s">
        <v>597</v>
      </c>
      <c r="D112" s="46">
        <f>SUM(E112:S112)</f>
        <v>0</v>
      </c>
      <c r="E112" s="129">
        <f t="shared" ref="E112:S112" si="46">ROUND(IF($D$14=0,0,E$43/$D$14*$D11),2)</f>
        <v>0</v>
      </c>
      <c r="F112" s="58">
        <f t="shared" si="46"/>
        <v>0</v>
      </c>
      <c r="G112" s="58">
        <f t="shared" si="46"/>
        <v>0</v>
      </c>
      <c r="H112" s="58">
        <f t="shared" si="46"/>
        <v>0</v>
      </c>
      <c r="I112" s="58">
        <f t="shared" si="46"/>
        <v>0</v>
      </c>
      <c r="J112" s="58">
        <f t="shared" si="46"/>
        <v>0</v>
      </c>
      <c r="K112" s="58">
        <f t="shared" si="46"/>
        <v>0</v>
      </c>
      <c r="L112" s="58">
        <f t="shared" si="46"/>
        <v>0</v>
      </c>
      <c r="M112" s="58">
        <f t="shared" si="46"/>
        <v>0</v>
      </c>
      <c r="N112" s="58">
        <f t="shared" si="46"/>
        <v>0</v>
      </c>
      <c r="O112" s="58">
        <f t="shared" si="46"/>
        <v>0</v>
      </c>
      <c r="P112" s="58">
        <f t="shared" si="46"/>
        <v>0</v>
      </c>
      <c r="Q112" s="58">
        <f t="shared" si="46"/>
        <v>0</v>
      </c>
      <c r="R112" s="58">
        <f t="shared" si="46"/>
        <v>0</v>
      </c>
      <c r="S112" s="130">
        <f t="shared" si="46"/>
        <v>0</v>
      </c>
    </row>
    <row r="113" spans="1:19" x14ac:dyDescent="0.2">
      <c r="B113" s="57" t="str">
        <f>Instructions!P1</f>
        <v>Pay 2011</v>
      </c>
      <c r="C113" s="57" t="s">
        <v>4</v>
      </c>
      <c r="D113" s="46">
        <f>SUM(E113:S113)</f>
        <v>0</v>
      </c>
      <c r="E113" s="129">
        <f t="shared" ref="E113:S113" si="47">ROUND(IF($D$14=0,0,E$43/$D$14*$D12),2)</f>
        <v>0</v>
      </c>
      <c r="F113" s="58">
        <f t="shared" si="47"/>
        <v>0</v>
      </c>
      <c r="G113" s="58">
        <f t="shared" si="47"/>
        <v>0</v>
      </c>
      <c r="H113" s="58">
        <f t="shared" si="47"/>
        <v>0</v>
      </c>
      <c r="I113" s="58">
        <f t="shared" si="47"/>
        <v>0</v>
      </c>
      <c r="J113" s="58">
        <f t="shared" si="47"/>
        <v>0</v>
      </c>
      <c r="K113" s="58">
        <f t="shared" si="47"/>
        <v>0</v>
      </c>
      <c r="L113" s="58">
        <f t="shared" si="47"/>
        <v>0</v>
      </c>
      <c r="M113" s="58">
        <f t="shared" si="47"/>
        <v>0</v>
      </c>
      <c r="N113" s="58">
        <f t="shared" si="47"/>
        <v>0</v>
      </c>
      <c r="O113" s="58">
        <f t="shared" si="47"/>
        <v>0</v>
      </c>
      <c r="P113" s="58">
        <f t="shared" si="47"/>
        <v>0</v>
      </c>
      <c r="Q113" s="58">
        <f t="shared" si="47"/>
        <v>0</v>
      </c>
      <c r="R113" s="58">
        <f t="shared" si="47"/>
        <v>0</v>
      </c>
      <c r="S113" s="130">
        <f t="shared" si="47"/>
        <v>0</v>
      </c>
    </row>
    <row r="114" spans="1:19" x14ac:dyDescent="0.2">
      <c r="E114" s="129"/>
      <c r="F114" s="58"/>
      <c r="G114" s="58"/>
      <c r="H114" s="58"/>
      <c r="I114" s="58"/>
      <c r="J114" s="58"/>
      <c r="K114" s="58"/>
      <c r="L114" s="58"/>
      <c r="M114" s="58"/>
      <c r="N114" s="58"/>
      <c r="O114" s="58"/>
      <c r="P114" s="58"/>
      <c r="Q114" s="58"/>
      <c r="R114" s="58"/>
      <c r="S114" s="130"/>
    </row>
    <row r="115" spans="1:19" x14ac:dyDescent="0.2">
      <c r="C115" s="57" t="s">
        <v>593</v>
      </c>
      <c r="D115" s="47">
        <f t="shared" ref="D115:S115" si="48">SUM(D110:D114)</f>
        <v>0</v>
      </c>
      <c r="E115" s="129">
        <f t="shared" si="48"/>
        <v>0</v>
      </c>
      <c r="F115" s="58">
        <f t="shared" si="48"/>
        <v>0</v>
      </c>
      <c r="G115" s="58">
        <f t="shared" si="48"/>
        <v>0</v>
      </c>
      <c r="H115" s="58">
        <f t="shared" si="48"/>
        <v>0</v>
      </c>
      <c r="I115" s="58">
        <f t="shared" si="48"/>
        <v>0</v>
      </c>
      <c r="J115" s="58">
        <f t="shared" si="48"/>
        <v>0</v>
      </c>
      <c r="K115" s="58">
        <f t="shared" si="48"/>
        <v>0</v>
      </c>
      <c r="L115" s="58">
        <f t="shared" si="48"/>
        <v>0</v>
      </c>
      <c r="M115" s="58">
        <f t="shared" si="48"/>
        <v>0</v>
      </c>
      <c r="N115" s="58">
        <f t="shared" si="48"/>
        <v>0</v>
      </c>
      <c r="O115" s="58">
        <f t="shared" si="48"/>
        <v>0</v>
      </c>
      <c r="P115" s="58">
        <f t="shared" si="48"/>
        <v>0</v>
      </c>
      <c r="Q115" s="58">
        <f t="shared" si="48"/>
        <v>0</v>
      </c>
      <c r="R115" s="58">
        <f t="shared" si="48"/>
        <v>0</v>
      </c>
      <c r="S115" s="130">
        <f t="shared" si="48"/>
        <v>0</v>
      </c>
    </row>
    <row r="116" spans="1:19" x14ac:dyDescent="0.2">
      <c r="E116" s="129"/>
      <c r="F116" s="59"/>
      <c r="G116" s="59"/>
      <c r="H116" s="59"/>
      <c r="I116" s="59"/>
      <c r="J116" s="59"/>
      <c r="K116" s="59"/>
      <c r="L116" s="59"/>
      <c r="M116" s="59"/>
      <c r="N116" s="59"/>
      <c r="O116" s="59"/>
      <c r="P116" s="59"/>
      <c r="Q116" s="59"/>
      <c r="R116" s="59"/>
      <c r="S116" s="131"/>
    </row>
    <row r="117" spans="1:19" x14ac:dyDescent="0.2">
      <c r="E117" s="129"/>
      <c r="F117" s="59"/>
      <c r="G117" s="59"/>
      <c r="H117" s="59"/>
      <c r="I117" s="59"/>
      <c r="J117" s="59"/>
      <c r="K117" s="59"/>
      <c r="L117" s="59"/>
      <c r="M117" s="59"/>
      <c r="N117" s="59"/>
      <c r="O117" s="59"/>
      <c r="P117" s="59"/>
      <c r="Q117" s="59"/>
      <c r="R117" s="59"/>
      <c r="S117" s="131"/>
    </row>
    <row r="118" spans="1:19" x14ac:dyDescent="0.2">
      <c r="A118" s="43" t="s">
        <v>603</v>
      </c>
      <c r="B118" s="62"/>
      <c r="C118" s="62"/>
      <c r="E118" s="129"/>
      <c r="F118" s="59"/>
      <c r="G118" s="59"/>
      <c r="H118" s="59"/>
      <c r="I118" s="59"/>
      <c r="J118" s="59"/>
      <c r="K118" s="59"/>
      <c r="L118" s="59"/>
      <c r="M118" s="59"/>
      <c r="N118" s="59"/>
      <c r="O118" s="59"/>
      <c r="P118" s="59"/>
      <c r="Q118" s="59"/>
      <c r="R118" s="59"/>
      <c r="S118" s="131"/>
    </row>
    <row r="119" spans="1:19" x14ac:dyDescent="0.2">
      <c r="B119" s="57" t="str">
        <f>Instructions!P2</f>
        <v>Pay 2010</v>
      </c>
      <c r="C119" s="57" t="s">
        <v>514</v>
      </c>
      <c r="D119" s="46">
        <f>SUM(E119:S119)</f>
        <v>0</v>
      </c>
      <c r="E119" s="129">
        <f t="shared" ref="E119:S119" si="49">ROUND(IF($E$14=0,0,E$44/$E$14*$E9),2)</f>
        <v>0</v>
      </c>
      <c r="F119" s="58">
        <f t="shared" si="49"/>
        <v>0</v>
      </c>
      <c r="G119" s="58">
        <f t="shared" si="49"/>
        <v>0</v>
      </c>
      <c r="H119" s="58">
        <f t="shared" si="49"/>
        <v>0</v>
      </c>
      <c r="I119" s="58">
        <f t="shared" si="49"/>
        <v>0</v>
      </c>
      <c r="J119" s="58">
        <f t="shared" si="49"/>
        <v>0</v>
      </c>
      <c r="K119" s="58">
        <f t="shared" si="49"/>
        <v>0</v>
      </c>
      <c r="L119" s="58">
        <f t="shared" si="49"/>
        <v>0</v>
      </c>
      <c r="M119" s="58">
        <f t="shared" si="49"/>
        <v>0</v>
      </c>
      <c r="N119" s="58">
        <f t="shared" si="49"/>
        <v>0</v>
      </c>
      <c r="O119" s="58">
        <f t="shared" si="49"/>
        <v>0</v>
      </c>
      <c r="P119" s="58">
        <f t="shared" si="49"/>
        <v>0</v>
      </c>
      <c r="Q119" s="58">
        <f t="shared" si="49"/>
        <v>0</v>
      </c>
      <c r="R119" s="58">
        <f t="shared" si="49"/>
        <v>0</v>
      </c>
      <c r="S119" s="130">
        <f t="shared" si="49"/>
        <v>0</v>
      </c>
    </row>
    <row r="120" spans="1:19" x14ac:dyDescent="0.2">
      <c r="A120" s="64"/>
      <c r="B120" s="57" t="str">
        <f>Instructions!P2</f>
        <v>Pay 2010</v>
      </c>
      <c r="C120" s="57" t="s">
        <v>515</v>
      </c>
      <c r="D120" s="46">
        <f>SUM(E120:S120)</f>
        <v>0</v>
      </c>
      <c r="E120" s="129">
        <f t="shared" ref="E120:S120" si="50">ROUND(IF($E$14=0,0,E$44/$E$14*$E10),2)</f>
        <v>0</v>
      </c>
      <c r="F120" s="58">
        <f t="shared" si="50"/>
        <v>0</v>
      </c>
      <c r="G120" s="58">
        <f t="shared" si="50"/>
        <v>0</v>
      </c>
      <c r="H120" s="58">
        <f t="shared" si="50"/>
        <v>0</v>
      </c>
      <c r="I120" s="58">
        <f t="shared" si="50"/>
        <v>0</v>
      </c>
      <c r="J120" s="58">
        <f t="shared" si="50"/>
        <v>0</v>
      </c>
      <c r="K120" s="58">
        <f t="shared" si="50"/>
        <v>0</v>
      </c>
      <c r="L120" s="58">
        <f t="shared" si="50"/>
        <v>0</v>
      </c>
      <c r="M120" s="58">
        <f t="shared" si="50"/>
        <v>0</v>
      </c>
      <c r="N120" s="58">
        <f t="shared" si="50"/>
        <v>0</v>
      </c>
      <c r="O120" s="58">
        <f t="shared" si="50"/>
        <v>0</v>
      </c>
      <c r="P120" s="58">
        <f t="shared" si="50"/>
        <v>0</v>
      </c>
      <c r="Q120" s="58">
        <f t="shared" si="50"/>
        <v>0</v>
      </c>
      <c r="R120" s="58">
        <f t="shared" si="50"/>
        <v>0</v>
      </c>
      <c r="S120" s="130">
        <f t="shared" si="50"/>
        <v>0</v>
      </c>
    </row>
    <row r="121" spans="1:19" x14ac:dyDescent="0.2">
      <c r="B121" s="57" t="str">
        <f>Instructions!P2</f>
        <v>Pay 2010</v>
      </c>
      <c r="C121" s="57" t="s">
        <v>597</v>
      </c>
      <c r="D121" s="46">
        <f>SUM(E121:S121)</f>
        <v>0</v>
      </c>
      <c r="E121" s="129">
        <f t="shared" ref="E121:S121" si="51">ROUND(IF($E$14=0,0,E$44/$E$14*$E11),2)</f>
        <v>0</v>
      </c>
      <c r="F121" s="58">
        <f t="shared" si="51"/>
        <v>0</v>
      </c>
      <c r="G121" s="58">
        <f t="shared" si="51"/>
        <v>0</v>
      </c>
      <c r="H121" s="58">
        <f t="shared" si="51"/>
        <v>0</v>
      </c>
      <c r="I121" s="58">
        <f t="shared" si="51"/>
        <v>0</v>
      </c>
      <c r="J121" s="58">
        <f t="shared" si="51"/>
        <v>0</v>
      </c>
      <c r="K121" s="58">
        <f t="shared" si="51"/>
        <v>0</v>
      </c>
      <c r="L121" s="58">
        <f t="shared" si="51"/>
        <v>0</v>
      </c>
      <c r="M121" s="58">
        <f t="shared" si="51"/>
        <v>0</v>
      </c>
      <c r="N121" s="58">
        <f t="shared" si="51"/>
        <v>0</v>
      </c>
      <c r="O121" s="58">
        <f t="shared" si="51"/>
        <v>0</v>
      </c>
      <c r="P121" s="58">
        <f t="shared" si="51"/>
        <v>0</v>
      </c>
      <c r="Q121" s="58">
        <f t="shared" si="51"/>
        <v>0</v>
      </c>
      <c r="R121" s="58">
        <f t="shared" si="51"/>
        <v>0</v>
      </c>
      <c r="S121" s="130">
        <f t="shared" si="51"/>
        <v>0</v>
      </c>
    </row>
    <row r="122" spans="1:19" x14ac:dyDescent="0.2">
      <c r="B122" s="57" t="str">
        <f>Instructions!P2</f>
        <v>Pay 2010</v>
      </c>
      <c r="C122" s="57" t="s">
        <v>4</v>
      </c>
      <c r="D122" s="46">
        <f>SUM(E122:S122)</f>
        <v>0</v>
      </c>
      <c r="E122" s="129">
        <f t="shared" ref="E122:S122" si="52">ROUND(IF($E$14=0,0,E$44/$E$14*$E12),2)</f>
        <v>0</v>
      </c>
      <c r="F122" s="58">
        <f t="shared" si="52"/>
        <v>0</v>
      </c>
      <c r="G122" s="58">
        <f t="shared" si="52"/>
        <v>0</v>
      </c>
      <c r="H122" s="58">
        <f t="shared" si="52"/>
        <v>0</v>
      </c>
      <c r="I122" s="58">
        <f t="shared" si="52"/>
        <v>0</v>
      </c>
      <c r="J122" s="58">
        <f t="shared" si="52"/>
        <v>0</v>
      </c>
      <c r="K122" s="58">
        <f t="shared" si="52"/>
        <v>0</v>
      </c>
      <c r="L122" s="58">
        <f t="shared" si="52"/>
        <v>0</v>
      </c>
      <c r="M122" s="58">
        <f t="shared" si="52"/>
        <v>0</v>
      </c>
      <c r="N122" s="58">
        <f t="shared" si="52"/>
        <v>0</v>
      </c>
      <c r="O122" s="58">
        <f t="shared" si="52"/>
        <v>0</v>
      </c>
      <c r="P122" s="58">
        <f t="shared" si="52"/>
        <v>0</v>
      </c>
      <c r="Q122" s="58">
        <f t="shared" si="52"/>
        <v>0</v>
      </c>
      <c r="R122" s="58">
        <f t="shared" si="52"/>
        <v>0</v>
      </c>
      <c r="S122" s="130">
        <f t="shared" si="52"/>
        <v>0</v>
      </c>
    </row>
    <row r="123" spans="1:19" x14ac:dyDescent="0.2">
      <c r="E123" s="129"/>
      <c r="F123" s="58"/>
      <c r="G123" s="58"/>
      <c r="H123" s="58"/>
      <c r="I123" s="58"/>
      <c r="J123" s="58"/>
      <c r="K123" s="58"/>
      <c r="L123" s="58"/>
      <c r="M123" s="58"/>
      <c r="N123" s="58"/>
      <c r="O123" s="58"/>
      <c r="P123" s="58"/>
      <c r="Q123" s="58"/>
      <c r="R123" s="58"/>
      <c r="S123" s="130"/>
    </row>
    <row r="124" spans="1:19" x14ac:dyDescent="0.2">
      <c r="C124" s="57" t="s">
        <v>593</v>
      </c>
      <c r="D124" s="47">
        <f>SUM(D119:D123)</f>
        <v>0</v>
      </c>
      <c r="E124" s="129">
        <f>SUM(E119:E123)</f>
        <v>0</v>
      </c>
      <c r="F124" s="58">
        <f t="shared" ref="F124:S124" si="53">SUM(F119:F123)</f>
        <v>0</v>
      </c>
      <c r="G124" s="58">
        <f t="shared" si="53"/>
        <v>0</v>
      </c>
      <c r="H124" s="58">
        <f t="shared" si="53"/>
        <v>0</v>
      </c>
      <c r="I124" s="58">
        <f t="shared" si="53"/>
        <v>0</v>
      </c>
      <c r="J124" s="58">
        <f t="shared" si="53"/>
        <v>0</v>
      </c>
      <c r="K124" s="58">
        <f t="shared" si="53"/>
        <v>0</v>
      </c>
      <c r="L124" s="58">
        <f t="shared" si="53"/>
        <v>0</v>
      </c>
      <c r="M124" s="58">
        <f t="shared" si="53"/>
        <v>0</v>
      </c>
      <c r="N124" s="58">
        <f t="shared" si="53"/>
        <v>0</v>
      </c>
      <c r="O124" s="58">
        <f t="shared" si="53"/>
        <v>0</v>
      </c>
      <c r="P124" s="58">
        <f t="shared" si="53"/>
        <v>0</v>
      </c>
      <c r="Q124" s="58">
        <f t="shared" si="53"/>
        <v>0</v>
      </c>
      <c r="R124" s="58">
        <f t="shared" si="53"/>
        <v>0</v>
      </c>
      <c r="S124" s="130">
        <f t="shared" si="53"/>
        <v>0</v>
      </c>
    </row>
    <row r="125" spans="1:19" x14ac:dyDescent="0.2">
      <c r="B125" s="57"/>
      <c r="E125" s="129"/>
      <c r="F125" s="59"/>
      <c r="G125" s="59"/>
      <c r="H125" s="59"/>
      <c r="I125" s="59"/>
      <c r="J125" s="59"/>
      <c r="K125" s="59"/>
      <c r="L125" s="59"/>
      <c r="M125" s="59"/>
      <c r="N125" s="59"/>
      <c r="O125" s="59"/>
      <c r="P125" s="59"/>
      <c r="Q125" s="59"/>
      <c r="R125" s="59"/>
      <c r="S125" s="131"/>
    </row>
    <row r="126" spans="1:19" x14ac:dyDescent="0.2">
      <c r="E126" s="129"/>
      <c r="F126" s="59"/>
      <c r="G126" s="59"/>
      <c r="H126" s="59"/>
      <c r="I126" s="59"/>
      <c r="J126" s="59"/>
      <c r="K126" s="59"/>
      <c r="L126" s="59"/>
      <c r="M126" s="59"/>
      <c r="N126" s="59"/>
      <c r="O126" s="59"/>
      <c r="P126" s="59"/>
      <c r="Q126" s="59"/>
      <c r="R126" s="59"/>
      <c r="S126" s="131"/>
    </row>
    <row r="127" spans="1:19" x14ac:dyDescent="0.2">
      <c r="A127" s="43" t="s">
        <v>609</v>
      </c>
      <c r="B127" s="62"/>
      <c r="C127" s="62"/>
      <c r="E127" s="129"/>
      <c r="F127" s="59"/>
      <c r="G127" s="59"/>
      <c r="H127" s="59"/>
      <c r="I127" s="59"/>
      <c r="J127" s="59"/>
      <c r="K127" s="59"/>
      <c r="L127" s="59"/>
      <c r="M127" s="59"/>
      <c r="N127" s="59"/>
      <c r="O127" s="59"/>
      <c r="P127" s="59"/>
      <c r="Q127" s="59"/>
      <c r="R127" s="59"/>
      <c r="S127" s="131"/>
    </row>
    <row r="128" spans="1:19" x14ac:dyDescent="0.2">
      <c r="B128" s="57" t="str">
        <f>Instructions!P1</f>
        <v>Pay 2011</v>
      </c>
      <c r="C128" s="57" t="s">
        <v>514</v>
      </c>
      <c r="D128" s="46">
        <f>SUM(E128:S128)</f>
        <v>0</v>
      </c>
      <c r="E128" s="129">
        <f t="shared" ref="E128:S128" si="54">ROUND(IF($D$14=0,0,E$45/$D$14*$D9),2)</f>
        <v>0</v>
      </c>
      <c r="F128" s="58">
        <f t="shared" si="54"/>
        <v>0</v>
      </c>
      <c r="G128" s="58">
        <f t="shared" si="54"/>
        <v>0</v>
      </c>
      <c r="H128" s="58">
        <f t="shared" si="54"/>
        <v>0</v>
      </c>
      <c r="I128" s="58">
        <f t="shared" si="54"/>
        <v>0</v>
      </c>
      <c r="J128" s="58">
        <f t="shared" si="54"/>
        <v>0</v>
      </c>
      <c r="K128" s="58">
        <f t="shared" si="54"/>
        <v>0</v>
      </c>
      <c r="L128" s="58">
        <f t="shared" si="54"/>
        <v>0</v>
      </c>
      <c r="M128" s="58">
        <f t="shared" si="54"/>
        <v>0</v>
      </c>
      <c r="N128" s="58">
        <f t="shared" si="54"/>
        <v>0</v>
      </c>
      <c r="O128" s="58">
        <f t="shared" si="54"/>
        <v>0</v>
      </c>
      <c r="P128" s="58">
        <f t="shared" si="54"/>
        <v>0</v>
      </c>
      <c r="Q128" s="58">
        <f t="shared" si="54"/>
        <v>0</v>
      </c>
      <c r="R128" s="58">
        <f t="shared" si="54"/>
        <v>0</v>
      </c>
      <c r="S128" s="130">
        <f t="shared" si="54"/>
        <v>0</v>
      </c>
    </row>
    <row r="129" spans="1:19" x14ac:dyDescent="0.2">
      <c r="A129" s="64"/>
      <c r="B129" s="57" t="str">
        <f>Instructions!P1</f>
        <v>Pay 2011</v>
      </c>
      <c r="C129" s="57" t="s">
        <v>515</v>
      </c>
      <c r="D129" s="46">
        <f>SUM(E129:S129)</f>
        <v>0</v>
      </c>
      <c r="E129" s="129">
        <f t="shared" ref="E129:S129" si="55">ROUND(IF($D$14=0,0,E$45/$D$14*$D10),2)</f>
        <v>0</v>
      </c>
      <c r="F129" s="58">
        <f t="shared" si="55"/>
        <v>0</v>
      </c>
      <c r="G129" s="58">
        <f t="shared" si="55"/>
        <v>0</v>
      </c>
      <c r="H129" s="58">
        <f t="shared" si="55"/>
        <v>0</v>
      </c>
      <c r="I129" s="58">
        <f t="shared" si="55"/>
        <v>0</v>
      </c>
      <c r="J129" s="58">
        <f t="shared" si="55"/>
        <v>0</v>
      </c>
      <c r="K129" s="58">
        <f t="shared" si="55"/>
        <v>0</v>
      </c>
      <c r="L129" s="58">
        <f t="shared" si="55"/>
        <v>0</v>
      </c>
      <c r="M129" s="58">
        <f t="shared" si="55"/>
        <v>0</v>
      </c>
      <c r="N129" s="58">
        <f t="shared" si="55"/>
        <v>0</v>
      </c>
      <c r="O129" s="58">
        <f t="shared" si="55"/>
        <v>0</v>
      </c>
      <c r="P129" s="58">
        <f t="shared" si="55"/>
        <v>0</v>
      </c>
      <c r="Q129" s="58">
        <f t="shared" si="55"/>
        <v>0</v>
      </c>
      <c r="R129" s="58">
        <f t="shared" si="55"/>
        <v>0</v>
      </c>
      <c r="S129" s="130">
        <f t="shared" si="55"/>
        <v>0</v>
      </c>
    </row>
    <row r="130" spans="1:19" x14ac:dyDescent="0.2">
      <c r="B130" s="57" t="str">
        <f>Instructions!P1</f>
        <v>Pay 2011</v>
      </c>
      <c r="C130" s="57" t="s">
        <v>597</v>
      </c>
      <c r="D130" s="46">
        <f>SUM(E130:S130)</f>
        <v>0</v>
      </c>
      <c r="E130" s="129">
        <f t="shared" ref="E130:S130" si="56">ROUND(IF($D$14=0,0,E$45/$D$14*$D11),2)</f>
        <v>0</v>
      </c>
      <c r="F130" s="58">
        <f t="shared" si="56"/>
        <v>0</v>
      </c>
      <c r="G130" s="58">
        <f t="shared" si="56"/>
        <v>0</v>
      </c>
      <c r="H130" s="58">
        <f t="shared" si="56"/>
        <v>0</v>
      </c>
      <c r="I130" s="58">
        <f t="shared" si="56"/>
        <v>0</v>
      </c>
      <c r="J130" s="58">
        <f t="shared" si="56"/>
        <v>0</v>
      </c>
      <c r="K130" s="58">
        <f t="shared" si="56"/>
        <v>0</v>
      </c>
      <c r="L130" s="58">
        <f t="shared" si="56"/>
        <v>0</v>
      </c>
      <c r="M130" s="58">
        <f t="shared" si="56"/>
        <v>0</v>
      </c>
      <c r="N130" s="58">
        <f t="shared" si="56"/>
        <v>0</v>
      </c>
      <c r="O130" s="58">
        <f t="shared" si="56"/>
        <v>0</v>
      </c>
      <c r="P130" s="58">
        <f t="shared" si="56"/>
        <v>0</v>
      </c>
      <c r="Q130" s="58">
        <f t="shared" si="56"/>
        <v>0</v>
      </c>
      <c r="R130" s="58">
        <f t="shared" si="56"/>
        <v>0</v>
      </c>
      <c r="S130" s="130">
        <f t="shared" si="56"/>
        <v>0</v>
      </c>
    </row>
    <row r="131" spans="1:19" x14ac:dyDescent="0.2">
      <c r="B131" s="57" t="str">
        <f>Instructions!P1</f>
        <v>Pay 2011</v>
      </c>
      <c r="C131" s="57" t="s">
        <v>4</v>
      </c>
      <c r="D131" s="46">
        <f>SUM(E131:S131)</f>
        <v>0</v>
      </c>
      <c r="E131" s="129">
        <f t="shared" ref="E131:S131" si="57">ROUND(IF($D$14=0,0,E$45/$D$14*$D12),2)</f>
        <v>0</v>
      </c>
      <c r="F131" s="58">
        <f t="shared" si="57"/>
        <v>0</v>
      </c>
      <c r="G131" s="58">
        <f t="shared" si="57"/>
        <v>0</v>
      </c>
      <c r="H131" s="58">
        <f t="shared" si="57"/>
        <v>0</v>
      </c>
      <c r="I131" s="58">
        <f t="shared" si="57"/>
        <v>0</v>
      </c>
      <c r="J131" s="58">
        <f t="shared" si="57"/>
        <v>0</v>
      </c>
      <c r="K131" s="58">
        <f t="shared" si="57"/>
        <v>0</v>
      </c>
      <c r="L131" s="58">
        <f t="shared" si="57"/>
        <v>0</v>
      </c>
      <c r="M131" s="58">
        <f t="shared" si="57"/>
        <v>0</v>
      </c>
      <c r="N131" s="58">
        <f t="shared" si="57"/>
        <v>0</v>
      </c>
      <c r="O131" s="58">
        <f t="shared" si="57"/>
        <v>0</v>
      </c>
      <c r="P131" s="58">
        <f t="shared" si="57"/>
        <v>0</v>
      </c>
      <c r="Q131" s="58">
        <f t="shared" si="57"/>
        <v>0</v>
      </c>
      <c r="R131" s="58">
        <f t="shared" si="57"/>
        <v>0</v>
      </c>
      <c r="S131" s="130">
        <f t="shared" si="57"/>
        <v>0</v>
      </c>
    </row>
    <row r="132" spans="1:19" x14ac:dyDescent="0.2">
      <c r="E132" s="129"/>
      <c r="F132" s="58"/>
      <c r="G132" s="58"/>
      <c r="H132" s="58"/>
      <c r="I132" s="58"/>
      <c r="J132" s="58"/>
      <c r="K132" s="58"/>
      <c r="L132" s="58"/>
      <c r="M132" s="58"/>
      <c r="N132" s="58"/>
      <c r="O132" s="58"/>
      <c r="P132" s="58"/>
      <c r="Q132" s="58"/>
      <c r="R132" s="58"/>
      <c r="S132" s="130"/>
    </row>
    <row r="133" spans="1:19" x14ac:dyDescent="0.2">
      <c r="C133" s="57" t="s">
        <v>593</v>
      </c>
      <c r="D133" s="47">
        <f t="shared" ref="D133:S133" si="58">SUM(D128:D132)</f>
        <v>0</v>
      </c>
      <c r="E133" s="129">
        <f t="shared" si="58"/>
        <v>0</v>
      </c>
      <c r="F133" s="58">
        <f t="shared" si="58"/>
        <v>0</v>
      </c>
      <c r="G133" s="58">
        <f t="shared" si="58"/>
        <v>0</v>
      </c>
      <c r="H133" s="58">
        <f t="shared" si="58"/>
        <v>0</v>
      </c>
      <c r="I133" s="58">
        <f t="shared" si="58"/>
        <v>0</v>
      </c>
      <c r="J133" s="58">
        <f t="shared" si="58"/>
        <v>0</v>
      </c>
      <c r="K133" s="58">
        <f t="shared" si="58"/>
        <v>0</v>
      </c>
      <c r="L133" s="58">
        <f t="shared" si="58"/>
        <v>0</v>
      </c>
      <c r="M133" s="58">
        <f t="shared" si="58"/>
        <v>0</v>
      </c>
      <c r="N133" s="58">
        <f t="shared" si="58"/>
        <v>0</v>
      </c>
      <c r="O133" s="58">
        <f t="shared" si="58"/>
        <v>0</v>
      </c>
      <c r="P133" s="58">
        <f t="shared" si="58"/>
        <v>0</v>
      </c>
      <c r="Q133" s="58">
        <f t="shared" si="58"/>
        <v>0</v>
      </c>
      <c r="R133" s="58">
        <f t="shared" si="58"/>
        <v>0</v>
      </c>
      <c r="S133" s="130">
        <f t="shared" si="58"/>
        <v>0</v>
      </c>
    </row>
    <row r="134" spans="1:19" x14ac:dyDescent="0.2">
      <c r="E134" s="129"/>
      <c r="F134" s="59"/>
      <c r="G134" s="59"/>
      <c r="H134" s="59"/>
      <c r="I134" s="59"/>
      <c r="J134" s="59"/>
      <c r="K134" s="59"/>
      <c r="L134" s="59"/>
      <c r="M134" s="59"/>
      <c r="N134" s="59"/>
      <c r="O134" s="59"/>
      <c r="P134" s="59"/>
      <c r="Q134" s="59"/>
      <c r="R134" s="59"/>
      <c r="S134" s="131"/>
    </row>
    <row r="135" spans="1:19" x14ac:dyDescent="0.2">
      <c r="E135" s="129"/>
      <c r="F135" s="59"/>
      <c r="G135" s="59"/>
      <c r="H135" s="59"/>
      <c r="I135" s="59"/>
      <c r="J135" s="59"/>
      <c r="K135" s="59"/>
      <c r="L135" s="59"/>
      <c r="M135" s="59"/>
      <c r="N135" s="59"/>
      <c r="O135" s="59"/>
      <c r="P135" s="59"/>
      <c r="Q135" s="59"/>
      <c r="R135" s="59"/>
      <c r="S135" s="131"/>
    </row>
    <row r="136" spans="1:19" x14ac:dyDescent="0.2">
      <c r="A136" s="43" t="s">
        <v>609</v>
      </c>
      <c r="B136" s="62"/>
      <c r="C136" s="62"/>
      <c r="E136" s="129"/>
      <c r="F136" s="59"/>
      <c r="G136" s="59"/>
      <c r="H136" s="59"/>
      <c r="I136" s="59"/>
      <c r="J136" s="59"/>
      <c r="K136" s="59"/>
      <c r="L136" s="59"/>
      <c r="M136" s="59"/>
      <c r="N136" s="59"/>
      <c r="O136" s="59"/>
      <c r="P136" s="59"/>
      <c r="Q136" s="59"/>
      <c r="R136" s="59"/>
      <c r="S136" s="131"/>
    </row>
    <row r="137" spans="1:19" x14ac:dyDescent="0.2">
      <c r="B137" s="57" t="str">
        <f>Instructions!P2</f>
        <v>Pay 2010</v>
      </c>
      <c r="C137" s="57" t="s">
        <v>514</v>
      </c>
      <c r="D137" s="46">
        <f>SUM(E137:S137)</f>
        <v>0</v>
      </c>
      <c r="E137" s="129">
        <f t="shared" ref="E137:S137" si="59">ROUND(IF($E$14=0,0,E$46/$E$14*$E9),2)</f>
        <v>0</v>
      </c>
      <c r="F137" s="58">
        <f t="shared" si="59"/>
        <v>0</v>
      </c>
      <c r="G137" s="58">
        <f t="shared" si="59"/>
        <v>0</v>
      </c>
      <c r="H137" s="58">
        <f t="shared" si="59"/>
        <v>0</v>
      </c>
      <c r="I137" s="58">
        <f t="shared" si="59"/>
        <v>0</v>
      </c>
      <c r="J137" s="58">
        <f t="shared" si="59"/>
        <v>0</v>
      </c>
      <c r="K137" s="58">
        <f t="shared" si="59"/>
        <v>0</v>
      </c>
      <c r="L137" s="58">
        <f t="shared" si="59"/>
        <v>0</v>
      </c>
      <c r="M137" s="58">
        <f t="shared" si="59"/>
        <v>0</v>
      </c>
      <c r="N137" s="58">
        <f t="shared" si="59"/>
        <v>0</v>
      </c>
      <c r="O137" s="58">
        <f t="shared" si="59"/>
        <v>0</v>
      </c>
      <c r="P137" s="58">
        <f t="shared" si="59"/>
        <v>0</v>
      </c>
      <c r="Q137" s="58">
        <f t="shared" si="59"/>
        <v>0</v>
      </c>
      <c r="R137" s="58">
        <f t="shared" si="59"/>
        <v>0</v>
      </c>
      <c r="S137" s="130">
        <f t="shared" si="59"/>
        <v>0</v>
      </c>
    </row>
    <row r="138" spans="1:19" x14ac:dyDescent="0.2">
      <c r="A138" s="64"/>
      <c r="B138" s="57" t="str">
        <f>Instructions!P2</f>
        <v>Pay 2010</v>
      </c>
      <c r="C138" s="57" t="s">
        <v>515</v>
      </c>
      <c r="D138" s="46">
        <f>SUM(E138:S138)</f>
        <v>0</v>
      </c>
      <c r="E138" s="129">
        <f t="shared" ref="E138:S138" si="60">ROUND(IF($E$14=0,0,E$46/$E$14*$E10),2)</f>
        <v>0</v>
      </c>
      <c r="F138" s="58">
        <f t="shared" si="60"/>
        <v>0</v>
      </c>
      <c r="G138" s="58">
        <f t="shared" si="60"/>
        <v>0</v>
      </c>
      <c r="H138" s="58">
        <f t="shared" si="60"/>
        <v>0</v>
      </c>
      <c r="I138" s="58">
        <f t="shared" si="60"/>
        <v>0</v>
      </c>
      <c r="J138" s="58">
        <f t="shared" si="60"/>
        <v>0</v>
      </c>
      <c r="K138" s="58">
        <f t="shared" si="60"/>
        <v>0</v>
      </c>
      <c r="L138" s="58">
        <f t="shared" si="60"/>
        <v>0</v>
      </c>
      <c r="M138" s="58">
        <f t="shared" si="60"/>
        <v>0</v>
      </c>
      <c r="N138" s="58">
        <f t="shared" si="60"/>
        <v>0</v>
      </c>
      <c r="O138" s="58">
        <f t="shared" si="60"/>
        <v>0</v>
      </c>
      <c r="P138" s="58">
        <f t="shared" si="60"/>
        <v>0</v>
      </c>
      <c r="Q138" s="58">
        <f t="shared" si="60"/>
        <v>0</v>
      </c>
      <c r="R138" s="58">
        <f t="shared" si="60"/>
        <v>0</v>
      </c>
      <c r="S138" s="130">
        <f t="shared" si="60"/>
        <v>0</v>
      </c>
    </row>
    <row r="139" spans="1:19" x14ac:dyDescent="0.2">
      <c r="B139" s="57" t="str">
        <f>Instructions!P2</f>
        <v>Pay 2010</v>
      </c>
      <c r="C139" s="57" t="s">
        <v>597</v>
      </c>
      <c r="D139" s="46">
        <f>SUM(E139:S139)</f>
        <v>0</v>
      </c>
      <c r="E139" s="129">
        <f t="shared" ref="E139:S139" si="61">ROUND(IF($E$14=0,0,E$46/$E$14*$E11),2)</f>
        <v>0</v>
      </c>
      <c r="F139" s="58">
        <f t="shared" si="61"/>
        <v>0</v>
      </c>
      <c r="G139" s="58">
        <f t="shared" si="61"/>
        <v>0</v>
      </c>
      <c r="H139" s="58">
        <f t="shared" si="61"/>
        <v>0</v>
      </c>
      <c r="I139" s="58">
        <f t="shared" si="61"/>
        <v>0</v>
      </c>
      <c r="J139" s="58">
        <f t="shared" si="61"/>
        <v>0</v>
      </c>
      <c r="K139" s="58">
        <f t="shared" si="61"/>
        <v>0</v>
      </c>
      <c r="L139" s="58">
        <f t="shared" si="61"/>
        <v>0</v>
      </c>
      <c r="M139" s="58">
        <f t="shared" si="61"/>
        <v>0</v>
      </c>
      <c r="N139" s="58">
        <f t="shared" si="61"/>
        <v>0</v>
      </c>
      <c r="O139" s="58">
        <f t="shared" si="61"/>
        <v>0</v>
      </c>
      <c r="P139" s="58">
        <f t="shared" si="61"/>
        <v>0</v>
      </c>
      <c r="Q139" s="58">
        <f t="shared" si="61"/>
        <v>0</v>
      </c>
      <c r="R139" s="58">
        <f t="shared" si="61"/>
        <v>0</v>
      </c>
      <c r="S139" s="130">
        <f t="shared" si="61"/>
        <v>0</v>
      </c>
    </row>
    <row r="140" spans="1:19" x14ac:dyDescent="0.2">
      <c r="B140" s="57" t="str">
        <f>Instructions!P2</f>
        <v>Pay 2010</v>
      </c>
      <c r="C140" s="57" t="s">
        <v>4</v>
      </c>
      <c r="D140" s="46">
        <f>SUM(E140:S140)</f>
        <v>0</v>
      </c>
      <c r="E140" s="129">
        <f t="shared" ref="E140:S140" si="62">ROUND(IF($E$14=0,0,E$46/$E$14*$E12),2)</f>
        <v>0</v>
      </c>
      <c r="F140" s="58">
        <f t="shared" si="62"/>
        <v>0</v>
      </c>
      <c r="G140" s="58">
        <f t="shared" si="62"/>
        <v>0</v>
      </c>
      <c r="H140" s="58">
        <f t="shared" si="62"/>
        <v>0</v>
      </c>
      <c r="I140" s="58">
        <f t="shared" si="62"/>
        <v>0</v>
      </c>
      <c r="J140" s="58">
        <f t="shared" si="62"/>
        <v>0</v>
      </c>
      <c r="K140" s="58">
        <f t="shared" si="62"/>
        <v>0</v>
      </c>
      <c r="L140" s="58">
        <f t="shared" si="62"/>
        <v>0</v>
      </c>
      <c r="M140" s="58">
        <f t="shared" si="62"/>
        <v>0</v>
      </c>
      <c r="N140" s="58">
        <f t="shared" si="62"/>
        <v>0</v>
      </c>
      <c r="O140" s="58">
        <f t="shared" si="62"/>
        <v>0</v>
      </c>
      <c r="P140" s="58">
        <f t="shared" si="62"/>
        <v>0</v>
      </c>
      <c r="Q140" s="58">
        <f t="shared" si="62"/>
        <v>0</v>
      </c>
      <c r="R140" s="58">
        <f t="shared" si="62"/>
        <v>0</v>
      </c>
      <c r="S140" s="130">
        <f t="shared" si="62"/>
        <v>0</v>
      </c>
    </row>
    <row r="141" spans="1:19" x14ac:dyDescent="0.2">
      <c r="E141" s="129"/>
      <c r="F141" s="58"/>
      <c r="G141" s="58"/>
      <c r="H141" s="58"/>
      <c r="I141" s="58"/>
      <c r="J141" s="58"/>
      <c r="K141" s="58"/>
      <c r="L141" s="58"/>
      <c r="M141" s="58"/>
      <c r="N141" s="58"/>
      <c r="O141" s="58"/>
      <c r="P141" s="58"/>
      <c r="Q141" s="58"/>
      <c r="R141" s="58"/>
      <c r="S141" s="130"/>
    </row>
    <row r="142" spans="1:19" x14ac:dyDescent="0.2">
      <c r="C142" s="57" t="s">
        <v>593</v>
      </c>
      <c r="D142" s="47">
        <f>SUM(D137:D141)</f>
        <v>0</v>
      </c>
      <c r="E142" s="129">
        <f>SUM(E137:E141)</f>
        <v>0</v>
      </c>
      <c r="F142" s="58">
        <f t="shared" ref="F142:S142" si="63">SUM(F137:F141)</f>
        <v>0</v>
      </c>
      <c r="G142" s="58">
        <f t="shared" si="63"/>
        <v>0</v>
      </c>
      <c r="H142" s="58">
        <f t="shared" si="63"/>
        <v>0</v>
      </c>
      <c r="I142" s="58">
        <f t="shared" si="63"/>
        <v>0</v>
      </c>
      <c r="J142" s="58">
        <f t="shared" si="63"/>
        <v>0</v>
      </c>
      <c r="K142" s="58">
        <f t="shared" si="63"/>
        <v>0</v>
      </c>
      <c r="L142" s="58">
        <f t="shared" si="63"/>
        <v>0</v>
      </c>
      <c r="M142" s="58">
        <f t="shared" si="63"/>
        <v>0</v>
      </c>
      <c r="N142" s="58">
        <f t="shared" si="63"/>
        <v>0</v>
      </c>
      <c r="O142" s="58">
        <f t="shared" si="63"/>
        <v>0</v>
      </c>
      <c r="P142" s="58">
        <f t="shared" si="63"/>
        <v>0</v>
      </c>
      <c r="Q142" s="58">
        <f t="shared" si="63"/>
        <v>0</v>
      </c>
      <c r="R142" s="58">
        <f t="shared" si="63"/>
        <v>0</v>
      </c>
      <c r="S142" s="130">
        <f t="shared" si="63"/>
        <v>0</v>
      </c>
    </row>
    <row r="143" spans="1:19" x14ac:dyDescent="0.2">
      <c r="E143" s="129"/>
      <c r="F143" s="59"/>
      <c r="G143" s="59"/>
      <c r="H143" s="59"/>
      <c r="I143" s="59"/>
      <c r="J143" s="59"/>
      <c r="K143" s="59"/>
      <c r="L143" s="59"/>
      <c r="M143" s="59"/>
      <c r="N143" s="59"/>
      <c r="O143" s="59"/>
      <c r="P143" s="59"/>
      <c r="Q143" s="59"/>
      <c r="R143" s="59"/>
      <c r="S143" s="131"/>
    </row>
    <row r="144" spans="1:19" x14ac:dyDescent="0.2">
      <c r="E144" s="129"/>
      <c r="F144" s="59"/>
      <c r="G144" s="59"/>
      <c r="H144" s="59"/>
      <c r="I144" s="59"/>
      <c r="J144" s="59"/>
      <c r="K144" s="59"/>
      <c r="L144" s="59"/>
      <c r="M144" s="59"/>
      <c r="N144" s="59"/>
      <c r="O144" s="59"/>
      <c r="P144" s="59"/>
      <c r="Q144" s="59"/>
      <c r="R144" s="59"/>
      <c r="S144" s="131"/>
    </row>
    <row r="145" spans="1:19" ht="12" thickBot="1" x14ac:dyDescent="0.25">
      <c r="A145" s="43" t="s">
        <v>604</v>
      </c>
      <c r="D145" s="46">
        <f>SUM(E145:S145)</f>
        <v>0</v>
      </c>
      <c r="E145" s="136">
        <f>E47</f>
        <v>0</v>
      </c>
      <c r="F145" s="137">
        <f t="shared" ref="F145:S145" si="64">F47</f>
        <v>0</v>
      </c>
      <c r="G145" s="137">
        <f t="shared" si="64"/>
        <v>0</v>
      </c>
      <c r="H145" s="137">
        <f t="shared" si="64"/>
        <v>0</v>
      </c>
      <c r="I145" s="137">
        <f t="shared" si="64"/>
        <v>0</v>
      </c>
      <c r="J145" s="137">
        <f t="shared" si="64"/>
        <v>0</v>
      </c>
      <c r="K145" s="137">
        <f t="shared" si="64"/>
        <v>0</v>
      </c>
      <c r="L145" s="137">
        <f t="shared" si="64"/>
        <v>0</v>
      </c>
      <c r="M145" s="137">
        <f t="shared" si="64"/>
        <v>0</v>
      </c>
      <c r="N145" s="137">
        <f t="shared" si="64"/>
        <v>0</v>
      </c>
      <c r="O145" s="137">
        <f t="shared" si="64"/>
        <v>0</v>
      </c>
      <c r="P145" s="137">
        <f t="shared" si="64"/>
        <v>0</v>
      </c>
      <c r="Q145" s="137">
        <f t="shared" si="64"/>
        <v>0</v>
      </c>
      <c r="R145" s="137">
        <f t="shared" si="64"/>
        <v>0</v>
      </c>
      <c r="S145" s="138">
        <f t="shared" si="64"/>
        <v>0</v>
      </c>
    </row>
    <row r="146" spans="1:19" ht="12" thickTop="1" x14ac:dyDescent="0.2"/>
    <row r="147" spans="1:19" x14ac:dyDescent="0.2">
      <c r="B147" s="55" t="s">
        <v>605</v>
      </c>
      <c r="D147" s="46">
        <f>D61+D73+D84+D95+D124+D142+D145</f>
        <v>0</v>
      </c>
      <c r="E147" s="46">
        <f>E61+E73+E84+E95+E106+E115+E124+E133+E142+E145</f>
        <v>0</v>
      </c>
      <c r="F147" s="46">
        <f t="shared" ref="F147:S147" si="65">F61+F73+F84+F95+F106+F115+F124+F133+F142+F145</f>
        <v>0</v>
      </c>
      <c r="G147" s="46">
        <f t="shared" si="65"/>
        <v>0</v>
      </c>
      <c r="H147" s="46">
        <f t="shared" si="65"/>
        <v>0</v>
      </c>
      <c r="I147" s="46">
        <f t="shared" si="65"/>
        <v>0</v>
      </c>
      <c r="J147" s="46">
        <f t="shared" si="65"/>
        <v>0</v>
      </c>
      <c r="K147" s="46">
        <f t="shared" si="65"/>
        <v>0</v>
      </c>
      <c r="L147" s="46">
        <f t="shared" si="65"/>
        <v>0</v>
      </c>
      <c r="M147" s="46">
        <f t="shared" si="65"/>
        <v>0</v>
      </c>
      <c r="N147" s="46">
        <f t="shared" si="65"/>
        <v>0</v>
      </c>
      <c r="O147" s="46">
        <f t="shared" si="65"/>
        <v>0</v>
      </c>
      <c r="P147" s="46">
        <f t="shared" si="65"/>
        <v>0</v>
      </c>
      <c r="Q147" s="46">
        <f t="shared" si="65"/>
        <v>0</v>
      </c>
      <c r="R147" s="46">
        <f t="shared" si="65"/>
        <v>0</v>
      </c>
      <c r="S147" s="46">
        <f t="shared" si="65"/>
        <v>0</v>
      </c>
    </row>
  </sheetData>
  <phoneticPr fontId="0" type="noConversion"/>
  <pageMargins left="0.25" right="0.25" top="0.75" bottom="0.75" header="0.5" footer="0.5"/>
  <pageSetup scale="62" fitToHeight="0" orientation="landscape" r:id="rId1"/>
  <headerFooter alignWithMargins="0"/>
  <rowBreaks count="1" manualBreakCount="1">
    <brk id="53" max="16383" man="1"/>
  </rowBreaks>
  <ignoredErrors>
    <ignoredError sqref="C44"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N130"/>
  <sheetViews>
    <sheetView workbookViewId="0"/>
  </sheetViews>
  <sheetFormatPr defaultRowHeight="11.25" x14ac:dyDescent="0.2"/>
  <cols>
    <col min="1" max="1" width="6.83203125" style="43" customWidth="1"/>
    <col min="2" max="2" width="9.33203125" style="43"/>
    <col min="3" max="3" width="12.83203125" style="43" customWidth="1"/>
    <col min="4" max="7" width="10.83203125" style="43" customWidth="1"/>
    <col min="8" max="8" width="13.5" style="43" customWidth="1"/>
    <col min="9" max="11" width="14.83203125" style="43" customWidth="1"/>
    <col min="12" max="12" width="14.83203125" style="30" customWidth="1"/>
    <col min="13" max="13" width="14.83203125" style="43" customWidth="1"/>
    <col min="14" max="16384" width="9.33203125" style="43"/>
  </cols>
  <sheetData>
    <row r="1" spans="1:14" x14ac:dyDescent="0.2">
      <c r="A1" s="55" t="s">
        <v>513</v>
      </c>
      <c r="C1" s="56"/>
      <c r="I1" s="125">
        <f>Report!A3</f>
        <v>2159</v>
      </c>
      <c r="J1" s="43" t="str">
        <f>Report!B5</f>
        <v>BUFFALO LAKE-HEC</v>
      </c>
      <c r="L1" s="145">
        <f>Report!I1</f>
        <v>40795</v>
      </c>
      <c r="N1" s="55" t="s">
        <v>576</v>
      </c>
    </row>
    <row r="2" spans="1:14" x14ac:dyDescent="0.2">
      <c r="C2" s="56"/>
      <c r="N2" s="65" t="s">
        <v>586</v>
      </c>
    </row>
    <row r="3" spans="1:14" x14ac:dyDescent="0.2">
      <c r="A3" s="65" t="s">
        <v>588</v>
      </c>
      <c r="C3" s="30"/>
      <c r="N3" s="65" t="s">
        <v>584</v>
      </c>
    </row>
    <row r="4" spans="1:14" x14ac:dyDescent="0.2">
      <c r="A4" s="65" t="s">
        <v>587</v>
      </c>
      <c r="N4" s="65" t="s">
        <v>585</v>
      </c>
    </row>
    <row r="5" spans="1:14" x14ac:dyDescent="0.2">
      <c r="A5" s="66" t="s">
        <v>589</v>
      </c>
      <c r="N5" s="66" t="s">
        <v>3</v>
      </c>
    </row>
    <row r="6" spans="1:14" x14ac:dyDescent="0.2">
      <c r="A6" s="65" t="s">
        <v>575</v>
      </c>
      <c r="I6" s="52"/>
      <c r="J6" s="52"/>
      <c r="K6" s="52"/>
      <c r="L6" s="139"/>
      <c r="M6" s="52"/>
    </row>
    <row r="7" spans="1:14" x14ac:dyDescent="0.2">
      <c r="A7" s="65" t="s">
        <v>590</v>
      </c>
      <c r="I7" s="51" t="s">
        <v>514</v>
      </c>
      <c r="J7" s="51" t="s">
        <v>515</v>
      </c>
      <c r="K7" s="51" t="s">
        <v>516</v>
      </c>
      <c r="L7" s="140" t="s">
        <v>516</v>
      </c>
      <c r="M7" s="51" t="s">
        <v>397</v>
      </c>
    </row>
    <row r="8" spans="1:14" x14ac:dyDescent="0.2">
      <c r="I8" s="52" t="s">
        <v>581</v>
      </c>
      <c r="J8" s="52" t="s">
        <v>581</v>
      </c>
      <c r="K8" s="52" t="s">
        <v>581</v>
      </c>
      <c r="L8" s="139" t="s">
        <v>581</v>
      </c>
      <c r="M8" s="52" t="s">
        <v>581</v>
      </c>
    </row>
    <row r="9" spans="1:14" x14ac:dyDescent="0.2">
      <c r="I9" s="52"/>
      <c r="J9" s="52"/>
      <c r="K9" s="52"/>
      <c r="L9" s="139"/>
      <c r="M9" s="52"/>
    </row>
    <row r="10" spans="1:14" x14ac:dyDescent="0.2">
      <c r="A10" s="55" t="s">
        <v>472</v>
      </c>
      <c r="N10" s="67"/>
    </row>
    <row r="12" spans="1:14" x14ac:dyDescent="0.2">
      <c r="A12" s="43" t="str">
        <f>Instructions!P1&amp;" Certified Levy"</f>
        <v>Pay 2011 Certified Levy</v>
      </c>
      <c r="H12" s="43" t="s">
        <v>413</v>
      </c>
      <c r="I12" s="30">
        <f>Funds!D9</f>
        <v>0</v>
      </c>
      <c r="J12" s="30">
        <f>Funds!D10</f>
        <v>0</v>
      </c>
      <c r="K12" s="30">
        <f>Funds!D11</f>
        <v>0</v>
      </c>
      <c r="L12" s="30">
        <f>Funds!D12</f>
        <v>0</v>
      </c>
      <c r="M12" s="30">
        <f>SUM(I12:L12)</f>
        <v>0</v>
      </c>
      <c r="N12" s="43" t="s">
        <v>520</v>
      </c>
    </row>
    <row r="13" spans="1:14" x14ac:dyDescent="0.2">
      <c r="A13" s="43" t="str">
        <f>"Tax settlements "&amp;Instructions!T4&amp;" for "&amp;Instructions!P1&amp;" levy"</f>
        <v>Tax settlements 05/01/2011 to 06/30/2011 for Pay 2011 levy</v>
      </c>
      <c r="H13" s="68" t="s">
        <v>582</v>
      </c>
      <c r="I13" s="30">
        <f>-Funds!D56</f>
        <v>0</v>
      </c>
      <c r="J13" s="30">
        <f>-Funds!D57</f>
        <v>0</v>
      </c>
      <c r="K13" s="30">
        <f>-Funds!D58</f>
        <v>0</v>
      </c>
      <c r="L13" s="30">
        <f>-Funds!D59</f>
        <v>0</v>
      </c>
      <c r="M13" s="30">
        <f>SUM(I13:L13)</f>
        <v>0</v>
      </c>
      <c r="N13" s="43" t="str">
        <f>"Tax Settlement Reports (Form 52) "&amp;Instructions!T2</f>
        <v>Tax Settlement Reports (Form 52) 07/01/2010 to 06/30/2011</v>
      </c>
    </row>
    <row r="14" spans="1:14" x14ac:dyDescent="0.2">
      <c r="A14" s="43" t="str">
        <f>"Tax settlements Fiscal disparities "&amp;Instructions!T4&amp;" for "&amp;Instructions!P1&amp;" levy"</f>
        <v>Tax settlements Fiscal disparities 05/01/2011 to 06/30/2011 for Pay 2011 levy</v>
      </c>
      <c r="H14" s="68" t="s">
        <v>582</v>
      </c>
      <c r="I14" s="30">
        <f>-Funds!D110</f>
        <v>0</v>
      </c>
      <c r="J14" s="30">
        <f>-Funds!D111</f>
        <v>0</v>
      </c>
      <c r="K14" s="30">
        <f>-Funds!D112</f>
        <v>0</v>
      </c>
      <c r="L14" s="30">
        <f>-Funds!D113</f>
        <v>0</v>
      </c>
      <c r="M14" s="30">
        <f>SUM(I14:L14)</f>
        <v>0</v>
      </c>
      <c r="N14" s="43" t="str">
        <f>"Tax Settlement Reports (Form 52) "&amp;Instructions!T2</f>
        <v>Tax Settlement Reports (Form 52) 07/01/2010 to 06/30/2011</v>
      </c>
    </row>
    <row r="15" spans="1:14" x14ac:dyDescent="0.2">
      <c r="A15" s="43" t="str">
        <f>"Tax settlements Taconite homestead credit "&amp;Instructions!T4&amp;" for "&amp;Instructions!P1&amp;" levy"</f>
        <v>Tax settlements Taconite homestead credit 05/01/2011 to 06/30/2011 for Pay 2011 levy</v>
      </c>
      <c r="H15" s="68" t="s">
        <v>582</v>
      </c>
      <c r="I15" s="30">
        <f>-Funds!D128</f>
        <v>0</v>
      </c>
      <c r="J15" s="30">
        <f>-Funds!D129</f>
        <v>0</v>
      </c>
      <c r="K15" s="30">
        <f>-Funds!D130</f>
        <v>0</v>
      </c>
      <c r="L15" s="30">
        <f>-Funds!D131</f>
        <v>0</v>
      </c>
      <c r="M15" s="30">
        <f>SUM(I15:L15)</f>
        <v>0</v>
      </c>
      <c r="N15" s="43" t="str">
        <f>"Tax Settlement Reports (Form 52) "&amp;Instructions!T2</f>
        <v>Tax Settlement Reports (Form 52) 07/01/2010 to 06/30/2011</v>
      </c>
    </row>
    <row r="16" spans="1:14" x14ac:dyDescent="0.2">
      <c r="A16" s="69" t="s">
        <v>474</v>
      </c>
    </row>
    <row r="17" spans="1:14" x14ac:dyDescent="0.2">
      <c r="B17" s="68"/>
    </row>
    <row r="18" spans="1:14" x14ac:dyDescent="0.2">
      <c r="B18" s="55" t="str">
        <f>"10 Taxes Receivable--Current "&amp;Instructions!S2</f>
        <v>10 Taxes Receivable--Current 06/30/11</v>
      </c>
      <c r="I18" s="55">
        <f>SUM(I12:I16)</f>
        <v>0</v>
      </c>
      <c r="J18" s="55">
        <f>SUM(J12:J16)</f>
        <v>0</v>
      </c>
      <c r="K18" s="55">
        <f>SUM(K12:K16)</f>
        <v>0</v>
      </c>
      <c r="L18" s="141">
        <f>SUM(L12:L16)</f>
        <v>0</v>
      </c>
    </row>
    <row r="19" spans="1:14" x14ac:dyDescent="0.2">
      <c r="B19" s="55"/>
    </row>
    <row r="20" spans="1:14" x14ac:dyDescent="0.2">
      <c r="B20" s="55"/>
    </row>
    <row r="22" spans="1:14" x14ac:dyDescent="0.2">
      <c r="A22" s="43" t="str">
        <f>"Delinquent Taxes Receivable "&amp;Instructions!S3</f>
        <v>Delinquent Taxes Receivable 06/30/10</v>
      </c>
      <c r="H22" s="43" t="s">
        <v>413</v>
      </c>
      <c r="I22" s="26">
        <v>0</v>
      </c>
      <c r="J22" s="26">
        <v>0</v>
      </c>
      <c r="K22" s="26">
        <v>0</v>
      </c>
      <c r="L22" s="142">
        <v>0</v>
      </c>
      <c r="M22" s="30">
        <f>SUM(I22:L22)</f>
        <v>0</v>
      </c>
      <c r="N22" s="43" t="str">
        <f>"General Ledger "&amp;Instructions!S3</f>
        <v>General Ledger 06/30/10</v>
      </c>
    </row>
    <row r="23" spans="1:14" x14ac:dyDescent="0.2">
      <c r="A23" s="43" t="str">
        <f>"Current Taxes Receivable "&amp;Instructions!S3</f>
        <v>Current Taxes Receivable 06/30/10</v>
      </c>
      <c r="H23" s="43" t="s">
        <v>413</v>
      </c>
      <c r="I23" s="26">
        <v>0</v>
      </c>
      <c r="J23" s="26">
        <v>0</v>
      </c>
      <c r="K23" s="26">
        <v>0</v>
      </c>
      <c r="L23" s="142">
        <v>0</v>
      </c>
      <c r="M23" s="30">
        <f>SUM(I23:L23)</f>
        <v>0</v>
      </c>
      <c r="N23" s="43" t="str">
        <f>"General Ledger "&amp;Instructions!S3</f>
        <v>General Ledger 06/30/10</v>
      </c>
    </row>
    <row r="24" spans="1:14" x14ac:dyDescent="0.2">
      <c r="A24" s="43" t="str">
        <f>"Increase (decrease) to "&amp;Instructions!P2&amp;" levy by county"</f>
        <v>Increase (decrease) to Pay 2010 levy by county</v>
      </c>
      <c r="H24" s="43" t="s">
        <v>581</v>
      </c>
      <c r="I24" s="30">
        <f>ROUND(IF(M24=0,0,Funds!E9/Funds!E14*M24),2)</f>
        <v>0</v>
      </c>
      <c r="J24" s="30">
        <f>ROUND(IF(M24=0,0,Funds!E10/Funds!E14*M24),2)</f>
        <v>0</v>
      </c>
      <c r="K24" s="30">
        <f>ROUND(IF(M24=0,0,Funds!E11/Funds!E14*M24),2)</f>
        <v>0</v>
      </c>
      <c r="L24" s="30">
        <f>ROUND(IF(M24=0,0,Funds!E12/Funds!E14*M24),2)</f>
        <v>0</v>
      </c>
      <c r="M24" s="27">
        <v>0</v>
      </c>
      <c r="N24" s="43" t="s">
        <v>476</v>
      </c>
    </row>
    <row r="25" spans="1:14" x14ac:dyDescent="0.2">
      <c r="A25" s="43" t="str">
        <f>"Increase (decrease) to "&amp;Instructions!P3&amp;" levy by county"</f>
        <v>Increase (decrease) to Pay 2009 levy by county</v>
      </c>
      <c r="H25" s="43" t="s">
        <v>581</v>
      </c>
      <c r="I25" s="30">
        <f>ROUND(IF($M$25=0,0,Funds!F9/Funds!$F$14*$M$25),2)</f>
        <v>0</v>
      </c>
      <c r="J25" s="30">
        <f>ROUND(IF($M$25=0,0,Funds!F10/Funds!$F$14*$M$25),2)</f>
        <v>0</v>
      </c>
      <c r="K25" s="30">
        <f>ROUND(IF($M$25=0,0,Funds!F11/Funds!$F$14*$M$25),2)</f>
        <v>0</v>
      </c>
      <c r="L25" s="30">
        <f>ROUND(IF($M$25=0,0,Funds!F12/Funds!$F$14*$M$25),2)</f>
        <v>0</v>
      </c>
      <c r="M25" s="27">
        <v>0</v>
      </c>
      <c r="N25" s="43" t="s">
        <v>476</v>
      </c>
    </row>
    <row r="26" spans="1:14" x14ac:dyDescent="0.2">
      <c r="A26" s="43" t="str">
        <f>"Education Homestead Market Value Credit for "&amp;Instructions!R2</f>
        <v>Education Homestead Market Value Credit for FY 2011</v>
      </c>
      <c r="H26" s="68" t="s">
        <v>582</v>
      </c>
      <c r="I26" s="28">
        <v>0</v>
      </c>
      <c r="J26" s="28">
        <v>0</v>
      </c>
      <c r="K26" s="28">
        <v>0</v>
      </c>
      <c r="L26" s="142">
        <v>0</v>
      </c>
      <c r="M26" s="30">
        <f>SUM(I26:L26)</f>
        <v>0</v>
      </c>
      <c r="N26" s="30" t="s">
        <v>517</v>
      </c>
    </row>
    <row r="27" spans="1:14" x14ac:dyDescent="0.2">
      <c r="A27" s="43" t="str">
        <f>"Agricultural Educ Homestead Market Value Credit for "&amp;Instructions!R2</f>
        <v>Agricultural Educ Homestead Market Value Credit for FY 2011</v>
      </c>
      <c r="H27" s="68" t="s">
        <v>582</v>
      </c>
      <c r="I27" s="28">
        <v>0</v>
      </c>
      <c r="J27" s="28">
        <v>0</v>
      </c>
      <c r="K27" s="28">
        <v>0</v>
      </c>
      <c r="L27" s="142">
        <v>0</v>
      </c>
      <c r="M27" s="30">
        <f>SUM(I27:L27)</f>
        <v>0</v>
      </c>
      <c r="N27" s="30" t="s">
        <v>517</v>
      </c>
    </row>
    <row r="28" spans="1:14" x14ac:dyDescent="0.2">
      <c r="A28" s="43" t="str">
        <f>"Other credits for "&amp;Instructions!R2</f>
        <v>Other credits for FY 2011</v>
      </c>
      <c r="H28" s="68" t="s">
        <v>582</v>
      </c>
      <c r="I28" s="28">
        <v>0</v>
      </c>
      <c r="J28" s="28">
        <v>0</v>
      </c>
      <c r="K28" s="28">
        <v>0</v>
      </c>
      <c r="L28" s="142">
        <v>0</v>
      </c>
      <c r="M28" s="30">
        <f>SUM(I28:L28)</f>
        <v>0</v>
      </c>
      <c r="N28" s="30" t="s">
        <v>517</v>
      </c>
    </row>
    <row r="29" spans="1:14" x14ac:dyDescent="0.2">
      <c r="A29" s="43" t="str">
        <f>"Disparity Aid adjustments for "&amp;Instructions!R2</f>
        <v>Disparity Aid adjustments for FY 2011</v>
      </c>
      <c r="H29" s="68" t="s">
        <v>582</v>
      </c>
      <c r="I29" s="28">
        <v>0</v>
      </c>
      <c r="J29" s="28">
        <v>0</v>
      </c>
      <c r="K29" s="28">
        <v>0</v>
      </c>
      <c r="L29" s="142">
        <v>0</v>
      </c>
      <c r="M29" s="30">
        <f>SUM(I29:L29)</f>
        <v>0</v>
      </c>
      <c r="N29" s="30" t="s">
        <v>517</v>
      </c>
    </row>
    <row r="30" spans="1:14" x14ac:dyDescent="0.2">
      <c r="A30" s="43" t="str">
        <f>"Decrease (increase) to credits by county"</f>
        <v>Decrease (increase) to credits by county</v>
      </c>
      <c r="H30" s="43" t="s">
        <v>581</v>
      </c>
      <c r="I30" s="30">
        <f>ROUND(IF(Funds!$E$14=0,0,Funds!E9/Funds!$E$14*$M$30),2)</f>
        <v>0</v>
      </c>
      <c r="J30" s="30">
        <f>ROUND(IF(Funds!$E$14=0,0,Funds!E10/Funds!$E$14*$M$30),2)</f>
        <v>0</v>
      </c>
      <c r="K30" s="30">
        <f>ROUND(IF(Funds!$E$14=0,0,Funds!E11/Funds!$E$14*$M$30),2)</f>
        <v>0</v>
      </c>
      <c r="L30" s="30">
        <f>ROUND(IF(Funds!$E$14=0,0,Funds!E12/Funds!$E$14*$M$30),2)</f>
        <v>0</v>
      </c>
      <c r="M30" s="27">
        <v>0</v>
      </c>
      <c r="N30" s="43" t="s">
        <v>518</v>
      </c>
    </row>
    <row r="31" spans="1:14" x14ac:dyDescent="0.2">
      <c r="A31" s="43" t="str">
        <f>"Abatements "&amp;Instructions!T2&amp;" for "&amp;Instructions!P2&amp;" levy"</f>
        <v>Abatements 07/01/2010 to 06/30/2011 for Pay 2010 levy</v>
      </c>
      <c r="H31" s="68" t="s">
        <v>582</v>
      </c>
      <c r="I31" s="30">
        <f>ROUND(IF(Funds!$E$14=0,0,Funds!E9/Funds!$E$14*$M$31),2)</f>
        <v>0</v>
      </c>
      <c r="J31" s="30">
        <f>ROUND(IF(Funds!$E$14=0,0,Funds!E10/Funds!$E$14*$M$31),2)</f>
        <v>0</v>
      </c>
      <c r="K31" s="30">
        <f>ROUND(IF(Funds!$E$14=0,0,Funds!E11/Funds!$E$14*$M$31),2)</f>
        <v>0</v>
      </c>
      <c r="L31" s="30">
        <f>ROUND(IF(Funds!$E$14=0,0,Funds!E12/Funds!$E$14*$M$31),2)</f>
        <v>0</v>
      </c>
      <c r="M31" s="27">
        <v>0</v>
      </c>
      <c r="N31" s="43" t="s">
        <v>476</v>
      </c>
    </row>
    <row r="32" spans="1:14" x14ac:dyDescent="0.2">
      <c r="A32" s="43" t="str">
        <f>"Abatements "&amp;Instructions!T2&amp;" for "&amp;Instructions!P3&amp;" levy"</f>
        <v>Abatements 07/01/2010 to 06/30/2011 for Pay 2009 levy</v>
      </c>
      <c r="H32" s="68" t="s">
        <v>582</v>
      </c>
      <c r="I32" s="30">
        <f>ROUND(IF(Funds!$F$14=0,0,Funds!F9/Funds!$F$14*$M$32),2)</f>
        <v>0</v>
      </c>
      <c r="J32" s="30">
        <f>ROUND(IF(Funds!$F$14=0,0,Funds!F10/Funds!$F$14*$M$32),2)</f>
        <v>0</v>
      </c>
      <c r="K32" s="30">
        <f>ROUND(IF(Funds!$F$14=0,0,Funds!F11/Funds!$F$14*$M$32),2)</f>
        <v>0</v>
      </c>
      <c r="L32" s="30">
        <f>ROUND(IF(Funds!$F$14=0,0,Funds!F12/Funds!$F$14*$M$32),2)</f>
        <v>0</v>
      </c>
      <c r="M32" s="27">
        <v>0</v>
      </c>
      <c r="N32" s="43" t="s">
        <v>476</v>
      </c>
    </row>
    <row r="33" spans="1:14" x14ac:dyDescent="0.2">
      <c r="A33" s="43" t="str">
        <f>"Abatements "&amp;Instructions!T2&amp;" for "&amp;Instructions!P4&amp;" levy"</f>
        <v>Abatements 07/01/2010 to 06/30/2011 for Pay 2008 levy</v>
      </c>
      <c r="H33" s="68" t="s">
        <v>582</v>
      </c>
      <c r="I33" s="30">
        <f>ROUND(IF(Funds!$G$14=0,0,Funds!G9/Funds!$G$14*$M$33),2)</f>
        <v>0</v>
      </c>
      <c r="J33" s="30">
        <f>ROUND(IF(Funds!$G$14=0,0,Funds!G10/Funds!$G$14*$M$33),2)</f>
        <v>0</v>
      </c>
      <c r="K33" s="30">
        <f>ROUND(IF(Funds!$G$14=0,0,Funds!G11/Funds!$G$14*$M$33),2)</f>
        <v>0</v>
      </c>
      <c r="L33" s="30">
        <f>ROUND(IF(Funds!$G$14=0,0,Funds!G12/Funds!$G$14*$M$33),2)</f>
        <v>0</v>
      </c>
      <c r="M33" s="27">
        <v>0</v>
      </c>
      <c r="N33" s="43" t="s">
        <v>476</v>
      </c>
    </row>
    <row r="34" spans="1:14" x14ac:dyDescent="0.2">
      <c r="A34" s="43" t="str">
        <f>"Abatements "&amp;Instructions!T2&amp;" for "&amp;Instructions!P5&amp;" levy"</f>
        <v>Abatements 07/01/2010 to 06/30/2011 for Pay 2007 levy</v>
      </c>
      <c r="H34" s="68" t="s">
        <v>582</v>
      </c>
      <c r="I34" s="30">
        <f>ROUND(IF(Funds!$H$14=0,0,Funds!H9/Funds!$H$14*$M$34),2)</f>
        <v>0</v>
      </c>
      <c r="J34" s="30">
        <f>ROUND(IF(Funds!$H$14=0,0,Funds!H10/Funds!$H$14*$M$34),2)</f>
        <v>0</v>
      </c>
      <c r="K34" s="30">
        <f>ROUND(IF(Funds!$H$14=0,0,Funds!H11/Funds!$H$14*$M$34),2)</f>
        <v>0</v>
      </c>
      <c r="L34" s="30">
        <f>ROUND(IF(Funds!$H$14=0,0,Funds!H12/Funds!$H$14*$M$34),2)</f>
        <v>0</v>
      </c>
      <c r="M34" s="27">
        <v>0</v>
      </c>
      <c r="N34" s="43" t="s">
        <v>476</v>
      </c>
    </row>
    <row r="35" spans="1:14" x14ac:dyDescent="0.2">
      <c r="A35" s="43" t="str">
        <f>"Abatements "&amp;Instructions!T2&amp;" for "&amp;Instructions!P6&amp;" levy"</f>
        <v>Abatements 07/01/2010 to 06/30/2011 for Pay 2006 levy</v>
      </c>
      <c r="H35" s="68" t="s">
        <v>582</v>
      </c>
      <c r="I35" s="30">
        <f>ROUND(IF(Funds!$I$14=0,0,Funds!I9/Funds!$I$14*$M$35),2)</f>
        <v>0</v>
      </c>
      <c r="J35" s="30">
        <f>ROUND(IF(Funds!$I$14=0,0,Funds!I10/Funds!$I$14*$M$35),2)</f>
        <v>0</v>
      </c>
      <c r="K35" s="30">
        <f>ROUND(IF(Funds!$I$14=0,0,Funds!I11/Funds!$I$14*$M$35),2)</f>
        <v>0</v>
      </c>
      <c r="L35" s="30">
        <f>ROUND(IF(Funds!$I$14=0,0,Funds!I12/Funds!$I$14*$M$35),2)</f>
        <v>0</v>
      </c>
      <c r="M35" s="27">
        <v>0</v>
      </c>
      <c r="N35" s="43" t="s">
        <v>476</v>
      </c>
    </row>
    <row r="36" spans="1:14" x14ac:dyDescent="0.2">
      <c r="A36" s="43" t="str">
        <f>"Abatements "&amp;Instructions!T2&amp;" for "&amp;Instructions!P7&amp;" levy"</f>
        <v>Abatements 07/01/2010 to 06/30/2011 for Pay 2005 levy</v>
      </c>
      <c r="H36" s="68" t="s">
        <v>582</v>
      </c>
      <c r="I36" s="30">
        <f>ROUND(IF(Funds!$J$14=0,0,Funds!J9/Funds!$J$14*$M$36),2)</f>
        <v>0</v>
      </c>
      <c r="J36" s="30">
        <f>ROUND(IF(Funds!$J$14=0,0,Funds!J10/Funds!$J$14*$M$36),2)</f>
        <v>0</v>
      </c>
      <c r="K36" s="30">
        <f>ROUND(IF(Funds!$J$14=0,0,Funds!J11/Funds!$J$14*$M$36),2)</f>
        <v>0</v>
      </c>
      <c r="L36" s="30">
        <f>ROUND(IF(Funds!$J$14=0,0,Funds!J12/Funds!$J$14*$M$36),2)</f>
        <v>0</v>
      </c>
      <c r="M36" s="27">
        <v>0</v>
      </c>
      <c r="N36" s="43" t="s">
        <v>476</v>
      </c>
    </row>
    <row r="37" spans="1:14" x14ac:dyDescent="0.2">
      <c r="A37" s="43" t="str">
        <f>"Abatements "&amp;Instructions!T2&amp;" for "&amp;Instructions!P8&amp;" levy"</f>
        <v>Abatements 07/01/2010 to 06/30/2011 for Pay 2004 levy</v>
      </c>
      <c r="H37" s="68" t="s">
        <v>582</v>
      </c>
      <c r="I37" s="30">
        <f>ROUND(IF(Funds!$K$14=0,0,Funds!K9/Funds!$K$14*$M$37),2)</f>
        <v>0</v>
      </c>
      <c r="J37" s="30">
        <f>ROUND(IF(Funds!$K$14=0,0,Funds!K10/Funds!$K$14*$M$37),2)</f>
        <v>0</v>
      </c>
      <c r="K37" s="30">
        <f>ROUND(IF(Funds!$K$14=0,0,Funds!K11/Funds!$K$14*$M$37),2)</f>
        <v>0</v>
      </c>
      <c r="L37" s="30">
        <f>ROUND(IF(Funds!$K$14=0,0,Funds!K12/Funds!$K$14*$M$37),2)</f>
        <v>0</v>
      </c>
      <c r="M37" s="27">
        <v>0</v>
      </c>
      <c r="N37" s="43" t="s">
        <v>476</v>
      </c>
    </row>
    <row r="38" spans="1:14" x14ac:dyDescent="0.2">
      <c r="A38" s="43" t="str">
        <f>"Write off "&amp;Instructions!P8&amp;" delinquent taxes negative (positive) balance due"</f>
        <v>Write off Pay 2004 delinquent taxes negative (positive) balance due</v>
      </c>
      <c r="H38" s="43" t="s">
        <v>581</v>
      </c>
      <c r="I38" s="30">
        <f>ROUND(IF(Funds!$K$14=0,0,Funds!K9/Funds!$K$14*$M$38),2)</f>
        <v>0</v>
      </c>
      <c r="J38" s="30">
        <f>ROUND(IF(Funds!$K$14=0,0,Funds!K10/Funds!$K$14*$M$38),2)</f>
        <v>0</v>
      </c>
      <c r="K38" s="30">
        <f>ROUND(IF(Funds!$K$14=0,0,Funds!K11/Funds!$K$14*$M$38),2)</f>
        <v>0</v>
      </c>
      <c r="L38" s="30">
        <f>ROUND(IF(Funds!$K$14=0,0,Funds!K12/Funds!$K$14*$M$38),2)</f>
        <v>0</v>
      </c>
      <c r="M38" s="27">
        <v>0</v>
      </c>
      <c r="N38" s="43" t="s">
        <v>476</v>
      </c>
    </row>
    <row r="39" spans="1:14" x14ac:dyDescent="0.2">
      <c r="A39" s="43" t="str">
        <f>"Tax settlements "&amp;Instructions!T2&amp;" for "&amp;Instructions!P2&amp;" and prior levies"</f>
        <v>Tax settlements 07/01/2010 to 06/30/2011 for Pay 2010 and prior levies</v>
      </c>
      <c r="H39" s="68" t="s">
        <v>582</v>
      </c>
      <c r="I39" s="30">
        <f>-Funds!D73</f>
        <v>0</v>
      </c>
      <c r="J39" s="30">
        <f>-Funds!D84</f>
        <v>0</v>
      </c>
      <c r="K39" s="30">
        <f>-Funds!D95</f>
        <v>0</v>
      </c>
      <c r="L39" s="30">
        <f>-Funds!D106</f>
        <v>0</v>
      </c>
      <c r="M39" s="30">
        <f>SUM(I39:L39)</f>
        <v>0</v>
      </c>
      <c r="N39" s="43" t="str">
        <f>"Tax Settlement Reports (Form 52) "&amp;Instructions!T2</f>
        <v>Tax Settlement Reports (Form 52) 07/01/2010 to 06/30/2011</v>
      </c>
    </row>
    <row r="40" spans="1:14" x14ac:dyDescent="0.2">
      <c r="A40" s="43" t="str">
        <f>"Tax settlements Fiscal Disparities "&amp;Instructions!T3&amp;" for "&amp;Instructions!P2</f>
        <v>Tax settlements Fiscal Disparities 07/01/2010 to 04/30/2011 for Pay 2010</v>
      </c>
      <c r="H40" s="68" t="s">
        <v>582</v>
      </c>
      <c r="I40" s="30">
        <f>-Funds!D119</f>
        <v>0</v>
      </c>
      <c r="J40" s="30">
        <f>-Funds!D120</f>
        <v>0</v>
      </c>
      <c r="K40" s="30">
        <f>-Funds!D121</f>
        <v>0</v>
      </c>
      <c r="L40" s="30">
        <f>-Funds!D122</f>
        <v>0</v>
      </c>
      <c r="M40" s="30">
        <f>SUM(I40:L40)</f>
        <v>0</v>
      </c>
      <c r="N40" s="43" t="str">
        <f>"Tax Settlement Reports (Form 52) "&amp;Instructions!T2</f>
        <v>Tax Settlement Reports (Form 52) 07/01/2010 to 06/30/2011</v>
      </c>
    </row>
    <row r="41" spans="1:14" x14ac:dyDescent="0.2">
      <c r="A41" s="43" t="str">
        <f>"Tax settlements Taconite homestead credit "&amp;Instructions!T3&amp;" for "&amp;Instructions!P2</f>
        <v>Tax settlements Taconite homestead credit 07/01/2010 to 04/30/2011 for Pay 2010</v>
      </c>
      <c r="H41" s="68" t="s">
        <v>582</v>
      </c>
      <c r="I41" s="30">
        <f>-Funds!D137</f>
        <v>0</v>
      </c>
      <c r="J41" s="30">
        <f>-Funds!D138</f>
        <v>0</v>
      </c>
      <c r="K41" s="30">
        <f>-Funds!D139</f>
        <v>0</v>
      </c>
      <c r="L41" s="30">
        <f>-Funds!D140</f>
        <v>0</v>
      </c>
      <c r="M41" s="30">
        <f>SUM(I41:L41)</f>
        <v>0</v>
      </c>
      <c r="N41" s="43" t="str">
        <f>"Tax Settlement Reports (Form 52) "&amp;Instructions!T2</f>
        <v>Tax Settlement Reports (Form 52) 07/01/2010 to 06/30/2011</v>
      </c>
    </row>
    <row r="42" spans="1:14" x14ac:dyDescent="0.2">
      <c r="I42" s="30"/>
      <c r="J42" s="30"/>
      <c r="K42" s="30"/>
      <c r="M42" s="30"/>
    </row>
    <row r="43" spans="1:14" x14ac:dyDescent="0.2">
      <c r="B43" s="55" t="str">
        <f>"111 Delinquent Taxes Receivable "&amp;Instructions!S2</f>
        <v>111 Delinquent Taxes Receivable 06/30/11</v>
      </c>
      <c r="I43" s="55">
        <f>SUM(I22:I41)</f>
        <v>0</v>
      </c>
      <c r="J43" s="55">
        <f>SUM(J22:J41)</f>
        <v>0</v>
      </c>
      <c r="K43" s="55">
        <f>SUM(K22:K41)</f>
        <v>0</v>
      </c>
      <c r="L43" s="141">
        <f>SUM(L22:L41)</f>
        <v>0</v>
      </c>
    </row>
    <row r="44" spans="1:14" x14ac:dyDescent="0.2">
      <c r="B44" s="55"/>
    </row>
    <row r="45" spans="1:14" x14ac:dyDescent="0.2">
      <c r="B45" s="55"/>
    </row>
    <row r="46" spans="1:14" x14ac:dyDescent="0.2">
      <c r="B46" s="55"/>
    </row>
    <row r="47" spans="1:14" x14ac:dyDescent="0.2">
      <c r="A47" s="43" t="s">
        <v>572</v>
      </c>
      <c r="B47" s="55"/>
      <c r="H47" s="68" t="s">
        <v>582</v>
      </c>
      <c r="I47" s="43">
        <f>Report!I18</f>
        <v>906.22000000003027</v>
      </c>
      <c r="J47" s="43">
        <f>Report!I23</f>
        <v>-18953.580000000002</v>
      </c>
      <c r="M47" s="43">
        <f>SUM(I47:L47)</f>
        <v>-18047.359999999971</v>
      </c>
      <c r="N47" s="43" t="s">
        <v>569</v>
      </c>
    </row>
    <row r="48" spans="1:14" x14ac:dyDescent="0.2">
      <c r="B48" s="55"/>
    </row>
    <row r="49" spans="1:14" x14ac:dyDescent="0.2">
      <c r="B49" s="70" t="str">
        <f>"213 Property Tax Shift Adjustment "&amp;Instructions!S2</f>
        <v>213 Property Tax Shift Adjustment 06/30/11</v>
      </c>
      <c r="I49" s="55">
        <f>I47</f>
        <v>906.22000000003027</v>
      </c>
      <c r="J49" s="55">
        <f>J47</f>
        <v>-18953.580000000002</v>
      </c>
    </row>
    <row r="50" spans="1:14" x14ac:dyDescent="0.2">
      <c r="B50" s="55"/>
    </row>
    <row r="51" spans="1:14" x14ac:dyDescent="0.2">
      <c r="B51" s="55"/>
    </row>
    <row r="53" spans="1:14" x14ac:dyDescent="0.2">
      <c r="A53" s="43" t="s">
        <v>477</v>
      </c>
      <c r="H53" s="43" t="s">
        <v>413</v>
      </c>
      <c r="I53" s="30">
        <f>Report!E108</f>
        <v>13241.929999999993</v>
      </c>
      <c r="J53" s="30">
        <f>-Report!E110</f>
        <v>0</v>
      </c>
      <c r="M53" s="43">
        <f>SUM(I53:L53)</f>
        <v>13241.929999999993</v>
      </c>
      <c r="N53" s="43" t="s">
        <v>519</v>
      </c>
    </row>
    <row r="55" spans="1:14" x14ac:dyDescent="0.2">
      <c r="B55" s="55" t="str">
        <f>"214 Advance of Unearned General Education Aid "&amp;Instructions!S2</f>
        <v>214 Advance of Unearned General Education Aid 06/30/11</v>
      </c>
      <c r="I55" s="43">
        <f>SUM(I53:I54)</f>
        <v>13241.929999999993</v>
      </c>
      <c r="J55" s="43">
        <f>SUM(J53:J54)</f>
        <v>0</v>
      </c>
    </row>
    <row r="56" spans="1:14" x14ac:dyDescent="0.2">
      <c r="B56" s="71"/>
    </row>
    <row r="57" spans="1:14" x14ac:dyDescent="0.2">
      <c r="B57" s="55"/>
    </row>
    <row r="58" spans="1:14" x14ac:dyDescent="0.2">
      <c r="B58" s="55"/>
    </row>
    <row r="59" spans="1:14" x14ac:dyDescent="0.2">
      <c r="A59" s="43" t="str">
        <f>"Deferred Revenue for Delinquent Taxes "&amp;Instructions!S3</f>
        <v>Deferred Revenue for Delinquent Taxes 06/30/10</v>
      </c>
      <c r="H59" s="68" t="s">
        <v>582</v>
      </c>
      <c r="I59" s="26">
        <v>0</v>
      </c>
      <c r="J59" s="26">
        <v>0</v>
      </c>
      <c r="K59" s="26">
        <v>0</v>
      </c>
      <c r="L59" s="142">
        <v>0</v>
      </c>
      <c r="M59" s="30">
        <f>SUM(I59:L59)</f>
        <v>0</v>
      </c>
      <c r="N59" s="43" t="str">
        <f>"General Ledger "&amp;Instructions!S3</f>
        <v>General Ledger 06/30/10</v>
      </c>
    </row>
    <row r="60" spans="1:14" x14ac:dyDescent="0.2">
      <c r="A60" s="43" t="str">
        <f>"Decrease (increase) in Delinquent Taxes from "&amp;Instructions!S3&amp;" to "&amp;Instructions!S2</f>
        <v>Decrease (increase) in Delinquent Taxes from 06/30/10 to 06/30/11</v>
      </c>
      <c r="H60" s="43" t="s">
        <v>581</v>
      </c>
      <c r="I60" s="43">
        <f>I22-I43</f>
        <v>0</v>
      </c>
      <c r="J60" s="43">
        <f>J22-J43</f>
        <v>0</v>
      </c>
      <c r="K60" s="43">
        <f>K22-K43</f>
        <v>0</v>
      </c>
      <c r="L60" s="30">
        <f>L22-L43</f>
        <v>0</v>
      </c>
      <c r="M60" s="30">
        <f>SUM(I60:L60)</f>
        <v>0</v>
      </c>
      <c r="N60" s="43" t="s">
        <v>475</v>
      </c>
    </row>
    <row r="61" spans="1:14" x14ac:dyDescent="0.2">
      <c r="A61" s="43" t="str">
        <f>"Increase (decrease) in amount to be collected within 60 days from "&amp;Instructions!S3&amp;" to "&amp;Instructions!S2</f>
        <v>Increase (decrease) in amount to be collected within 60 days from 06/30/10 to 06/30/11</v>
      </c>
      <c r="H61" s="43" t="s">
        <v>581</v>
      </c>
      <c r="I61" s="29">
        <v>0</v>
      </c>
      <c r="J61" s="29">
        <v>0</v>
      </c>
      <c r="K61" s="29">
        <v>0</v>
      </c>
      <c r="L61" s="142">
        <v>0</v>
      </c>
      <c r="M61" s="30">
        <f>SUM(I61:L61)</f>
        <v>0</v>
      </c>
      <c r="N61" s="43" t="s">
        <v>670</v>
      </c>
    </row>
    <row r="63" spans="1:14" x14ac:dyDescent="0.2">
      <c r="B63" s="55" t="str">
        <f>"231 Deferred Revenue--Delinquent Taxes "&amp;Instructions!S2</f>
        <v>231 Deferred Revenue--Delinquent Taxes 06/30/11</v>
      </c>
      <c r="I63" s="55">
        <f>SUM(I59:I61)</f>
        <v>0</v>
      </c>
      <c r="J63" s="55">
        <f>SUM(J59:J61)</f>
        <v>0</v>
      </c>
      <c r="K63" s="55">
        <f>SUM(K59:K61)</f>
        <v>0</v>
      </c>
      <c r="L63" s="141">
        <f>SUM(L59:L61)</f>
        <v>0</v>
      </c>
    </row>
    <row r="64" spans="1:14" x14ac:dyDescent="0.2">
      <c r="B64" s="55"/>
    </row>
    <row r="65" spans="1:14" x14ac:dyDescent="0.2">
      <c r="B65" s="55"/>
    </row>
    <row r="67" spans="1:14" x14ac:dyDescent="0.2">
      <c r="A67" s="43" t="str">
        <f>Instructions!P1&amp;" Certified Levy"</f>
        <v>Pay 2011 Certified Levy</v>
      </c>
      <c r="H67" s="68" t="s">
        <v>582</v>
      </c>
      <c r="I67" s="43">
        <f>-I12</f>
        <v>0</v>
      </c>
      <c r="J67" s="43">
        <f>-J12</f>
        <v>0</v>
      </c>
      <c r="K67" s="43">
        <f>-K12</f>
        <v>0</v>
      </c>
      <c r="L67" s="30">
        <f>-L12</f>
        <v>0</v>
      </c>
      <c r="M67" s="43">
        <f>SUM(I67:L67)</f>
        <v>0</v>
      </c>
      <c r="N67" s="43" t="s">
        <v>520</v>
      </c>
    </row>
    <row r="68" spans="1:14" x14ac:dyDescent="0.2">
      <c r="A68" s="43" t="str">
        <f>"Property Tax Shift into "&amp;Instructions!R2</f>
        <v>Property Tax Shift into FY 2011</v>
      </c>
      <c r="H68" s="43" t="s">
        <v>413</v>
      </c>
      <c r="I68" s="30">
        <f>Report!C18</f>
        <v>392391.67</v>
      </c>
      <c r="J68" s="30">
        <f>Report!C23</f>
        <v>27316.07</v>
      </c>
      <c r="K68" s="30"/>
      <c r="M68" s="43">
        <f>SUM(I68:L68)</f>
        <v>419707.74</v>
      </c>
      <c r="N68" s="43" t="s">
        <v>577</v>
      </c>
    </row>
    <row r="69" spans="1:14" x14ac:dyDescent="0.2">
      <c r="A69" s="43" t="s">
        <v>477</v>
      </c>
      <c r="H69" s="68" t="s">
        <v>582</v>
      </c>
      <c r="I69" s="43">
        <f>-I55</f>
        <v>-13241.929999999993</v>
      </c>
      <c r="J69" s="43">
        <f>-J55</f>
        <v>0</v>
      </c>
      <c r="M69" s="43">
        <f>SUM(I69:L69)</f>
        <v>-13241.929999999993</v>
      </c>
      <c r="N69" s="43" t="str">
        <f>"Account 214 balance at "&amp;Instructions!S2</f>
        <v>Account 214 balance at 06/30/11</v>
      </c>
    </row>
    <row r="71" spans="1:14" x14ac:dyDescent="0.2">
      <c r="B71" s="55" t="str">
        <f>"235 Property Taxes for Subsequent Years "&amp;Instructions!S2</f>
        <v>235 Property Taxes for Subsequent Years 06/30/11</v>
      </c>
      <c r="I71" s="55">
        <f>SUM(I67:I69)</f>
        <v>379149.74</v>
      </c>
      <c r="J71" s="55">
        <f>SUM(J67:J69)</f>
        <v>27316.07</v>
      </c>
      <c r="K71" s="55">
        <f>SUM(K67:K69)</f>
        <v>0</v>
      </c>
      <c r="L71" s="141">
        <f>SUM(L67:L69)</f>
        <v>0</v>
      </c>
    </row>
    <row r="72" spans="1:14" x14ac:dyDescent="0.2">
      <c r="B72" s="55"/>
    </row>
    <row r="73" spans="1:14" x14ac:dyDescent="0.2">
      <c r="B73" s="55"/>
    </row>
    <row r="74" spans="1:14" x14ac:dyDescent="0.2">
      <c r="B74" s="55"/>
    </row>
    <row r="75" spans="1:14" x14ac:dyDescent="0.2">
      <c r="A75" s="141" t="s">
        <v>478</v>
      </c>
    </row>
    <row r="77" spans="1:14" x14ac:dyDescent="0.2">
      <c r="A77" s="43" t="str">
        <f>Instructions!P2&amp;" Certified Levy"</f>
        <v>Pay 2010 Certified Levy</v>
      </c>
      <c r="H77" s="68" t="s">
        <v>582</v>
      </c>
      <c r="I77" s="30">
        <f>-Funds!E9</f>
        <v>0</v>
      </c>
      <c r="J77" s="30">
        <f>-Funds!E10</f>
        <v>0</v>
      </c>
      <c r="K77" s="30">
        <f>-Funds!E11</f>
        <v>0</v>
      </c>
      <c r="L77" s="30">
        <f>-Funds!E12</f>
        <v>0</v>
      </c>
      <c r="M77" s="30">
        <f>SUM(I77:L77)</f>
        <v>0</v>
      </c>
      <c r="N77" s="43" t="s">
        <v>520</v>
      </c>
    </row>
    <row r="78" spans="1:14" s="30" customFormat="1" x14ac:dyDescent="0.2">
      <c r="A78" s="30" t="str">
        <f>"Decrease (increase) to "&amp;Instructions!P2&amp;" levy by county"</f>
        <v>Decrease (increase) to Pay 2010 levy by county</v>
      </c>
      <c r="H78" s="30" t="s">
        <v>581</v>
      </c>
      <c r="I78" s="30">
        <f t="shared" ref="I78:K92" si="0">-I24</f>
        <v>0</v>
      </c>
      <c r="J78" s="30">
        <f t="shared" si="0"/>
        <v>0</v>
      </c>
      <c r="K78" s="30">
        <f t="shared" si="0"/>
        <v>0</v>
      </c>
      <c r="L78" s="30">
        <f t="shared" ref="L78:L92" si="1">-L24</f>
        <v>0</v>
      </c>
      <c r="M78" s="30">
        <f t="shared" ref="M78:M96" si="2">SUM(I78:L78)</f>
        <v>0</v>
      </c>
      <c r="N78" s="30" t="s">
        <v>476</v>
      </c>
    </row>
    <row r="79" spans="1:14" x14ac:dyDescent="0.2">
      <c r="A79" s="43" t="str">
        <f>"Decrease (increase) to "&amp;Instructions!P3&amp;" levy by county"</f>
        <v>Decrease (increase) to Pay 2009 levy by county</v>
      </c>
      <c r="H79" s="43" t="s">
        <v>581</v>
      </c>
      <c r="I79" s="43">
        <f t="shared" si="0"/>
        <v>0</v>
      </c>
      <c r="J79" s="43">
        <f t="shared" si="0"/>
        <v>0</v>
      </c>
      <c r="K79" s="43">
        <f t="shared" si="0"/>
        <v>0</v>
      </c>
      <c r="L79" s="30">
        <f t="shared" si="1"/>
        <v>0</v>
      </c>
      <c r="M79" s="30">
        <f t="shared" si="2"/>
        <v>0</v>
      </c>
      <c r="N79" s="43" t="s">
        <v>476</v>
      </c>
    </row>
    <row r="80" spans="1:14" x14ac:dyDescent="0.2">
      <c r="A80" s="43" t="str">
        <f>"Education Homestead Market Value Credit for "&amp;Instructions!R2</f>
        <v>Education Homestead Market Value Credit for FY 2011</v>
      </c>
      <c r="H80" s="43" t="s">
        <v>413</v>
      </c>
      <c r="I80" s="43">
        <f t="shared" si="0"/>
        <v>0</v>
      </c>
      <c r="J80" s="43">
        <f t="shared" si="0"/>
        <v>0</v>
      </c>
      <c r="K80" s="43">
        <f t="shared" si="0"/>
        <v>0</v>
      </c>
      <c r="L80" s="30">
        <f t="shared" si="1"/>
        <v>0</v>
      </c>
      <c r="M80" s="30">
        <f t="shared" si="2"/>
        <v>0</v>
      </c>
      <c r="N80" s="43" t="s">
        <v>476</v>
      </c>
    </row>
    <row r="81" spans="1:14" x14ac:dyDescent="0.2">
      <c r="A81" s="43" t="str">
        <f>"Agricultural Educ Homestead Market Value Credit for "&amp;Instructions!R2</f>
        <v>Agricultural Educ Homestead Market Value Credit for FY 2011</v>
      </c>
      <c r="H81" s="43" t="s">
        <v>413</v>
      </c>
      <c r="I81" s="43">
        <f t="shared" si="0"/>
        <v>0</v>
      </c>
      <c r="J81" s="43">
        <f t="shared" si="0"/>
        <v>0</v>
      </c>
      <c r="K81" s="43">
        <f t="shared" si="0"/>
        <v>0</v>
      </c>
      <c r="L81" s="30">
        <f t="shared" si="1"/>
        <v>0</v>
      </c>
      <c r="M81" s="30">
        <f t="shared" si="2"/>
        <v>0</v>
      </c>
      <c r="N81" s="43" t="s">
        <v>476</v>
      </c>
    </row>
    <row r="82" spans="1:14" x14ac:dyDescent="0.2">
      <c r="A82" s="43" t="str">
        <f>"Other Credits for "&amp;Instructions!R2</f>
        <v>Other Credits for FY 2011</v>
      </c>
      <c r="H82" s="43" t="s">
        <v>413</v>
      </c>
      <c r="I82" s="43">
        <f t="shared" si="0"/>
        <v>0</v>
      </c>
      <c r="J82" s="43">
        <f t="shared" si="0"/>
        <v>0</v>
      </c>
      <c r="K82" s="43">
        <f t="shared" si="0"/>
        <v>0</v>
      </c>
      <c r="L82" s="30">
        <f t="shared" si="1"/>
        <v>0</v>
      </c>
      <c r="M82" s="30">
        <f t="shared" si="2"/>
        <v>0</v>
      </c>
      <c r="N82" s="43" t="s">
        <v>476</v>
      </c>
    </row>
    <row r="83" spans="1:14" x14ac:dyDescent="0.2">
      <c r="A83" s="43" t="str">
        <f>"Disparity Aid adjustments for "&amp;Instructions!R2</f>
        <v>Disparity Aid adjustments for FY 2011</v>
      </c>
      <c r="H83" s="43" t="s">
        <v>413</v>
      </c>
      <c r="I83" s="43">
        <f t="shared" si="0"/>
        <v>0</v>
      </c>
      <c r="J83" s="43">
        <f t="shared" si="0"/>
        <v>0</v>
      </c>
      <c r="K83" s="43">
        <f t="shared" si="0"/>
        <v>0</v>
      </c>
      <c r="L83" s="30">
        <f t="shared" si="1"/>
        <v>0</v>
      </c>
      <c r="M83" s="30">
        <f t="shared" si="2"/>
        <v>0</v>
      </c>
      <c r="N83" s="43" t="s">
        <v>476</v>
      </c>
    </row>
    <row r="84" spans="1:14" x14ac:dyDescent="0.2">
      <c r="A84" s="43" t="s">
        <v>583</v>
      </c>
      <c r="H84" s="43" t="s">
        <v>581</v>
      </c>
      <c r="I84" s="43">
        <f t="shared" si="0"/>
        <v>0</v>
      </c>
      <c r="J84" s="43">
        <f t="shared" si="0"/>
        <v>0</v>
      </c>
      <c r="K84" s="43">
        <f t="shared" si="0"/>
        <v>0</v>
      </c>
      <c r="L84" s="30">
        <f t="shared" si="1"/>
        <v>0</v>
      </c>
      <c r="M84" s="30">
        <f t="shared" si="2"/>
        <v>0</v>
      </c>
      <c r="N84" s="43" t="s">
        <v>518</v>
      </c>
    </row>
    <row r="85" spans="1:14" x14ac:dyDescent="0.2">
      <c r="A85" s="43" t="str">
        <f>"Abatements "&amp;Instructions!T2&amp;" for "&amp;Instructions!P2&amp;" levy"</f>
        <v>Abatements 07/01/2010 to 06/30/2011 for Pay 2010 levy</v>
      </c>
      <c r="H85" s="43" t="s">
        <v>413</v>
      </c>
      <c r="I85" s="43">
        <f t="shared" si="0"/>
        <v>0</v>
      </c>
      <c r="J85" s="43">
        <f t="shared" si="0"/>
        <v>0</v>
      </c>
      <c r="K85" s="43">
        <f t="shared" si="0"/>
        <v>0</v>
      </c>
      <c r="L85" s="30">
        <f t="shared" si="1"/>
        <v>0</v>
      </c>
      <c r="M85" s="30">
        <f t="shared" si="2"/>
        <v>0</v>
      </c>
      <c r="N85" s="43" t="s">
        <v>476</v>
      </c>
    </row>
    <row r="86" spans="1:14" x14ac:dyDescent="0.2">
      <c r="A86" s="43" t="str">
        <f>"Abatements "&amp;Instructions!T2&amp;" for "&amp;Instructions!P3&amp;" levy"</f>
        <v>Abatements 07/01/2010 to 06/30/2011 for Pay 2009 levy</v>
      </c>
      <c r="H86" s="43" t="s">
        <v>413</v>
      </c>
      <c r="I86" s="43">
        <f t="shared" si="0"/>
        <v>0</v>
      </c>
      <c r="J86" s="43">
        <f t="shared" si="0"/>
        <v>0</v>
      </c>
      <c r="K86" s="43">
        <f t="shared" si="0"/>
        <v>0</v>
      </c>
      <c r="L86" s="30">
        <f t="shared" si="1"/>
        <v>0</v>
      </c>
      <c r="M86" s="30">
        <f t="shared" si="2"/>
        <v>0</v>
      </c>
      <c r="N86" s="43" t="s">
        <v>476</v>
      </c>
    </row>
    <row r="87" spans="1:14" x14ac:dyDescent="0.2">
      <c r="A87" s="43" t="str">
        <f>"Abatements "&amp;Instructions!T2&amp;" for "&amp;Instructions!P4&amp;" levy"</f>
        <v>Abatements 07/01/2010 to 06/30/2011 for Pay 2008 levy</v>
      </c>
      <c r="H87" s="43" t="s">
        <v>413</v>
      </c>
      <c r="I87" s="43">
        <f t="shared" si="0"/>
        <v>0</v>
      </c>
      <c r="J87" s="43">
        <f t="shared" si="0"/>
        <v>0</v>
      </c>
      <c r="K87" s="43">
        <f t="shared" si="0"/>
        <v>0</v>
      </c>
      <c r="L87" s="30">
        <f t="shared" si="1"/>
        <v>0</v>
      </c>
      <c r="M87" s="30">
        <f t="shared" si="2"/>
        <v>0</v>
      </c>
      <c r="N87" s="43" t="s">
        <v>476</v>
      </c>
    </row>
    <row r="88" spans="1:14" x14ac:dyDescent="0.2">
      <c r="A88" s="43" t="str">
        <f>"Abatements "&amp;Instructions!T2&amp;" for "&amp;Instructions!P5&amp;" levy"</f>
        <v>Abatements 07/01/2010 to 06/30/2011 for Pay 2007 levy</v>
      </c>
      <c r="H88" s="43" t="s">
        <v>413</v>
      </c>
      <c r="I88" s="43">
        <f t="shared" si="0"/>
        <v>0</v>
      </c>
      <c r="J88" s="43">
        <f t="shared" si="0"/>
        <v>0</v>
      </c>
      <c r="K88" s="43">
        <f t="shared" si="0"/>
        <v>0</v>
      </c>
      <c r="L88" s="30">
        <f t="shared" si="1"/>
        <v>0</v>
      </c>
      <c r="M88" s="30">
        <f t="shared" si="2"/>
        <v>0</v>
      </c>
      <c r="N88" s="43" t="s">
        <v>476</v>
      </c>
    </row>
    <row r="89" spans="1:14" x14ac:dyDescent="0.2">
      <c r="A89" s="43" t="str">
        <f>"Abatements "&amp;Instructions!T2&amp;" for "&amp;Instructions!P6&amp;" levy"</f>
        <v>Abatements 07/01/2010 to 06/30/2011 for Pay 2006 levy</v>
      </c>
      <c r="H89" s="43" t="s">
        <v>413</v>
      </c>
      <c r="I89" s="43">
        <f t="shared" si="0"/>
        <v>0</v>
      </c>
      <c r="J89" s="43">
        <f t="shared" si="0"/>
        <v>0</v>
      </c>
      <c r="K89" s="43">
        <f t="shared" si="0"/>
        <v>0</v>
      </c>
      <c r="L89" s="30">
        <f t="shared" si="1"/>
        <v>0</v>
      </c>
      <c r="M89" s="30">
        <f t="shared" si="2"/>
        <v>0</v>
      </c>
      <c r="N89" s="43" t="s">
        <v>476</v>
      </c>
    </row>
    <row r="90" spans="1:14" x14ac:dyDescent="0.2">
      <c r="A90" s="43" t="str">
        <f>"Abatements "&amp;Instructions!T2&amp;" for "&amp;Instructions!P7&amp;" levy"</f>
        <v>Abatements 07/01/2010 to 06/30/2011 for Pay 2005 levy</v>
      </c>
      <c r="H90" s="43" t="s">
        <v>413</v>
      </c>
      <c r="I90" s="43">
        <f t="shared" si="0"/>
        <v>0</v>
      </c>
      <c r="J90" s="43">
        <f t="shared" si="0"/>
        <v>0</v>
      </c>
      <c r="K90" s="43">
        <f t="shared" si="0"/>
        <v>0</v>
      </c>
      <c r="L90" s="30">
        <f t="shared" si="1"/>
        <v>0</v>
      </c>
      <c r="M90" s="30">
        <f t="shared" si="2"/>
        <v>0</v>
      </c>
      <c r="N90" s="43" t="s">
        <v>476</v>
      </c>
    </row>
    <row r="91" spans="1:14" x14ac:dyDescent="0.2">
      <c r="A91" s="43" t="str">
        <f>"Abatements "&amp;Instructions!T2&amp;" for "&amp;Instructions!P8&amp;" levy"</f>
        <v>Abatements 07/01/2010 to 06/30/2011 for Pay 2004 levy</v>
      </c>
      <c r="H91" s="43" t="s">
        <v>413</v>
      </c>
      <c r="I91" s="43">
        <f t="shared" si="0"/>
        <v>0</v>
      </c>
      <c r="J91" s="43">
        <f t="shared" si="0"/>
        <v>0</v>
      </c>
      <c r="K91" s="43">
        <f t="shared" si="0"/>
        <v>0</v>
      </c>
      <c r="L91" s="30">
        <f t="shared" si="1"/>
        <v>0</v>
      </c>
      <c r="M91" s="30">
        <f t="shared" si="2"/>
        <v>0</v>
      </c>
      <c r="N91" s="43" t="s">
        <v>476</v>
      </c>
    </row>
    <row r="92" spans="1:14" x14ac:dyDescent="0.2">
      <c r="A92" s="43" t="str">
        <f>"Write off "&amp;Instructions!P8&amp;" delinquent taxes positive (negative) balance due"</f>
        <v>Write off Pay 2004 delinquent taxes positive (negative) balance due</v>
      </c>
      <c r="H92" s="43" t="s">
        <v>581</v>
      </c>
      <c r="I92" s="43">
        <f t="shared" si="0"/>
        <v>0</v>
      </c>
      <c r="J92" s="43">
        <f t="shared" si="0"/>
        <v>0</v>
      </c>
      <c r="K92" s="43">
        <f t="shared" si="0"/>
        <v>0</v>
      </c>
      <c r="L92" s="30">
        <f t="shared" si="1"/>
        <v>0</v>
      </c>
      <c r="M92" s="30">
        <f t="shared" si="2"/>
        <v>0</v>
      </c>
      <c r="N92" s="43" t="s">
        <v>476</v>
      </c>
    </row>
    <row r="93" spans="1:14" x14ac:dyDescent="0.2">
      <c r="A93" s="43" t="str">
        <f>"Fiscal Disparities adjustment for "&amp;Instructions!R2</f>
        <v>Fiscal Disparities adjustment for FY 2011</v>
      </c>
      <c r="H93" s="43" t="s">
        <v>413</v>
      </c>
      <c r="I93" s="43">
        <f>-I102</f>
        <v>0</v>
      </c>
      <c r="J93" s="43">
        <f>-J102</f>
        <v>0</v>
      </c>
      <c r="K93" s="43">
        <f>-K102</f>
        <v>0</v>
      </c>
      <c r="L93" s="30">
        <f>-L102</f>
        <v>0</v>
      </c>
      <c r="M93" s="30">
        <f t="shared" si="2"/>
        <v>0</v>
      </c>
      <c r="N93" s="43" t="s">
        <v>473</v>
      </c>
    </row>
    <row r="94" spans="1:14" x14ac:dyDescent="0.2">
      <c r="A94" s="43" t="str">
        <f>"Taconite Homestead credit for "&amp;Instructions!R2</f>
        <v>Taconite Homestead credit for FY 2011</v>
      </c>
      <c r="H94" s="43" t="s">
        <v>413</v>
      </c>
      <c r="I94" s="43">
        <f>-I108</f>
        <v>0</v>
      </c>
      <c r="J94" s="43">
        <f>-J108</f>
        <v>0</v>
      </c>
      <c r="K94" s="43">
        <f>-K108</f>
        <v>0</v>
      </c>
      <c r="L94" s="30">
        <f>-L108</f>
        <v>0</v>
      </c>
      <c r="M94" s="30">
        <f t="shared" si="2"/>
        <v>0</v>
      </c>
      <c r="N94" s="43" t="s">
        <v>473</v>
      </c>
    </row>
    <row r="95" spans="1:14" x14ac:dyDescent="0.2">
      <c r="A95" s="43" t="str">
        <f>"Property Tax Shift into "&amp;Instructions!R3</f>
        <v>Property Tax Shift into FY 2010</v>
      </c>
      <c r="H95" s="43" t="s">
        <v>413</v>
      </c>
      <c r="I95" s="30">
        <f>Report!D11+Report!D12+Report!D13+Report!D14+Report!D15+Report!D16+Report!D17</f>
        <v>138186.66</v>
      </c>
      <c r="J95" s="30">
        <f>Report!D21+Report!D22</f>
        <v>0</v>
      </c>
      <c r="M95" s="30">
        <f t="shared" si="2"/>
        <v>138186.66</v>
      </c>
      <c r="N95" s="43" t="s">
        <v>573</v>
      </c>
    </row>
    <row r="96" spans="1:14" x14ac:dyDescent="0.2">
      <c r="A96" s="43" t="str">
        <f>"Property Tax Shift into "&amp;Instructions!R2</f>
        <v>Property Tax Shift into FY 2011</v>
      </c>
      <c r="H96" s="68" t="s">
        <v>582</v>
      </c>
      <c r="I96" s="30">
        <f>-(Report!C11+Report!C12+Report!C13+Report!C14+Report!C15+Report!C16+Report!C17)</f>
        <v>-148937.25</v>
      </c>
      <c r="J96" s="30">
        <f>-(Report!C21+Report!C22)</f>
        <v>0</v>
      </c>
      <c r="M96" s="30">
        <f t="shared" si="2"/>
        <v>-148937.25</v>
      </c>
      <c r="N96" s="43" t="s">
        <v>574</v>
      </c>
    </row>
    <row r="98" spans="1:14" x14ac:dyDescent="0.2">
      <c r="B98" s="55" t="str">
        <f>"001 Tax Revenue for "&amp;Instructions!R2</f>
        <v>001 Tax Revenue for FY 2011</v>
      </c>
      <c r="I98" s="55">
        <f>SUM(I77:I96)</f>
        <v>-10750.589999999997</v>
      </c>
      <c r="J98" s="55">
        <f>SUM(J77:J96)</f>
        <v>0</v>
      </c>
      <c r="K98" s="55">
        <f>SUM(K77:K96)</f>
        <v>0</v>
      </c>
      <c r="L98" s="141">
        <f>SUM(L77:L96)</f>
        <v>0</v>
      </c>
    </row>
    <row r="99" spans="1:14" x14ac:dyDescent="0.2">
      <c r="B99" s="55"/>
    </row>
    <row r="100" spans="1:14" x14ac:dyDescent="0.2">
      <c r="B100" s="55"/>
    </row>
    <row r="102" spans="1:14" x14ac:dyDescent="0.2">
      <c r="A102" s="43" t="str">
        <f>"Tax settlements Fiscal Disparities for "&amp;Instructions!P2&amp;" levy"</f>
        <v>Tax settlements Fiscal Disparities for Pay 2010 levy</v>
      </c>
      <c r="H102" s="68" t="s">
        <v>582</v>
      </c>
      <c r="I102" s="43">
        <f>I14+I40</f>
        <v>0</v>
      </c>
      <c r="J102" s="43">
        <f>J14+J40</f>
        <v>0</v>
      </c>
      <c r="K102" s="43">
        <f>K14+K40</f>
        <v>0</v>
      </c>
      <c r="L102" s="30">
        <f>L14+L40</f>
        <v>0</v>
      </c>
      <c r="M102" s="43">
        <f>SUM(I102:L102)</f>
        <v>0</v>
      </c>
      <c r="N102" s="43" t="s">
        <v>473</v>
      </c>
    </row>
    <row r="104" spans="1:14" x14ac:dyDescent="0.2">
      <c r="B104" s="55" t="str">
        <f>"009 Fisclal Disparities for "&amp;Instructions!R2</f>
        <v>009 Fisclal Disparities for FY 2011</v>
      </c>
      <c r="I104" s="55">
        <f>SUM(I102)</f>
        <v>0</v>
      </c>
      <c r="J104" s="55">
        <f>SUM(J102)</f>
        <v>0</v>
      </c>
      <c r="K104" s="55">
        <f>SUM(K102)</f>
        <v>0</v>
      </c>
      <c r="L104" s="141">
        <f>SUM(L102)</f>
        <v>0</v>
      </c>
    </row>
    <row r="105" spans="1:14" x14ac:dyDescent="0.2">
      <c r="B105" s="55"/>
    </row>
    <row r="106" spans="1:14" x14ac:dyDescent="0.2">
      <c r="B106" s="55"/>
    </row>
    <row r="108" spans="1:14" x14ac:dyDescent="0.2">
      <c r="A108" s="43" t="str">
        <f>"Tax settlements Taconite homestead credit for "&amp;Instructions!P2&amp;" levy"</f>
        <v>Tax settlements Taconite homestead credit for Pay 2010 levy</v>
      </c>
      <c r="H108" s="68" t="s">
        <v>582</v>
      </c>
      <c r="I108" s="43">
        <f>I15+I41</f>
        <v>0</v>
      </c>
      <c r="J108" s="43">
        <f>J15+J41</f>
        <v>0</v>
      </c>
      <c r="K108" s="43">
        <f>K15+K41</f>
        <v>0</v>
      </c>
      <c r="L108" s="30">
        <f>L15+L41</f>
        <v>0</v>
      </c>
      <c r="M108" s="43">
        <f>SUM(I108:L108)</f>
        <v>0</v>
      </c>
      <c r="N108" s="43" t="s">
        <v>473</v>
      </c>
    </row>
    <row r="110" spans="1:14" x14ac:dyDescent="0.2">
      <c r="B110" s="55" t="str">
        <f>"014 Taconite Homestead Credits for "&amp;Instructions!R2</f>
        <v>014 Taconite Homestead Credits for FY 2011</v>
      </c>
      <c r="I110" s="55">
        <f>I108</f>
        <v>0</v>
      </c>
      <c r="J110" s="55">
        <f>J108</f>
        <v>0</v>
      </c>
      <c r="K110" s="55">
        <f>K108</f>
        <v>0</v>
      </c>
      <c r="L110" s="141">
        <f>L108</f>
        <v>0</v>
      </c>
    </row>
    <row r="111" spans="1:14" x14ac:dyDescent="0.2">
      <c r="B111" s="55"/>
      <c r="I111" s="55"/>
      <c r="J111" s="55"/>
      <c r="K111" s="55"/>
      <c r="L111" s="141"/>
    </row>
    <row r="112" spans="1:14" x14ac:dyDescent="0.2">
      <c r="B112" s="55"/>
    </row>
    <row r="113" spans="1:14" x14ac:dyDescent="0.2">
      <c r="B113" s="55"/>
    </row>
    <row r="114" spans="1:14" x14ac:dyDescent="0.2">
      <c r="A114" s="56" t="str">
        <f>"Property Tax Shift into "&amp;Instructions!R3</f>
        <v>Property Tax Shift into FY 2010</v>
      </c>
      <c r="H114" s="43" t="s">
        <v>413</v>
      </c>
      <c r="I114" s="43">
        <f>Report!D9+Report!D10</f>
        <v>0</v>
      </c>
      <c r="J114" s="43">
        <f>-Report!D20</f>
        <v>0</v>
      </c>
      <c r="M114" s="43">
        <f>SUM(I114:L114)</f>
        <v>0</v>
      </c>
      <c r="N114" s="43" t="s">
        <v>570</v>
      </c>
    </row>
    <row r="115" spans="1:14" x14ac:dyDescent="0.2">
      <c r="A115" s="43" t="str">
        <f>"Property Tax Shift into "&amp;Instructions!R2</f>
        <v>Property Tax Shift into FY 2011</v>
      </c>
      <c r="H115" s="68" t="s">
        <v>582</v>
      </c>
      <c r="I115" s="43">
        <f>-(Report!C9+Report!C10)</f>
        <v>-243454.41999999998</v>
      </c>
      <c r="J115" s="43">
        <f>-Report!C20</f>
        <v>-27316.07</v>
      </c>
      <c r="M115" s="43">
        <f>SUM(I115:L115)</f>
        <v>-270770.49</v>
      </c>
      <c r="N115" s="43" t="s">
        <v>571</v>
      </c>
    </row>
    <row r="117" spans="1:14" x14ac:dyDescent="0.2">
      <c r="B117" s="70" t="str">
        <f>"020 Property Tax Shift Revenue for "&amp;Instructions!R2</f>
        <v>020 Property Tax Shift Revenue for FY 2011</v>
      </c>
      <c r="I117" s="43">
        <f>SUM(I114:I115)</f>
        <v>-243454.41999999998</v>
      </c>
      <c r="J117" s="43">
        <f>SUM(J114:J115)</f>
        <v>-27316.07</v>
      </c>
    </row>
    <row r="119" spans="1:14" x14ac:dyDescent="0.2">
      <c r="B119" s="55"/>
    </row>
    <row r="121" spans="1:14" x14ac:dyDescent="0.2">
      <c r="A121" s="43" t="s">
        <v>479</v>
      </c>
      <c r="H121" s="68" t="s">
        <v>582</v>
      </c>
      <c r="I121" s="43">
        <f>Report!E123</f>
        <v>0</v>
      </c>
      <c r="J121" s="43">
        <f>Report!E125</f>
        <v>0</v>
      </c>
      <c r="M121" s="43">
        <f>SUM(I121:L121)</f>
        <v>0</v>
      </c>
      <c r="N121" s="43" t="s">
        <v>519</v>
      </c>
    </row>
    <row r="123" spans="1:14" x14ac:dyDescent="0.2">
      <c r="B123" s="55" t="str">
        <f>"296 State Aid Adjustment for Shift for "&amp;Instructions!R2</f>
        <v>296 State Aid Adjustment for Shift for FY 2011</v>
      </c>
      <c r="I123" s="55">
        <f>SUM(I121)</f>
        <v>0</v>
      </c>
      <c r="J123" s="55">
        <f>SUM(J121)</f>
        <v>0</v>
      </c>
      <c r="K123" s="55"/>
      <c r="L123" s="141"/>
    </row>
    <row r="124" spans="1:14" x14ac:dyDescent="0.2">
      <c r="B124" s="55"/>
    </row>
    <row r="125" spans="1:14" x14ac:dyDescent="0.2">
      <c r="B125" s="55"/>
    </row>
    <row r="127" spans="1:14" x14ac:dyDescent="0.2">
      <c r="A127" s="43" t="str">
        <f>"Reductions to aid payments for "&amp;Instructions!R2&amp;" for property tax shift"</f>
        <v>Reductions to aid payments for FY 2011 for property tax shift</v>
      </c>
      <c r="H127" s="43" t="s">
        <v>413</v>
      </c>
      <c r="I127" s="43">
        <f>-Report!H18</f>
        <v>244360.64</v>
      </c>
      <c r="J127" s="43">
        <f>-Report!H23</f>
        <v>8362.49</v>
      </c>
      <c r="M127" s="43">
        <f>SUM(I127:L127)</f>
        <v>252723.13</v>
      </c>
      <c r="N127" s="43" t="s">
        <v>578</v>
      </c>
    </row>
    <row r="128" spans="1:14" x14ac:dyDescent="0.2">
      <c r="A128" s="43" t="s">
        <v>591</v>
      </c>
      <c r="H128" s="43" t="s">
        <v>581</v>
      </c>
      <c r="I128" s="43">
        <f>-Report!I18</f>
        <v>-906.22000000003027</v>
      </c>
      <c r="J128" s="43">
        <f>-Report!I23</f>
        <v>18953.580000000002</v>
      </c>
      <c r="M128" s="43">
        <f>SUM(I128:L128)</f>
        <v>18047.359999999971</v>
      </c>
      <c r="N128" s="43" t="s">
        <v>579</v>
      </c>
    </row>
    <row r="130" spans="2:10" x14ac:dyDescent="0.2">
      <c r="B130" s="70" t="str">
        <f>"299 State Aid Adjustment for Shift for "&amp;Instructions!R2</f>
        <v>299 State Aid Adjustment for Shift for FY 2011</v>
      </c>
      <c r="I130" s="55">
        <f>SUM(I127:I128)</f>
        <v>243454.41999999998</v>
      </c>
      <c r="J130" s="55">
        <f>SUM(J127:J128)</f>
        <v>27316.07</v>
      </c>
    </row>
  </sheetData>
  <phoneticPr fontId="0" type="noConversion"/>
  <printOptions horizontalCentered="1"/>
  <pageMargins left="0.5" right="0.5" top="0.5" bottom="0.75" header="0.5" footer="0.5"/>
  <pageSetup scale="68" fitToHeight="2" orientation="landscape" r:id="rId1"/>
  <headerFooter alignWithMargins="0">
    <oddFooter>&amp;C&amp;P of &amp;N</oddFooter>
  </headerFooter>
  <rowBreaks count="1" manualBreakCount="1">
    <brk id="72" max="16383"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workbookViewId="0"/>
  </sheetViews>
  <sheetFormatPr defaultRowHeight="11.25" x14ac:dyDescent="0.2"/>
  <cols>
    <col min="2" max="2" width="10.33203125" bestFit="1" customWidth="1"/>
    <col min="9" max="9" width="9.83203125" bestFit="1" customWidth="1"/>
  </cols>
  <sheetData>
    <row r="1" spans="1:9" x14ac:dyDescent="0.2">
      <c r="A1" s="24" t="s">
        <v>521</v>
      </c>
      <c r="I1" s="41">
        <f>Report!I1</f>
        <v>40795</v>
      </c>
    </row>
    <row r="2" spans="1:9" x14ac:dyDescent="0.2">
      <c r="A2" s="25"/>
    </row>
    <row r="3" spans="1:9" x14ac:dyDescent="0.2">
      <c r="A3" s="25"/>
    </row>
    <row r="4" spans="1:9" x14ac:dyDescent="0.2">
      <c r="A4" s="25" t="s">
        <v>522</v>
      </c>
      <c r="B4" t="s">
        <v>413</v>
      </c>
      <c r="C4" t="s">
        <v>523</v>
      </c>
      <c r="D4" t="s">
        <v>524</v>
      </c>
    </row>
    <row r="5" spans="1:9" x14ac:dyDescent="0.2">
      <c r="A5" s="25"/>
      <c r="B5" t="s">
        <v>414</v>
      </c>
      <c r="C5" t="s">
        <v>525</v>
      </c>
      <c r="D5" t="s">
        <v>526</v>
      </c>
    </row>
    <row r="6" spans="1:9" x14ac:dyDescent="0.2">
      <c r="A6" s="25"/>
    </row>
    <row r="7" spans="1:9" x14ac:dyDescent="0.2">
      <c r="A7" s="25"/>
      <c r="C7" t="s">
        <v>527</v>
      </c>
    </row>
    <row r="8" spans="1:9" x14ac:dyDescent="0.2">
      <c r="A8" s="25"/>
    </row>
    <row r="9" spans="1:9" x14ac:dyDescent="0.2">
      <c r="A9" s="25"/>
    </row>
    <row r="10" spans="1:9" x14ac:dyDescent="0.2">
      <c r="A10" s="25" t="s">
        <v>522</v>
      </c>
      <c r="B10" t="s">
        <v>413</v>
      </c>
      <c r="C10" t="s">
        <v>528</v>
      </c>
      <c r="D10" t="s">
        <v>529</v>
      </c>
    </row>
    <row r="11" spans="1:9" x14ac:dyDescent="0.2">
      <c r="A11" s="25"/>
      <c r="B11" t="s">
        <v>414</v>
      </c>
      <c r="C11" t="s">
        <v>523</v>
      </c>
      <c r="D11" t="s">
        <v>524</v>
      </c>
    </row>
    <row r="12" spans="1:9" x14ac:dyDescent="0.2">
      <c r="A12" s="25"/>
    </row>
    <row r="13" spans="1:9" x14ac:dyDescent="0.2">
      <c r="A13" s="25"/>
      <c r="C13" t="s">
        <v>530</v>
      </c>
    </row>
    <row r="14" spans="1:9" x14ac:dyDescent="0.2">
      <c r="A14" s="25"/>
    </row>
    <row r="15" spans="1:9" x14ac:dyDescent="0.2">
      <c r="A15" s="25"/>
    </row>
    <row r="16" spans="1:9" x14ac:dyDescent="0.2">
      <c r="A16" s="25" t="s">
        <v>531</v>
      </c>
      <c r="B16" t="s">
        <v>413</v>
      </c>
      <c r="C16" t="s">
        <v>532</v>
      </c>
      <c r="D16" t="s">
        <v>457</v>
      </c>
    </row>
    <row r="17" spans="1:4" x14ac:dyDescent="0.2">
      <c r="A17" s="25"/>
      <c r="B17" t="s">
        <v>414</v>
      </c>
      <c r="C17" t="s">
        <v>523</v>
      </c>
      <c r="D17" t="s">
        <v>524</v>
      </c>
    </row>
    <row r="18" spans="1:4" x14ac:dyDescent="0.2">
      <c r="A18" s="25"/>
      <c r="B18" t="s">
        <v>414</v>
      </c>
      <c r="C18" t="s">
        <v>528</v>
      </c>
      <c r="D18" t="s">
        <v>529</v>
      </c>
    </row>
    <row r="19" spans="1:4" x14ac:dyDescent="0.2">
      <c r="A19" s="25"/>
      <c r="B19" t="s">
        <v>414</v>
      </c>
      <c r="C19" t="s">
        <v>533</v>
      </c>
      <c r="D19" t="s">
        <v>534</v>
      </c>
    </row>
    <row r="20" spans="1:4" x14ac:dyDescent="0.2">
      <c r="A20" s="25"/>
      <c r="B20" t="s">
        <v>414</v>
      </c>
      <c r="C20" t="s">
        <v>535</v>
      </c>
      <c r="D20" t="s">
        <v>536</v>
      </c>
    </row>
    <row r="21" spans="1:4" x14ac:dyDescent="0.2">
      <c r="A21" s="25"/>
      <c r="B21" t="s">
        <v>414</v>
      </c>
      <c r="C21" t="s">
        <v>537</v>
      </c>
      <c r="D21" t="s">
        <v>538</v>
      </c>
    </row>
    <row r="22" spans="1:4" x14ac:dyDescent="0.2">
      <c r="A22" s="25"/>
    </row>
    <row r="23" spans="1:4" x14ac:dyDescent="0.2">
      <c r="A23" s="25"/>
      <c r="C23" t="s">
        <v>539</v>
      </c>
    </row>
    <row r="24" spans="1:4" x14ac:dyDescent="0.2">
      <c r="A24" s="25"/>
    </row>
    <row r="25" spans="1:4" x14ac:dyDescent="0.2">
      <c r="A25" s="25"/>
    </row>
    <row r="26" spans="1:4" x14ac:dyDescent="0.2">
      <c r="A26" s="25" t="s">
        <v>540</v>
      </c>
      <c r="B26" t="s">
        <v>413</v>
      </c>
      <c r="C26" t="s">
        <v>525</v>
      </c>
      <c r="D26" t="s">
        <v>526</v>
      </c>
    </row>
    <row r="27" spans="1:4" x14ac:dyDescent="0.2">
      <c r="A27" s="25"/>
      <c r="B27" t="s">
        <v>413</v>
      </c>
      <c r="C27" t="s">
        <v>541</v>
      </c>
      <c r="D27" t="s">
        <v>542</v>
      </c>
    </row>
    <row r="28" spans="1:4" x14ac:dyDescent="0.2">
      <c r="A28" s="25"/>
      <c r="B28" t="s">
        <v>414</v>
      </c>
      <c r="C28" t="s">
        <v>543</v>
      </c>
      <c r="D28" t="s">
        <v>544</v>
      </c>
    </row>
    <row r="29" spans="1:4" x14ac:dyDescent="0.2">
      <c r="A29" s="25"/>
      <c r="B29" t="s">
        <v>414</v>
      </c>
      <c r="C29" s="19" t="s">
        <v>568</v>
      </c>
      <c r="D29" t="s">
        <v>545</v>
      </c>
    </row>
    <row r="30" spans="1:4" x14ac:dyDescent="0.2">
      <c r="A30" s="25"/>
    </row>
    <row r="31" spans="1:4" x14ac:dyDescent="0.2">
      <c r="A31" s="25"/>
      <c r="C31" t="s">
        <v>546</v>
      </c>
    </row>
    <row r="32" spans="1:4" x14ac:dyDescent="0.2">
      <c r="A32" s="25"/>
    </row>
    <row r="33" spans="1:9" x14ac:dyDescent="0.2">
      <c r="A33" s="25"/>
    </row>
    <row r="34" spans="1:9" ht="11.25" customHeight="1" x14ac:dyDescent="0.2">
      <c r="A34" s="25"/>
      <c r="B34" s="177" t="s">
        <v>626</v>
      </c>
      <c r="C34" s="177"/>
      <c r="D34" s="177"/>
      <c r="E34" s="177"/>
      <c r="F34" s="177"/>
      <c r="G34" s="177"/>
      <c r="H34" s="177"/>
      <c r="I34" s="177"/>
    </row>
    <row r="35" spans="1:9" ht="11.25" customHeight="1" x14ac:dyDescent="0.2">
      <c r="A35" s="25"/>
      <c r="B35" s="177"/>
      <c r="C35" s="177"/>
      <c r="D35" s="177"/>
      <c r="E35" s="177"/>
      <c r="F35" s="177"/>
      <c r="G35" s="177"/>
      <c r="H35" s="177"/>
      <c r="I35" s="177"/>
    </row>
    <row r="36" spans="1:9" x14ac:dyDescent="0.2">
      <c r="A36" s="25"/>
      <c r="B36" s="177"/>
      <c r="C36" s="177"/>
      <c r="D36" s="177"/>
      <c r="E36" s="177"/>
      <c r="F36" s="177"/>
      <c r="G36" s="177"/>
      <c r="H36" s="177"/>
      <c r="I36" s="177"/>
    </row>
    <row r="37" spans="1:9" x14ac:dyDescent="0.2">
      <c r="A37" s="25"/>
    </row>
    <row r="38" spans="1:9" x14ac:dyDescent="0.2">
      <c r="A38" s="25"/>
    </row>
    <row r="39" spans="1:9" x14ac:dyDescent="0.2">
      <c r="A39" s="25" t="s">
        <v>547</v>
      </c>
      <c r="B39" t="s">
        <v>413</v>
      </c>
      <c r="C39" t="s">
        <v>543</v>
      </c>
      <c r="D39" t="s">
        <v>544</v>
      </c>
    </row>
    <row r="40" spans="1:9" x14ac:dyDescent="0.2">
      <c r="A40" s="25"/>
      <c r="B40" t="s">
        <v>413</v>
      </c>
      <c r="C40" s="19" t="s">
        <v>568</v>
      </c>
      <c r="D40" t="s">
        <v>545</v>
      </c>
    </row>
    <row r="41" spans="1:9" x14ac:dyDescent="0.2">
      <c r="A41" s="25"/>
      <c r="B41" t="s">
        <v>414</v>
      </c>
      <c r="C41" t="s">
        <v>525</v>
      </c>
      <c r="D41" t="s">
        <v>526</v>
      </c>
    </row>
    <row r="42" spans="1:9" x14ac:dyDescent="0.2">
      <c r="A42" s="25"/>
      <c r="B42" t="s">
        <v>413</v>
      </c>
      <c r="C42" t="s">
        <v>541</v>
      </c>
      <c r="D42" t="s">
        <v>542</v>
      </c>
    </row>
    <row r="43" spans="1:9" x14ac:dyDescent="0.2">
      <c r="A43" s="25"/>
    </row>
    <row r="44" spans="1:9" x14ac:dyDescent="0.2">
      <c r="A44" s="25"/>
      <c r="C44" t="s">
        <v>548</v>
      </c>
    </row>
    <row r="45" spans="1:9" x14ac:dyDescent="0.2">
      <c r="A45" s="25"/>
      <c r="C45" s="33"/>
      <c r="D45" s="33"/>
      <c r="E45" s="33"/>
      <c r="F45" s="33"/>
      <c r="G45" s="33"/>
      <c r="H45" s="33"/>
    </row>
    <row r="46" spans="1:9" x14ac:dyDescent="0.2">
      <c r="A46" s="25"/>
    </row>
    <row r="47" spans="1:9" x14ac:dyDescent="0.2">
      <c r="A47" s="25" t="s">
        <v>547</v>
      </c>
      <c r="B47" t="s">
        <v>413</v>
      </c>
      <c r="C47" t="s">
        <v>525</v>
      </c>
      <c r="D47" t="s">
        <v>526</v>
      </c>
    </row>
    <row r="48" spans="1:9" x14ac:dyDescent="0.2">
      <c r="A48" s="25"/>
      <c r="B48" t="s">
        <v>414</v>
      </c>
      <c r="C48" t="s">
        <v>543</v>
      </c>
      <c r="D48" t="s">
        <v>544</v>
      </c>
    </row>
    <row r="49" spans="1:4" x14ac:dyDescent="0.2">
      <c r="A49" s="25"/>
      <c r="B49" t="s">
        <v>414</v>
      </c>
      <c r="C49" t="s">
        <v>543</v>
      </c>
      <c r="D49" t="s">
        <v>545</v>
      </c>
    </row>
    <row r="50" spans="1:4" x14ac:dyDescent="0.2">
      <c r="A50" s="25"/>
    </row>
    <row r="51" spans="1:4" x14ac:dyDescent="0.2">
      <c r="A51" s="25"/>
      <c r="C51" t="s">
        <v>549</v>
      </c>
    </row>
    <row r="52" spans="1:4" x14ac:dyDescent="0.2">
      <c r="A52" s="25"/>
    </row>
    <row r="53" spans="1:4" x14ac:dyDescent="0.2">
      <c r="A53" s="25"/>
    </row>
    <row r="54" spans="1:4" x14ac:dyDescent="0.2">
      <c r="A54" s="25" t="s">
        <v>547</v>
      </c>
      <c r="B54" t="s">
        <v>413</v>
      </c>
      <c r="C54" t="s">
        <v>543</v>
      </c>
      <c r="D54" t="s">
        <v>544</v>
      </c>
    </row>
    <row r="55" spans="1:4" x14ac:dyDescent="0.2">
      <c r="A55" s="25"/>
      <c r="B55" t="s">
        <v>414</v>
      </c>
      <c r="C55" t="s">
        <v>523</v>
      </c>
      <c r="D55" t="s">
        <v>524</v>
      </c>
    </row>
    <row r="56" spans="1:4" x14ac:dyDescent="0.2">
      <c r="A56" s="25"/>
    </row>
    <row r="57" spans="1:4" x14ac:dyDescent="0.2">
      <c r="A57" s="25"/>
      <c r="C57" t="s">
        <v>550</v>
      </c>
    </row>
    <row r="58" spans="1:4" x14ac:dyDescent="0.2">
      <c r="A58" s="25"/>
    </row>
    <row r="59" spans="1:4" x14ac:dyDescent="0.2">
      <c r="A59" s="25"/>
    </row>
    <row r="60" spans="1:4" x14ac:dyDescent="0.2">
      <c r="A60" s="25" t="s">
        <v>547</v>
      </c>
      <c r="B60" t="s">
        <v>413</v>
      </c>
      <c r="C60" t="s">
        <v>543</v>
      </c>
      <c r="D60" t="s">
        <v>544</v>
      </c>
    </row>
    <row r="61" spans="1:4" x14ac:dyDescent="0.2">
      <c r="A61" s="25"/>
      <c r="B61" t="s">
        <v>414</v>
      </c>
      <c r="C61" t="s">
        <v>523</v>
      </c>
      <c r="D61" t="s">
        <v>524</v>
      </c>
    </row>
    <row r="62" spans="1:4" x14ac:dyDescent="0.2">
      <c r="A62" s="25"/>
    </row>
    <row r="63" spans="1:4" x14ac:dyDescent="0.2">
      <c r="A63" s="25"/>
      <c r="C63" t="s">
        <v>551</v>
      </c>
    </row>
    <row r="64" spans="1:4" x14ac:dyDescent="0.2">
      <c r="A64" s="25"/>
    </row>
    <row r="65" spans="1:4" x14ac:dyDescent="0.2">
      <c r="A65" s="25"/>
    </row>
    <row r="66" spans="1:4" x14ac:dyDescent="0.2">
      <c r="A66" s="25" t="s">
        <v>547</v>
      </c>
      <c r="B66" t="s">
        <v>413</v>
      </c>
      <c r="C66" t="s">
        <v>543</v>
      </c>
      <c r="D66" t="s">
        <v>544</v>
      </c>
    </row>
    <row r="67" spans="1:4" x14ac:dyDescent="0.2">
      <c r="A67" s="25"/>
      <c r="B67" t="s">
        <v>414</v>
      </c>
      <c r="C67" t="s">
        <v>523</v>
      </c>
      <c r="D67" t="s">
        <v>524</v>
      </c>
    </row>
    <row r="68" spans="1:4" x14ac:dyDescent="0.2">
      <c r="A68" s="25"/>
    </row>
    <row r="69" spans="1:4" x14ac:dyDescent="0.2">
      <c r="A69" s="25"/>
      <c r="C69" t="s">
        <v>552</v>
      </c>
    </row>
    <row r="70" spans="1:4" x14ac:dyDescent="0.2">
      <c r="A70" s="25"/>
    </row>
    <row r="71" spans="1:4" x14ac:dyDescent="0.2">
      <c r="A71" s="25"/>
    </row>
    <row r="72" spans="1:4" x14ac:dyDescent="0.2">
      <c r="A72" s="25" t="s">
        <v>547</v>
      </c>
      <c r="B72" t="s">
        <v>553</v>
      </c>
      <c r="C72" t="s">
        <v>543</v>
      </c>
      <c r="D72" t="s">
        <v>544</v>
      </c>
    </row>
    <row r="73" spans="1:4" x14ac:dyDescent="0.2">
      <c r="A73" s="25"/>
      <c r="B73" t="s">
        <v>554</v>
      </c>
      <c r="C73" t="s">
        <v>523</v>
      </c>
      <c r="D73" t="s">
        <v>524</v>
      </c>
    </row>
    <row r="74" spans="1:4" x14ac:dyDescent="0.2">
      <c r="A74" s="25"/>
    </row>
    <row r="75" spans="1:4" x14ac:dyDescent="0.2">
      <c r="A75" s="25"/>
      <c r="C75" t="s">
        <v>555</v>
      </c>
    </row>
    <row r="76" spans="1:4" x14ac:dyDescent="0.2">
      <c r="A76" s="25"/>
    </row>
    <row r="77" spans="1:4" x14ac:dyDescent="0.2">
      <c r="A77" s="25"/>
    </row>
    <row r="78" spans="1:4" x14ac:dyDescent="0.2">
      <c r="A78" s="25" t="s">
        <v>556</v>
      </c>
      <c r="B78" t="s">
        <v>413</v>
      </c>
      <c r="C78" t="s">
        <v>532</v>
      </c>
      <c r="D78" t="s">
        <v>457</v>
      </c>
    </row>
    <row r="79" spans="1:4" x14ac:dyDescent="0.2">
      <c r="A79" s="25"/>
      <c r="B79" t="s">
        <v>414</v>
      </c>
      <c r="C79" t="s">
        <v>523</v>
      </c>
      <c r="D79" t="s">
        <v>524</v>
      </c>
    </row>
    <row r="80" spans="1:4" x14ac:dyDescent="0.2">
      <c r="A80" s="25"/>
      <c r="B80" t="s">
        <v>414</v>
      </c>
      <c r="C80" t="s">
        <v>528</v>
      </c>
      <c r="D80" t="s">
        <v>529</v>
      </c>
    </row>
    <row r="81" spans="1:4" x14ac:dyDescent="0.2">
      <c r="A81" s="25"/>
      <c r="B81" t="s">
        <v>414</v>
      </c>
      <c r="C81" t="s">
        <v>557</v>
      </c>
      <c r="D81" t="s">
        <v>534</v>
      </c>
    </row>
    <row r="82" spans="1:4" x14ac:dyDescent="0.2">
      <c r="A82" s="25"/>
      <c r="B82" t="s">
        <v>414</v>
      </c>
      <c r="C82" t="s">
        <v>558</v>
      </c>
      <c r="D82" t="s">
        <v>536</v>
      </c>
    </row>
    <row r="83" spans="1:4" x14ac:dyDescent="0.2">
      <c r="A83" s="25"/>
      <c r="B83" t="s">
        <v>414</v>
      </c>
      <c r="C83" t="s">
        <v>537</v>
      </c>
      <c r="D83" t="s">
        <v>538</v>
      </c>
    </row>
    <row r="84" spans="1:4" x14ac:dyDescent="0.2">
      <c r="A84" s="25"/>
    </row>
    <row r="85" spans="1:4" x14ac:dyDescent="0.2">
      <c r="A85" s="25"/>
      <c r="C85" t="s">
        <v>559</v>
      </c>
    </row>
    <row r="86" spans="1:4" x14ac:dyDescent="0.2">
      <c r="A86" s="25"/>
    </row>
    <row r="87" spans="1:4" x14ac:dyDescent="0.2">
      <c r="A87" s="25"/>
    </row>
    <row r="88" spans="1:4" x14ac:dyDescent="0.2">
      <c r="A88" s="25" t="s">
        <v>540</v>
      </c>
      <c r="B88" t="s">
        <v>413</v>
      </c>
      <c r="C88" t="s">
        <v>543</v>
      </c>
      <c r="D88" t="s">
        <v>544</v>
      </c>
    </row>
    <row r="89" spans="1:4" x14ac:dyDescent="0.2">
      <c r="A89" s="25"/>
      <c r="B89" t="s">
        <v>414</v>
      </c>
      <c r="C89" t="s">
        <v>528</v>
      </c>
      <c r="D89" t="s">
        <v>529</v>
      </c>
    </row>
    <row r="90" spans="1:4" x14ac:dyDescent="0.2">
      <c r="A90" s="25"/>
    </row>
    <row r="91" spans="1:4" x14ac:dyDescent="0.2">
      <c r="A91" s="25"/>
      <c r="C91" t="s">
        <v>560</v>
      </c>
    </row>
    <row r="92" spans="1:4" x14ac:dyDescent="0.2">
      <c r="A92" s="25"/>
    </row>
    <row r="93" spans="1:4" x14ac:dyDescent="0.2">
      <c r="A93" s="25"/>
    </row>
    <row r="94" spans="1:4" x14ac:dyDescent="0.2">
      <c r="A94" s="25" t="s">
        <v>540</v>
      </c>
      <c r="B94" t="s">
        <v>413</v>
      </c>
      <c r="C94" t="s">
        <v>543</v>
      </c>
      <c r="D94" t="s">
        <v>544</v>
      </c>
    </row>
    <row r="95" spans="1:4" x14ac:dyDescent="0.2">
      <c r="A95" s="25"/>
      <c r="B95" t="s">
        <v>414</v>
      </c>
      <c r="C95" t="s">
        <v>528</v>
      </c>
      <c r="D95" t="s">
        <v>529</v>
      </c>
    </row>
    <row r="96" spans="1:4" x14ac:dyDescent="0.2">
      <c r="A96" s="25"/>
    </row>
    <row r="97" spans="1:4" x14ac:dyDescent="0.2">
      <c r="A97" s="25"/>
      <c r="C97" t="s">
        <v>561</v>
      </c>
    </row>
    <row r="98" spans="1:4" x14ac:dyDescent="0.2">
      <c r="A98" s="25"/>
    </row>
    <row r="99" spans="1:4" x14ac:dyDescent="0.2">
      <c r="A99" s="25"/>
    </row>
    <row r="100" spans="1:4" x14ac:dyDescent="0.2">
      <c r="A100" s="25" t="s">
        <v>540</v>
      </c>
      <c r="B100" t="s">
        <v>553</v>
      </c>
      <c r="C100" t="s">
        <v>543</v>
      </c>
      <c r="D100" t="s">
        <v>544</v>
      </c>
    </row>
    <row r="101" spans="1:4" x14ac:dyDescent="0.2">
      <c r="A101" s="25"/>
      <c r="B101" t="s">
        <v>554</v>
      </c>
      <c r="C101" t="s">
        <v>562</v>
      </c>
      <c r="D101" s="1" t="s">
        <v>563</v>
      </c>
    </row>
    <row r="102" spans="1:4" x14ac:dyDescent="0.2">
      <c r="A102" s="25"/>
    </row>
    <row r="103" spans="1:4" x14ac:dyDescent="0.2">
      <c r="A103" s="25"/>
      <c r="C103" t="s">
        <v>564</v>
      </c>
    </row>
    <row r="104" spans="1:4" x14ac:dyDescent="0.2">
      <c r="A104" s="25"/>
    </row>
  </sheetData>
  <mergeCells count="1">
    <mergeCell ref="B34:I36"/>
  </mergeCells>
  <phoneticPr fontId="0" type="noConversion"/>
  <pageMargins left="1.25" right="1.25" top="1" bottom="1" header="0.5" footer="0.5"/>
  <pageSetup fitToWidth="0" fitToHeight="2" orientation="portrait" r:id="rId1"/>
  <headerFooter alignWithMargins="0">
    <oddFooter>&amp;C&amp;P of &amp;N</oddFooter>
  </headerFooter>
  <rowBreaks count="1" manualBreakCount="1">
    <brk id="6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4"/>
  <sheetViews>
    <sheetView workbookViewId="0">
      <pane xSplit="3" ySplit="7" topLeftCell="D128" activePane="bottomRight" state="frozen"/>
      <selection pane="topRight" activeCell="D1" sqref="D1"/>
      <selection pane="bottomLeft" activeCell="A8" sqref="A8"/>
      <selection pane="bottomRight" activeCell="H6" sqref="H6"/>
    </sheetView>
  </sheetViews>
  <sheetFormatPr defaultRowHeight="11.25" x14ac:dyDescent="0.2"/>
  <cols>
    <col min="1" max="2" width="6.83203125" style="5" customWidth="1"/>
    <col min="3" max="3" width="20.83203125" style="2" customWidth="1"/>
    <col min="4" max="4" width="15.83203125" style="2" customWidth="1"/>
    <col min="5" max="5" width="15.83203125" style="2" bestFit="1" customWidth="1"/>
    <col min="6" max="6" width="15.83203125" style="2" customWidth="1"/>
    <col min="7" max="7" width="14.83203125" style="2" customWidth="1"/>
    <col min="8" max="8" width="15.83203125" style="3" customWidth="1"/>
    <col min="9" max="9" width="14.6640625" style="175" customWidth="1"/>
    <col min="10" max="16384" width="9.33203125" style="2"/>
  </cols>
  <sheetData>
    <row r="1" spans="1:9" x14ac:dyDescent="0.2">
      <c r="A1" s="11" t="str">
        <f>Instructions!R2&amp;" Aid Payment (Reduction)"</f>
        <v>FY 2011 Aid Payment (Reduction)</v>
      </c>
      <c r="H1" s="148">
        <f>Report!I1</f>
        <v>40795</v>
      </c>
    </row>
    <row r="2" spans="1:9" x14ac:dyDescent="0.2">
      <c r="A2" s="5" t="s">
        <v>622</v>
      </c>
      <c r="D2" s="3"/>
      <c r="E2" s="3"/>
      <c r="F2" s="3"/>
    </row>
    <row r="3" spans="1:9" x14ac:dyDescent="0.2">
      <c r="A3" s="5" t="s">
        <v>623</v>
      </c>
    </row>
    <row r="4" spans="1:9" s="8" customFormat="1" ht="33.75" x14ac:dyDescent="0.2">
      <c r="A4" s="6"/>
      <c r="B4" s="6"/>
      <c r="D4" s="8" t="s">
        <v>356</v>
      </c>
      <c r="E4" s="8" t="s">
        <v>359</v>
      </c>
      <c r="F4" s="8" t="s">
        <v>481</v>
      </c>
      <c r="G4" s="8" t="s">
        <v>357</v>
      </c>
      <c r="H4" s="9" t="s">
        <v>346</v>
      </c>
      <c r="I4" s="176" t="s">
        <v>710</v>
      </c>
    </row>
    <row r="6" spans="1:9" x14ac:dyDescent="0.2">
      <c r="C6" s="2" t="s">
        <v>347</v>
      </c>
      <c r="D6" s="3">
        <f t="shared" ref="D6:I6" si="0">SUM(D8:D344)</f>
        <v>-247348012.89999998</v>
      </c>
      <c r="E6" s="3">
        <f t="shared" si="0"/>
        <v>-245503404.36999995</v>
      </c>
      <c r="F6" s="3">
        <f t="shared" si="0"/>
        <v>-492851417.27000004</v>
      </c>
      <c r="G6" s="3">
        <f t="shared" si="0"/>
        <v>-35601748.930000007</v>
      </c>
      <c r="H6" s="3">
        <f t="shared" si="0"/>
        <v>-528453166.20000005</v>
      </c>
      <c r="I6" s="175">
        <f t="shared" si="0"/>
        <v>-12925221.490000006</v>
      </c>
    </row>
    <row r="8" spans="1:9" x14ac:dyDescent="0.2">
      <c r="A8" s="5">
        <v>1</v>
      </c>
      <c r="B8" s="5">
        <v>1</v>
      </c>
      <c r="C8" s="2" t="s">
        <v>6</v>
      </c>
      <c r="D8" s="2">
        <f>Shift10!D8-Shift11!D8</f>
        <v>-416627.8</v>
      </c>
      <c r="E8" s="2">
        <f>Shift10!E8-Shift11!E8</f>
        <v>0</v>
      </c>
      <c r="F8" s="2">
        <f>D8+E8</f>
        <v>-416627.8</v>
      </c>
      <c r="G8" s="2">
        <f>Shift10!M8-Shift11!M8</f>
        <v>-2504.5700000000002</v>
      </c>
      <c r="H8" s="3">
        <f>SUM(F8:G8)</f>
        <v>-419132.37</v>
      </c>
      <c r="I8" s="175">
        <f>H8-'[1]Aid Adjust'!$H8</f>
        <v>-45150.590000000026</v>
      </c>
    </row>
    <row r="9" spans="1:9" x14ac:dyDescent="0.2">
      <c r="A9" s="5">
        <v>1.2</v>
      </c>
      <c r="B9" s="5">
        <v>3</v>
      </c>
      <c r="C9" s="2" t="s">
        <v>7</v>
      </c>
      <c r="D9" s="2">
        <f>Shift10!D9-Shift11!D9</f>
        <v>-14582222.49</v>
      </c>
      <c r="E9" s="2">
        <f>Shift10!E9-Shift11!E9</f>
        <v>-21821401.640000001</v>
      </c>
      <c r="F9" s="2">
        <f t="shared" ref="F9:F71" si="1">D9+E9</f>
        <v>-36403624.130000003</v>
      </c>
      <c r="G9" s="2">
        <f>Shift10!M9-Shift11!M9</f>
        <v>-1994567.95</v>
      </c>
      <c r="H9" s="3">
        <f t="shared" ref="H9:H71" si="2">SUM(F9:G9)</f>
        <v>-38398192.080000006</v>
      </c>
      <c r="I9" s="175">
        <f>H9-'[1]Aid Adjust'!$H9</f>
        <v>-545351.16000000387</v>
      </c>
    </row>
    <row r="10" spans="1:9" x14ac:dyDescent="0.2">
      <c r="A10" s="5">
        <v>2</v>
      </c>
      <c r="B10" s="5">
        <v>1</v>
      </c>
      <c r="C10" s="2" t="s">
        <v>8</v>
      </c>
      <c r="D10" s="2">
        <f>Shift10!D10-Shift11!D10</f>
        <v>-47119.75</v>
      </c>
      <c r="E10" s="2">
        <f>Shift10!E10-Shift11!E10</f>
        <v>0</v>
      </c>
      <c r="F10" s="2">
        <f t="shared" si="1"/>
        <v>-47119.75</v>
      </c>
      <c r="G10" s="2">
        <f>Shift10!M10-Shift11!M10</f>
        <v>-9191.86</v>
      </c>
      <c r="H10" s="3">
        <f t="shared" si="2"/>
        <v>-56311.61</v>
      </c>
      <c r="I10" s="175">
        <f>H10-'[1]Aid Adjust'!$H10</f>
        <v>-4287.18</v>
      </c>
    </row>
    <row r="11" spans="1:9" x14ac:dyDescent="0.2">
      <c r="A11" s="5">
        <v>4</v>
      </c>
      <c r="B11" s="5">
        <v>1</v>
      </c>
      <c r="C11" s="2" t="s">
        <v>9</v>
      </c>
      <c r="D11" s="2">
        <f>Shift10!D11-Shift11!D11</f>
        <v>-172561.5</v>
      </c>
      <c r="E11" s="2">
        <f>Shift10!E11-Shift11!E11</f>
        <v>0</v>
      </c>
      <c r="F11" s="2">
        <f t="shared" si="1"/>
        <v>-172561.5</v>
      </c>
      <c r="G11" s="2">
        <f>Shift10!M11-Shift11!M11</f>
        <v>-25328.41</v>
      </c>
      <c r="H11" s="3">
        <f t="shared" si="2"/>
        <v>-197889.91</v>
      </c>
      <c r="I11" s="175">
        <f>H11-'[1]Aid Adjust'!$H11</f>
        <v>-10478.75999999998</v>
      </c>
    </row>
    <row r="12" spans="1:9" x14ac:dyDescent="0.2">
      <c r="A12" s="5">
        <v>6</v>
      </c>
      <c r="B12" s="5">
        <v>3</v>
      </c>
      <c r="C12" s="2" t="s">
        <v>10</v>
      </c>
      <c r="D12" s="2">
        <f>Shift10!D12-Shift11!D12</f>
        <v>-1300935.33</v>
      </c>
      <c r="E12" s="2">
        <f>Shift10!E12-Shift11!E12</f>
        <v>-1196068.43</v>
      </c>
      <c r="F12" s="2">
        <f t="shared" si="1"/>
        <v>-2497003.7599999998</v>
      </c>
      <c r="G12" s="2">
        <f>Shift10!M12-Shift11!M12</f>
        <v>-146893.99</v>
      </c>
      <c r="H12" s="3">
        <f t="shared" si="2"/>
        <v>-2643897.75</v>
      </c>
      <c r="I12" s="175">
        <f>H12-'[1]Aid Adjust'!$H12</f>
        <v>-80282.479999999981</v>
      </c>
    </row>
    <row r="13" spans="1:9" x14ac:dyDescent="0.2">
      <c r="A13" s="5">
        <v>11</v>
      </c>
      <c r="B13" s="5">
        <v>1</v>
      </c>
      <c r="C13" s="2" t="s">
        <v>11</v>
      </c>
      <c r="D13" s="2">
        <f>Shift10!D13-Shift11!D13</f>
        <v>-11892198.52</v>
      </c>
      <c r="E13" s="2">
        <f>Shift10!E13-Shift11!E13</f>
        <v>-21005183.710000001</v>
      </c>
      <c r="F13" s="2">
        <f t="shared" si="1"/>
        <v>-32897382.23</v>
      </c>
      <c r="G13" s="2">
        <f>Shift10!M13-Shift11!M13</f>
        <v>-1584570.55</v>
      </c>
      <c r="H13" s="3">
        <f t="shared" si="2"/>
        <v>-34481952.780000001</v>
      </c>
      <c r="I13" s="175">
        <f>H13-'[1]Aid Adjust'!$H13</f>
        <v>-588128.06000000238</v>
      </c>
    </row>
    <row r="14" spans="1:9" x14ac:dyDescent="0.2">
      <c r="A14" s="5">
        <v>12</v>
      </c>
      <c r="B14" s="5">
        <v>1</v>
      </c>
      <c r="C14" s="2" t="s">
        <v>12</v>
      </c>
      <c r="D14" s="2">
        <f>Shift10!D14-Shift11!D14</f>
        <v>-1569454.14</v>
      </c>
      <c r="E14" s="2">
        <f>Shift10!E14-Shift11!E14</f>
        <v>-1744179.29</v>
      </c>
      <c r="F14" s="2">
        <f t="shared" si="1"/>
        <v>-3313633.4299999997</v>
      </c>
      <c r="G14" s="2">
        <f>Shift10!M14-Shift11!M14</f>
        <v>-225346.88</v>
      </c>
      <c r="H14" s="3">
        <f t="shared" si="2"/>
        <v>-3538980.3099999996</v>
      </c>
      <c r="I14" s="175">
        <f>H14-'[1]Aid Adjust'!$H14</f>
        <v>-49017.209999999963</v>
      </c>
    </row>
    <row r="15" spans="1:9" x14ac:dyDescent="0.2">
      <c r="A15" s="5">
        <v>13</v>
      </c>
      <c r="B15" s="5">
        <v>1</v>
      </c>
      <c r="C15" s="2" t="s">
        <v>13</v>
      </c>
      <c r="D15" s="2">
        <f>Shift10!D15-Shift11!D15</f>
        <v>-956603.97</v>
      </c>
      <c r="E15" s="2">
        <f>Shift10!E15-Shift11!E15</f>
        <v>-749319.29</v>
      </c>
      <c r="F15" s="2">
        <f t="shared" si="1"/>
        <v>-1705923.26</v>
      </c>
      <c r="G15" s="2">
        <f>Shift10!M15-Shift11!M15</f>
        <v>-139529.13</v>
      </c>
      <c r="H15" s="3">
        <f t="shared" si="2"/>
        <v>-1845452.3900000001</v>
      </c>
      <c r="I15" s="175">
        <f>H15-'[1]Aid Adjust'!$H15</f>
        <v>-70066.130000000121</v>
      </c>
    </row>
    <row r="16" spans="1:9" x14ac:dyDescent="0.2">
      <c r="A16" s="5">
        <v>14</v>
      </c>
      <c r="B16" s="5">
        <v>1</v>
      </c>
      <c r="C16" s="2" t="s">
        <v>14</v>
      </c>
      <c r="D16" s="2">
        <f>Shift10!D16-Shift11!D16</f>
        <v>-1232060.3700000001</v>
      </c>
      <c r="E16" s="2">
        <f>Shift10!E16-Shift11!E16</f>
        <v>-917735.14999999991</v>
      </c>
      <c r="F16" s="2">
        <f t="shared" si="1"/>
        <v>-2149795.52</v>
      </c>
      <c r="G16" s="2">
        <f>Shift10!M16-Shift11!M16</f>
        <v>-219361.65</v>
      </c>
      <c r="H16" s="3">
        <f t="shared" si="2"/>
        <v>-2369157.17</v>
      </c>
      <c r="I16" s="175">
        <f>H16-'[1]Aid Adjust'!$H16</f>
        <v>-60729.839999999851</v>
      </c>
    </row>
    <row r="17" spans="1:9" x14ac:dyDescent="0.2">
      <c r="A17" s="5">
        <v>15</v>
      </c>
      <c r="B17" s="5">
        <v>1</v>
      </c>
      <c r="C17" s="2" t="s">
        <v>15</v>
      </c>
      <c r="D17" s="2">
        <f>Shift10!D17-Shift11!D17</f>
        <v>-1408196.89</v>
      </c>
      <c r="E17" s="2">
        <f>Shift10!E17-Shift11!E17</f>
        <v>-718737.90999999992</v>
      </c>
      <c r="F17" s="2">
        <f t="shared" si="1"/>
        <v>-2126934.7999999998</v>
      </c>
      <c r="G17" s="2">
        <f>Shift10!M17-Shift11!M17</f>
        <v>-194944.64000000001</v>
      </c>
      <c r="H17" s="3">
        <f t="shared" si="2"/>
        <v>-2321879.44</v>
      </c>
      <c r="I17" s="175">
        <f>H17-'[1]Aid Adjust'!$H17</f>
        <v>-61605.450000000186</v>
      </c>
    </row>
    <row r="18" spans="1:9" x14ac:dyDescent="0.2">
      <c r="A18" s="5">
        <v>16</v>
      </c>
      <c r="B18" s="5">
        <v>1</v>
      </c>
      <c r="C18" s="2" t="s">
        <v>16</v>
      </c>
      <c r="D18" s="2">
        <f>Shift10!D18-Shift11!D18</f>
        <v>-1924985.47</v>
      </c>
      <c r="E18" s="2">
        <f>Shift10!E18-Shift11!E18</f>
        <v>-1416754.79</v>
      </c>
      <c r="F18" s="2">
        <f t="shared" si="1"/>
        <v>-3341740.26</v>
      </c>
      <c r="G18" s="2">
        <f>Shift10!M18-Shift11!M18</f>
        <v>-206222.85</v>
      </c>
      <c r="H18" s="3">
        <f t="shared" si="2"/>
        <v>-3547963.11</v>
      </c>
      <c r="I18" s="175">
        <f>H18-'[1]Aid Adjust'!$H18</f>
        <v>-59626.449999999721</v>
      </c>
    </row>
    <row r="19" spans="1:9" x14ac:dyDescent="0.2">
      <c r="A19" s="5">
        <v>22</v>
      </c>
      <c r="B19" s="5">
        <v>1</v>
      </c>
      <c r="C19" s="2" t="s">
        <v>17</v>
      </c>
      <c r="D19" s="2">
        <f>Shift10!D19-Shift11!D19</f>
        <v>-699396.81</v>
      </c>
      <c r="E19" s="2">
        <f>Shift10!E19-Shift11!E19</f>
        <v>-523861.91000000003</v>
      </c>
      <c r="F19" s="2">
        <f t="shared" si="1"/>
        <v>-1223258.7200000002</v>
      </c>
      <c r="G19" s="2">
        <f>Shift10!M19-Shift11!M19</f>
        <v>-96544.98</v>
      </c>
      <c r="H19" s="3">
        <f t="shared" si="2"/>
        <v>-1319803.7000000002</v>
      </c>
      <c r="I19" s="175">
        <f>H19-'[1]Aid Adjust'!$H19</f>
        <v>-42580.090000000084</v>
      </c>
    </row>
    <row r="20" spans="1:9" x14ac:dyDescent="0.2">
      <c r="A20" s="5">
        <v>23</v>
      </c>
      <c r="B20" s="5">
        <v>1</v>
      </c>
      <c r="C20" s="2" t="s">
        <v>18</v>
      </c>
      <c r="D20" s="2">
        <f>Shift10!D20-Shift11!D20</f>
        <v>-181276.24</v>
      </c>
      <c r="E20" s="2">
        <f>Shift10!E20-Shift11!E20</f>
        <v>-473991.82</v>
      </c>
      <c r="F20" s="2">
        <f t="shared" si="1"/>
        <v>-655268.06000000006</v>
      </c>
      <c r="G20" s="2">
        <f>Shift10!M20-Shift11!M20</f>
        <v>-40453.61</v>
      </c>
      <c r="H20" s="3">
        <f t="shared" si="2"/>
        <v>-695721.67</v>
      </c>
      <c r="I20" s="175">
        <f>H20-'[1]Aid Adjust'!$H20</f>
        <v>-23328.270000000019</v>
      </c>
    </row>
    <row r="21" spans="1:9" x14ac:dyDescent="0.2">
      <c r="A21" s="5">
        <v>25</v>
      </c>
      <c r="B21" s="5">
        <v>1</v>
      </c>
      <c r="C21" s="2" t="s">
        <v>348</v>
      </c>
      <c r="D21" s="2">
        <f>Shift10!D21-Shift11!D21</f>
        <v>0</v>
      </c>
      <c r="E21" s="2">
        <f>Shift10!E21-Shift11!E21</f>
        <v>0</v>
      </c>
      <c r="F21" s="2">
        <f t="shared" si="1"/>
        <v>0</v>
      </c>
      <c r="G21" s="2">
        <f>Shift10!M21-Shift11!M21</f>
        <v>0</v>
      </c>
      <c r="H21" s="3">
        <f t="shared" si="2"/>
        <v>0</v>
      </c>
      <c r="I21" s="175">
        <f>H21-'[1]Aid Adjust'!$H21</f>
        <v>0</v>
      </c>
    </row>
    <row r="22" spans="1:9" x14ac:dyDescent="0.2">
      <c r="A22" s="5">
        <v>31</v>
      </c>
      <c r="B22" s="5">
        <v>1</v>
      </c>
      <c r="C22" s="2" t="s">
        <v>19</v>
      </c>
      <c r="D22" s="2">
        <f>Shift10!D22-Shift11!D22</f>
        <v>-963051.19</v>
      </c>
      <c r="E22" s="2">
        <f>Shift10!E22-Shift11!E22</f>
        <v>-897943.40999999992</v>
      </c>
      <c r="F22" s="2">
        <f t="shared" si="1"/>
        <v>-1860994.5999999999</v>
      </c>
      <c r="G22" s="2">
        <f>Shift10!M22-Shift11!M22</f>
        <v>-175146.08</v>
      </c>
      <c r="H22" s="3">
        <f t="shared" si="2"/>
        <v>-2036140.68</v>
      </c>
      <c r="I22" s="175">
        <f>H22-'[1]Aid Adjust'!$H22</f>
        <v>-78764.350000000093</v>
      </c>
    </row>
    <row r="23" spans="1:9" x14ac:dyDescent="0.2">
      <c r="A23" s="5">
        <v>32</v>
      </c>
      <c r="B23" s="5">
        <v>1</v>
      </c>
      <c r="C23" s="2" t="s">
        <v>20</v>
      </c>
      <c r="D23" s="2">
        <f>Shift10!D23-Shift11!D23</f>
        <v>-141069.07999999999</v>
      </c>
      <c r="E23" s="2">
        <f>Shift10!E23-Shift11!E23</f>
        <v>-185.76</v>
      </c>
      <c r="F23" s="2">
        <f t="shared" si="1"/>
        <v>-141254.84</v>
      </c>
      <c r="G23" s="2">
        <f>Shift10!M23-Shift11!M23</f>
        <v>-17072.07</v>
      </c>
      <c r="H23" s="3">
        <f t="shared" si="2"/>
        <v>-158326.91</v>
      </c>
      <c r="I23" s="175">
        <f>H23-'[1]Aid Adjust'!$H23</f>
        <v>-12416.570000000007</v>
      </c>
    </row>
    <row r="24" spans="1:9" x14ac:dyDescent="0.2">
      <c r="A24" s="5">
        <v>36</v>
      </c>
      <c r="B24" s="5">
        <v>1</v>
      </c>
      <c r="C24" s="2" t="s">
        <v>21</v>
      </c>
      <c r="D24" s="2">
        <f>Shift10!D24-Shift11!D24</f>
        <v>-14617.32</v>
      </c>
      <c r="E24" s="2">
        <f>Shift10!E24-Shift11!E24</f>
        <v>0</v>
      </c>
      <c r="F24" s="2">
        <f t="shared" si="1"/>
        <v>-14617.32</v>
      </c>
      <c r="G24" s="2">
        <f>Shift10!M24-Shift11!M24</f>
        <v>-6083.69</v>
      </c>
      <c r="H24" s="3">
        <f t="shared" si="2"/>
        <v>-20701.009999999998</v>
      </c>
      <c r="I24" s="175">
        <f>H24-'[1]Aid Adjust'!$H24</f>
        <v>-483.5099999999984</v>
      </c>
    </row>
    <row r="25" spans="1:9" x14ac:dyDescent="0.2">
      <c r="A25" s="5">
        <v>38</v>
      </c>
      <c r="B25" s="5">
        <v>1</v>
      </c>
      <c r="C25" s="2" t="s">
        <v>22</v>
      </c>
      <c r="D25" s="2">
        <f>Shift10!D25-Shift11!D25</f>
        <v>-1608.58</v>
      </c>
      <c r="E25" s="2">
        <f>Shift10!E25-Shift11!E25</f>
        <v>-852.56</v>
      </c>
      <c r="F25" s="2">
        <f t="shared" si="1"/>
        <v>-2461.14</v>
      </c>
      <c r="G25" s="2">
        <f>Shift10!M25-Shift11!M25</f>
        <v>-58.28</v>
      </c>
      <c r="H25" s="3">
        <f t="shared" si="2"/>
        <v>-2519.42</v>
      </c>
      <c r="I25" s="175">
        <f>H25-'[1]Aid Adjust'!$H25</f>
        <v>-35.350000000000364</v>
      </c>
    </row>
    <row r="26" spans="1:9" x14ac:dyDescent="0.2">
      <c r="A26" s="5">
        <v>47</v>
      </c>
      <c r="B26" s="5">
        <v>1</v>
      </c>
      <c r="C26" s="2" t="s">
        <v>23</v>
      </c>
      <c r="D26" s="2">
        <f>Shift10!D26-Shift11!D26</f>
        <v>-617889.24</v>
      </c>
      <c r="E26" s="2">
        <f>Shift10!E26-Shift11!E26</f>
        <v>0</v>
      </c>
      <c r="F26" s="2">
        <f t="shared" si="1"/>
        <v>-617889.24</v>
      </c>
      <c r="G26" s="2">
        <f>Shift10!M26-Shift11!M26</f>
        <v>-127806.94</v>
      </c>
      <c r="H26" s="3">
        <f t="shared" si="2"/>
        <v>-745696.17999999993</v>
      </c>
      <c r="I26" s="175">
        <f>H26-'[1]Aid Adjust'!$H26</f>
        <v>-42948.589999999851</v>
      </c>
    </row>
    <row r="27" spans="1:9" x14ac:dyDescent="0.2">
      <c r="A27" s="5">
        <v>51</v>
      </c>
      <c r="B27" s="5">
        <v>1</v>
      </c>
      <c r="C27" s="2" t="s">
        <v>24</v>
      </c>
      <c r="D27" s="2">
        <f>Shift10!D27-Shift11!D27</f>
        <v>-243183.75</v>
      </c>
      <c r="E27" s="2">
        <f>Shift10!E27-Shift11!E27</f>
        <v>-92224.540000000008</v>
      </c>
      <c r="F27" s="2">
        <f t="shared" si="1"/>
        <v>-335408.29000000004</v>
      </c>
      <c r="G27" s="2">
        <f>Shift10!M27-Shift11!M27</f>
        <v>-47834.29</v>
      </c>
      <c r="H27" s="3">
        <f t="shared" si="2"/>
        <v>-383242.58</v>
      </c>
      <c r="I27" s="175">
        <f>H27-'[1]Aid Adjust'!$H27</f>
        <v>-23700.580000000016</v>
      </c>
    </row>
    <row r="28" spans="1:9" x14ac:dyDescent="0.2">
      <c r="A28" s="5">
        <v>75</v>
      </c>
      <c r="B28" s="5">
        <v>1</v>
      </c>
      <c r="C28" s="2" t="s">
        <v>25</v>
      </c>
      <c r="D28" s="2">
        <f>Shift10!D28-Shift11!D28</f>
        <v>-130976.09</v>
      </c>
      <c r="E28" s="2">
        <f>Shift10!E28-Shift11!E28</f>
        <v>-45883.96</v>
      </c>
      <c r="F28" s="2">
        <f t="shared" si="1"/>
        <v>-176860.05</v>
      </c>
      <c r="G28" s="2">
        <f>Shift10!M28-Shift11!M28</f>
        <v>-14942.9</v>
      </c>
      <c r="H28" s="3">
        <f t="shared" si="2"/>
        <v>-191802.94999999998</v>
      </c>
      <c r="I28" s="175">
        <f>H28-'[1]Aid Adjust'!$H28</f>
        <v>-7558.6300000000047</v>
      </c>
    </row>
    <row r="29" spans="1:9" x14ac:dyDescent="0.2">
      <c r="A29" s="5">
        <v>77</v>
      </c>
      <c r="B29" s="5">
        <v>1</v>
      </c>
      <c r="C29" s="2" t="s">
        <v>26</v>
      </c>
      <c r="D29" s="2">
        <f>Shift10!D29-Shift11!D29</f>
        <v>-2212651.62</v>
      </c>
      <c r="E29" s="2">
        <f>Shift10!E29-Shift11!E29</f>
        <v>-1900291.06</v>
      </c>
      <c r="F29" s="2">
        <f t="shared" si="1"/>
        <v>-4112942.68</v>
      </c>
      <c r="G29" s="2">
        <f>Shift10!M29-Shift11!M29</f>
        <v>-325186.45</v>
      </c>
      <c r="H29" s="3">
        <f t="shared" si="2"/>
        <v>-4438129.13</v>
      </c>
      <c r="I29" s="175">
        <f>H29-'[1]Aid Adjust'!$H29</f>
        <v>-126827.21999999974</v>
      </c>
    </row>
    <row r="30" spans="1:9" x14ac:dyDescent="0.2">
      <c r="A30" s="5">
        <v>81</v>
      </c>
      <c r="B30" s="5">
        <v>1</v>
      </c>
      <c r="C30" s="2" t="s">
        <v>27</v>
      </c>
      <c r="D30" s="2">
        <f>Shift10!D30-Shift11!D30</f>
        <v>-68174.759999999995</v>
      </c>
      <c r="E30" s="2">
        <f>Shift10!E30-Shift11!E30</f>
        <v>-9560.8000000000029</v>
      </c>
      <c r="F30" s="2">
        <f t="shared" si="1"/>
        <v>-77735.56</v>
      </c>
      <c r="G30" s="2">
        <f>Shift10!M30-Shift11!M30</f>
        <v>-11990.73</v>
      </c>
      <c r="H30" s="3">
        <f t="shared" si="2"/>
        <v>-89726.29</v>
      </c>
      <c r="I30" s="175">
        <f>H30-'[1]Aid Adjust'!$H30</f>
        <v>-6876.4499999999971</v>
      </c>
    </row>
    <row r="31" spans="1:9" x14ac:dyDescent="0.2">
      <c r="A31" s="5">
        <v>84</v>
      </c>
      <c r="B31" s="5">
        <v>1</v>
      </c>
      <c r="C31" s="2" t="s">
        <v>28</v>
      </c>
      <c r="D31" s="2">
        <f>Shift10!D31-Shift11!D31</f>
        <v>-150671.51999999999</v>
      </c>
      <c r="E31" s="2">
        <f>Shift10!E31-Shift11!E31</f>
        <v>0</v>
      </c>
      <c r="F31" s="2">
        <f t="shared" si="1"/>
        <v>-150671.51999999999</v>
      </c>
      <c r="G31" s="2">
        <f>Shift10!M31-Shift11!M31</f>
        <v>-35011.9</v>
      </c>
      <c r="H31" s="3">
        <f t="shared" si="2"/>
        <v>-185683.41999999998</v>
      </c>
      <c r="I31" s="175">
        <f>H31-'[1]Aid Adjust'!$H31</f>
        <v>-20557.119999999995</v>
      </c>
    </row>
    <row r="32" spans="1:9" x14ac:dyDescent="0.2">
      <c r="A32" s="5">
        <v>85</v>
      </c>
      <c r="B32" s="5">
        <v>1</v>
      </c>
      <c r="C32" s="2" t="s">
        <v>29</v>
      </c>
      <c r="D32" s="2">
        <f>Shift10!D32-Shift11!D32</f>
        <v>-108435.61</v>
      </c>
      <c r="E32" s="2">
        <f>Shift10!E32-Shift11!E32</f>
        <v>-76581.679999999993</v>
      </c>
      <c r="F32" s="2">
        <f t="shared" si="1"/>
        <v>-185017.28999999998</v>
      </c>
      <c r="G32" s="2">
        <f>Shift10!M32-Shift11!M32</f>
        <v>-16413.759999999998</v>
      </c>
      <c r="H32" s="3">
        <f t="shared" si="2"/>
        <v>-201431.05</v>
      </c>
      <c r="I32" s="175">
        <f>H32-'[1]Aid Adjust'!$H32</f>
        <v>-10694.079999999987</v>
      </c>
    </row>
    <row r="33" spans="1:9" x14ac:dyDescent="0.2">
      <c r="A33" s="5">
        <v>88</v>
      </c>
      <c r="B33" s="5">
        <v>1</v>
      </c>
      <c r="C33" s="2" t="s">
        <v>30</v>
      </c>
      <c r="D33" s="2">
        <f>Shift10!D33-Shift11!D33</f>
        <v>-621965.79</v>
      </c>
      <c r="E33" s="2">
        <f>Shift10!E33-Shift11!E33</f>
        <v>-728788.7</v>
      </c>
      <c r="F33" s="2">
        <f t="shared" si="1"/>
        <v>-1350754.49</v>
      </c>
      <c r="G33" s="2">
        <f>Shift10!M33-Shift11!M33</f>
        <v>-99158.68</v>
      </c>
      <c r="H33" s="3">
        <f t="shared" si="2"/>
        <v>-1449913.17</v>
      </c>
      <c r="I33" s="175">
        <f>H33-'[1]Aid Adjust'!$H33</f>
        <v>-68895.949999999721</v>
      </c>
    </row>
    <row r="34" spans="1:9" x14ac:dyDescent="0.2">
      <c r="A34" s="5">
        <v>91</v>
      </c>
      <c r="B34" s="5">
        <v>1</v>
      </c>
      <c r="C34" s="2" t="s">
        <v>31</v>
      </c>
      <c r="D34" s="2">
        <f>Shift10!D34-Shift11!D34</f>
        <v>-120337.2</v>
      </c>
      <c r="E34" s="2">
        <f>Shift10!E34-Shift11!E34</f>
        <v>-25498.71</v>
      </c>
      <c r="F34" s="2">
        <f t="shared" si="1"/>
        <v>-145835.91</v>
      </c>
      <c r="G34" s="2">
        <f>Shift10!M34-Shift11!M34</f>
        <v>-24432.86</v>
      </c>
      <c r="H34" s="3">
        <f t="shared" si="2"/>
        <v>-170268.77000000002</v>
      </c>
      <c r="I34" s="175">
        <f>H34-'[1]Aid Adjust'!$H34</f>
        <v>-10900.570000000036</v>
      </c>
    </row>
    <row r="35" spans="1:9" x14ac:dyDescent="0.2">
      <c r="A35" s="5">
        <v>93</v>
      </c>
      <c r="B35" s="5">
        <v>1</v>
      </c>
      <c r="C35" s="2" t="s">
        <v>32</v>
      </c>
      <c r="D35" s="2">
        <f>Shift10!D35-Shift11!D35</f>
        <v>-93134.57</v>
      </c>
      <c r="E35" s="2">
        <f>Shift10!E35-Shift11!E35</f>
        <v>-340850.52999999997</v>
      </c>
      <c r="F35" s="2">
        <f t="shared" si="1"/>
        <v>-433985.1</v>
      </c>
      <c r="G35" s="2">
        <f>Shift10!M35-Shift11!M35</f>
        <v>-19006.11</v>
      </c>
      <c r="H35" s="3">
        <f t="shared" si="2"/>
        <v>-452991.20999999996</v>
      </c>
      <c r="I35" s="175">
        <f>H35-'[1]Aid Adjust'!$H35</f>
        <v>-12748.719999999972</v>
      </c>
    </row>
    <row r="36" spans="1:9" x14ac:dyDescent="0.2">
      <c r="A36" s="5">
        <v>94</v>
      </c>
      <c r="B36" s="5">
        <v>1</v>
      </c>
      <c r="C36" s="2" t="s">
        <v>33</v>
      </c>
      <c r="D36" s="2">
        <f>Shift10!D36-Shift11!D36</f>
        <v>-315664.90000000002</v>
      </c>
      <c r="E36" s="2">
        <f>Shift10!E36-Shift11!E36</f>
        <v>0</v>
      </c>
      <c r="F36" s="2">
        <f t="shared" si="1"/>
        <v>-315664.90000000002</v>
      </c>
      <c r="G36" s="2">
        <f>Shift10!M36-Shift11!M36</f>
        <v>-119697.56</v>
      </c>
      <c r="H36" s="3">
        <f t="shared" si="2"/>
        <v>-435362.46</v>
      </c>
      <c r="I36" s="175">
        <f>H36-'[1]Aid Adjust'!$H36</f>
        <v>-45626.070000000007</v>
      </c>
    </row>
    <row r="37" spans="1:9" x14ac:dyDescent="0.2">
      <c r="A37" s="5">
        <v>95</v>
      </c>
      <c r="B37" s="5">
        <v>1</v>
      </c>
      <c r="C37" s="2" t="s">
        <v>34</v>
      </c>
      <c r="D37" s="2">
        <f>Shift10!D37-Shift11!D37</f>
        <v>-51425.97</v>
      </c>
      <c r="E37" s="2">
        <f>Shift10!E37-Shift11!E37</f>
        <v>0</v>
      </c>
      <c r="F37" s="2">
        <f t="shared" si="1"/>
        <v>-51425.97</v>
      </c>
      <c r="G37" s="2">
        <f>Shift10!M37-Shift11!M37</f>
        <v>-10289.59</v>
      </c>
      <c r="H37" s="3">
        <f t="shared" si="2"/>
        <v>-61715.56</v>
      </c>
      <c r="I37" s="175">
        <f>H37-'[1]Aid Adjust'!$H37</f>
        <v>-4204.239999999998</v>
      </c>
    </row>
    <row r="38" spans="1:9" x14ac:dyDescent="0.2">
      <c r="A38" s="5">
        <v>97</v>
      </c>
      <c r="B38" s="5">
        <v>1</v>
      </c>
      <c r="C38" s="2" t="s">
        <v>35</v>
      </c>
      <c r="D38" s="2">
        <f>Shift10!D38-Shift11!D38</f>
        <v>-176665.08</v>
      </c>
      <c r="E38" s="2">
        <f>Shift10!E38-Shift11!E38</f>
        <v>-44174.3</v>
      </c>
      <c r="F38" s="2">
        <f t="shared" si="1"/>
        <v>-220839.38</v>
      </c>
      <c r="G38" s="2">
        <f>Shift10!M38-Shift11!M38</f>
        <v>-29268.74</v>
      </c>
      <c r="H38" s="3">
        <f t="shared" si="2"/>
        <v>-250108.12</v>
      </c>
      <c r="I38" s="175">
        <f>H38-'[1]Aid Adjust'!$H38</f>
        <v>-25009.649999999965</v>
      </c>
    </row>
    <row r="39" spans="1:9" x14ac:dyDescent="0.2">
      <c r="A39" s="5">
        <v>99</v>
      </c>
      <c r="B39" s="5">
        <v>1</v>
      </c>
      <c r="C39" s="2" t="s">
        <v>36</v>
      </c>
      <c r="D39" s="2">
        <f>Shift10!D39-Shift11!D39</f>
        <v>-199793.29</v>
      </c>
      <c r="E39" s="2">
        <f>Shift10!E39-Shift11!E39</f>
        <v>0</v>
      </c>
      <c r="F39" s="2">
        <f t="shared" si="1"/>
        <v>-199793.29</v>
      </c>
      <c r="G39" s="2">
        <f>Shift10!M39-Shift11!M39</f>
        <v>-27121.93</v>
      </c>
      <c r="H39" s="3">
        <f t="shared" si="2"/>
        <v>-226915.22</v>
      </c>
      <c r="I39" s="175">
        <f>H39-'[1]Aid Adjust'!$H39</f>
        <v>-12240.089999999997</v>
      </c>
    </row>
    <row r="40" spans="1:9" x14ac:dyDescent="0.2">
      <c r="A40" s="5">
        <v>100</v>
      </c>
      <c r="B40" s="5">
        <v>1</v>
      </c>
      <c r="C40" s="2" t="s">
        <v>37</v>
      </c>
      <c r="D40" s="2">
        <f>Shift10!D40-Shift11!D40</f>
        <v>-68850.039999999994</v>
      </c>
      <c r="E40" s="2">
        <f>Shift10!E40-Shift11!E40</f>
        <v>-77315.88</v>
      </c>
      <c r="F40" s="2">
        <f t="shared" si="1"/>
        <v>-146165.91999999998</v>
      </c>
      <c r="G40" s="2">
        <f>Shift10!M40-Shift11!M40</f>
        <v>-10808.41</v>
      </c>
      <c r="H40" s="3">
        <f t="shared" si="2"/>
        <v>-156974.32999999999</v>
      </c>
      <c r="I40" s="175">
        <f>H40-'[1]Aid Adjust'!$H40</f>
        <v>-5559.9599999999627</v>
      </c>
    </row>
    <row r="41" spans="1:9" x14ac:dyDescent="0.2">
      <c r="A41" s="5">
        <v>108</v>
      </c>
      <c r="B41" s="5">
        <v>1</v>
      </c>
      <c r="C41" s="2" t="s">
        <v>38</v>
      </c>
      <c r="D41" s="2">
        <f>Shift10!D41-Shift11!D41</f>
        <v>-311899.44</v>
      </c>
      <c r="E41" s="2">
        <f>Shift10!E41-Shift11!E41</f>
        <v>-245677.36</v>
      </c>
      <c r="F41" s="2">
        <f t="shared" si="1"/>
        <v>-557576.80000000005</v>
      </c>
      <c r="G41" s="2">
        <f>Shift10!M41-Shift11!M41</f>
        <v>-91543.96</v>
      </c>
      <c r="H41" s="3">
        <f t="shared" si="2"/>
        <v>-649120.76</v>
      </c>
      <c r="I41" s="175">
        <f>H41-'[1]Aid Adjust'!$H41</f>
        <v>-24279.530000000028</v>
      </c>
    </row>
    <row r="42" spans="1:9" x14ac:dyDescent="0.2">
      <c r="A42" s="5">
        <v>110</v>
      </c>
      <c r="B42" s="5">
        <v>1</v>
      </c>
      <c r="C42" s="2" t="s">
        <v>39</v>
      </c>
      <c r="D42" s="2">
        <f>Shift10!D42-Shift11!D42</f>
        <v>-911585.76</v>
      </c>
      <c r="E42" s="2">
        <f>Shift10!E42-Shift11!E42</f>
        <v>-1135011.05</v>
      </c>
      <c r="F42" s="2">
        <f t="shared" si="1"/>
        <v>-2046596.81</v>
      </c>
      <c r="G42" s="2">
        <f>Shift10!M42-Shift11!M42</f>
        <v>-145364.23000000001</v>
      </c>
      <c r="H42" s="3">
        <f t="shared" si="2"/>
        <v>-2191961.04</v>
      </c>
      <c r="I42" s="175">
        <f>H42-'[1]Aid Adjust'!$H42</f>
        <v>-29983.970000000205</v>
      </c>
    </row>
    <row r="43" spans="1:9" x14ac:dyDescent="0.2">
      <c r="A43" s="5">
        <v>111</v>
      </c>
      <c r="B43" s="5">
        <v>1</v>
      </c>
      <c r="C43" s="2" t="s">
        <v>40</v>
      </c>
      <c r="D43" s="2">
        <f>Shift10!D43-Shift11!D43</f>
        <v>-403891.43</v>
      </c>
      <c r="E43" s="2">
        <f>Shift10!E43-Shift11!E43</f>
        <v>-167425.21000000002</v>
      </c>
      <c r="F43" s="2">
        <f t="shared" si="1"/>
        <v>-571316.64</v>
      </c>
      <c r="G43" s="2">
        <f>Shift10!M43-Shift11!M43</f>
        <v>-102405.88</v>
      </c>
      <c r="H43" s="3">
        <f t="shared" si="2"/>
        <v>-673722.52</v>
      </c>
      <c r="I43" s="175">
        <f>H43-'[1]Aid Adjust'!$H43</f>
        <v>-20289.720000000088</v>
      </c>
    </row>
    <row r="44" spans="1:9" x14ac:dyDescent="0.2">
      <c r="A44" s="5">
        <v>112</v>
      </c>
      <c r="B44" s="5">
        <v>1</v>
      </c>
      <c r="C44" s="2" t="s">
        <v>41</v>
      </c>
      <c r="D44" s="2">
        <f>Shift10!D44-Shift11!D44</f>
        <v>-2586601.1800000002</v>
      </c>
      <c r="E44" s="2">
        <f>Shift10!E44-Shift11!E44</f>
        <v>-4041867.5700000003</v>
      </c>
      <c r="F44" s="2">
        <f t="shared" si="1"/>
        <v>-6628468.75</v>
      </c>
      <c r="G44" s="2">
        <f>Shift10!M44-Shift11!M44</f>
        <v>-405714.51</v>
      </c>
      <c r="H44" s="3">
        <f t="shared" si="2"/>
        <v>-7034183.2599999998</v>
      </c>
      <c r="I44" s="175">
        <f>H44-'[1]Aid Adjust'!$H44</f>
        <v>-65348.950000000186</v>
      </c>
    </row>
    <row r="45" spans="1:9" x14ac:dyDescent="0.2">
      <c r="A45" s="5">
        <v>113</v>
      </c>
      <c r="B45" s="5">
        <v>1</v>
      </c>
      <c r="C45" s="2" t="s">
        <v>42</v>
      </c>
      <c r="D45" s="2">
        <f>Shift10!D45-Shift11!D45</f>
        <v>-270343.69</v>
      </c>
      <c r="E45" s="2">
        <f>Shift10!E45-Shift11!E45</f>
        <v>0</v>
      </c>
      <c r="F45" s="2">
        <f t="shared" si="1"/>
        <v>-270343.69</v>
      </c>
      <c r="G45" s="2">
        <f>Shift10!M45-Shift11!M45</f>
        <v>-41737.14</v>
      </c>
      <c r="H45" s="3">
        <f t="shared" si="2"/>
        <v>-312080.83</v>
      </c>
      <c r="I45" s="175">
        <f>H45-'[1]Aid Adjust'!$H45</f>
        <v>-7136.9799999999814</v>
      </c>
    </row>
    <row r="46" spans="1:9" x14ac:dyDescent="0.2">
      <c r="A46" s="5">
        <v>115</v>
      </c>
      <c r="B46" s="5">
        <v>1</v>
      </c>
      <c r="C46" s="2" t="s">
        <v>43</v>
      </c>
      <c r="D46" s="2">
        <f>Shift10!D46-Shift11!D46</f>
        <v>-202854.86</v>
      </c>
      <c r="E46" s="2">
        <f>Shift10!E46-Shift11!E46</f>
        <v>0</v>
      </c>
      <c r="F46" s="2">
        <f t="shared" si="1"/>
        <v>-202854.86</v>
      </c>
      <c r="G46" s="2">
        <f>Shift10!M46-Shift11!M46</f>
        <v>-22163.4</v>
      </c>
      <c r="H46" s="3">
        <f t="shared" si="2"/>
        <v>-225018.25999999998</v>
      </c>
      <c r="I46" s="175">
        <f>H46-'[1]Aid Adjust'!$H46</f>
        <v>-4950.5099999999802</v>
      </c>
    </row>
    <row r="47" spans="1:9" x14ac:dyDescent="0.2">
      <c r="A47" s="5">
        <v>116</v>
      </c>
      <c r="B47" s="5">
        <v>1</v>
      </c>
      <c r="C47" s="2" t="s">
        <v>44</v>
      </c>
      <c r="D47" s="2">
        <f>Shift10!D47-Shift11!D47</f>
        <v>-311278.58</v>
      </c>
      <c r="E47" s="2">
        <f>Shift10!E47-Shift11!E47</f>
        <v>0</v>
      </c>
      <c r="F47" s="2">
        <f t="shared" si="1"/>
        <v>-311278.58</v>
      </c>
      <c r="G47" s="2">
        <f>Shift10!M47-Shift11!M47</f>
        <v>-54711.15</v>
      </c>
      <c r="H47" s="3">
        <f t="shared" si="2"/>
        <v>-365989.73000000004</v>
      </c>
      <c r="I47" s="175">
        <f>H47-'[1]Aid Adjust'!$H47</f>
        <v>-13522.890000000014</v>
      </c>
    </row>
    <row r="48" spans="1:9" x14ac:dyDescent="0.2">
      <c r="A48" s="5">
        <v>118</v>
      </c>
      <c r="B48" s="5">
        <v>1</v>
      </c>
      <c r="C48" s="2" t="s">
        <v>45</v>
      </c>
      <c r="D48" s="2">
        <f>Shift10!D48-Shift11!D48</f>
        <v>-137063.67000000001</v>
      </c>
      <c r="E48" s="2">
        <f>Shift10!E48-Shift11!E48</f>
        <v>-42155.270000000004</v>
      </c>
      <c r="F48" s="2">
        <f t="shared" si="1"/>
        <v>-179218.94</v>
      </c>
      <c r="G48" s="2">
        <f>Shift10!M48-Shift11!M48</f>
        <v>-32310.73</v>
      </c>
      <c r="H48" s="3">
        <f t="shared" si="2"/>
        <v>-211529.67</v>
      </c>
      <c r="I48" s="175">
        <f>H48-'[1]Aid Adjust'!$H48</f>
        <v>-5566.1300000000338</v>
      </c>
    </row>
    <row r="49" spans="1:9" x14ac:dyDescent="0.2">
      <c r="A49" s="5">
        <v>129</v>
      </c>
      <c r="B49" s="5">
        <v>1</v>
      </c>
      <c r="C49" s="2" t="s">
        <v>46</v>
      </c>
      <c r="D49" s="2">
        <f>Shift10!D49-Shift11!D49</f>
        <v>-187146.05</v>
      </c>
      <c r="E49" s="2">
        <f>Shift10!E49-Shift11!E49</f>
        <v>-90913.97</v>
      </c>
      <c r="F49" s="2">
        <f t="shared" si="1"/>
        <v>-278060.02</v>
      </c>
      <c r="G49" s="2">
        <f>Shift10!M49-Shift11!M49</f>
        <v>-49125.46</v>
      </c>
      <c r="H49" s="3">
        <f t="shared" si="2"/>
        <v>-327185.48000000004</v>
      </c>
      <c r="I49" s="175">
        <f>H49-'[1]Aid Adjust'!$H49</f>
        <v>-27781.320000000065</v>
      </c>
    </row>
    <row r="50" spans="1:9" x14ac:dyDescent="0.2">
      <c r="A50" s="5">
        <v>138</v>
      </c>
      <c r="B50" s="5">
        <v>1</v>
      </c>
      <c r="C50" s="2" t="s">
        <v>47</v>
      </c>
      <c r="D50" s="2">
        <f>Shift10!D50-Shift11!D50</f>
        <v>-681413.29</v>
      </c>
      <c r="E50" s="2">
        <f>Shift10!E50-Shift11!E50</f>
        <v>0</v>
      </c>
      <c r="F50" s="2">
        <f t="shared" si="1"/>
        <v>-681413.29</v>
      </c>
      <c r="G50" s="2">
        <f>Shift10!M50-Shift11!M50</f>
        <v>-108511.6</v>
      </c>
      <c r="H50" s="3">
        <f t="shared" si="2"/>
        <v>-789924.89</v>
      </c>
      <c r="I50" s="175">
        <f>H50-'[1]Aid Adjust'!$H50</f>
        <v>-40118.550000000047</v>
      </c>
    </row>
    <row r="51" spans="1:9" x14ac:dyDescent="0.2">
      <c r="A51" s="5">
        <v>139</v>
      </c>
      <c r="B51" s="5">
        <v>1</v>
      </c>
      <c r="C51" s="2" t="s">
        <v>48</v>
      </c>
      <c r="D51" s="2">
        <f>Shift10!D51-Shift11!D51</f>
        <v>-251467.26</v>
      </c>
      <c r="E51" s="2">
        <f>Shift10!E51-Shift11!E51</f>
        <v>0</v>
      </c>
      <c r="F51" s="2">
        <f t="shared" si="1"/>
        <v>-251467.26</v>
      </c>
      <c r="G51" s="2">
        <f>Shift10!M51-Shift11!M51</f>
        <v>-25852.720000000001</v>
      </c>
      <c r="H51" s="3">
        <f t="shared" si="2"/>
        <v>-277319.98</v>
      </c>
      <c r="I51" s="175">
        <f>H51-'[1]Aid Adjust'!$H51</f>
        <v>-15733.199999999983</v>
      </c>
    </row>
    <row r="52" spans="1:9" x14ac:dyDescent="0.2">
      <c r="A52" s="5">
        <v>146</v>
      </c>
      <c r="B52" s="5">
        <v>1</v>
      </c>
      <c r="C52" s="2" t="s">
        <v>49</v>
      </c>
      <c r="D52" s="2">
        <f>Shift10!D52-Shift11!D52</f>
        <v>-140960.57</v>
      </c>
      <c r="E52" s="2">
        <f>Shift10!E52-Shift11!E52</f>
        <v>-219136.83999999997</v>
      </c>
      <c r="F52" s="2">
        <f t="shared" si="1"/>
        <v>-360097.41</v>
      </c>
      <c r="G52" s="2">
        <f>Shift10!M52-Shift11!M52</f>
        <v>-25691.64</v>
      </c>
      <c r="H52" s="3">
        <f t="shared" si="2"/>
        <v>-385789.05</v>
      </c>
      <c r="I52" s="175">
        <f>H52-'[1]Aid Adjust'!$H52</f>
        <v>-12714.360000000044</v>
      </c>
    </row>
    <row r="53" spans="1:9" x14ac:dyDescent="0.2">
      <c r="A53" s="5">
        <v>150</v>
      </c>
      <c r="B53" s="5">
        <v>1</v>
      </c>
      <c r="C53" s="2" t="s">
        <v>50</v>
      </c>
      <c r="D53" s="2">
        <f>Shift10!D53-Shift11!D53</f>
        <v>-112384.88</v>
      </c>
      <c r="E53" s="2">
        <f>Shift10!E53-Shift11!E53</f>
        <v>-84188.19</v>
      </c>
      <c r="F53" s="2">
        <f t="shared" si="1"/>
        <v>-196573.07</v>
      </c>
      <c r="G53" s="2">
        <f>Shift10!M53-Shift11!M53</f>
        <v>-16685.88</v>
      </c>
      <c r="H53" s="3">
        <f t="shared" si="2"/>
        <v>-213258.95</v>
      </c>
      <c r="I53" s="175">
        <f>H53-'[1]Aid Adjust'!$H53</f>
        <v>-9895.1500000000233</v>
      </c>
    </row>
    <row r="54" spans="1:9" x14ac:dyDescent="0.2">
      <c r="A54" s="5">
        <v>152</v>
      </c>
      <c r="B54" s="5">
        <v>1</v>
      </c>
      <c r="C54" s="2" t="s">
        <v>51</v>
      </c>
      <c r="D54" s="2">
        <f>Shift10!D54-Shift11!D54</f>
        <v>-923084.98</v>
      </c>
      <c r="E54" s="2">
        <f>Shift10!E54-Shift11!E54</f>
        <v>-1810134.4300000002</v>
      </c>
      <c r="F54" s="2">
        <f t="shared" si="1"/>
        <v>-2733219.41</v>
      </c>
      <c r="G54" s="2">
        <f>Shift10!M54-Shift11!M54</f>
        <v>-223008.98</v>
      </c>
      <c r="H54" s="3">
        <f t="shared" si="2"/>
        <v>-2956228.39</v>
      </c>
      <c r="I54" s="175">
        <f>H54-'[1]Aid Adjust'!$H54</f>
        <v>-157474.6799999997</v>
      </c>
    </row>
    <row r="55" spans="1:9" x14ac:dyDescent="0.2">
      <c r="A55" s="5">
        <v>162</v>
      </c>
      <c r="B55" s="5">
        <v>1</v>
      </c>
      <c r="C55" s="2" t="s">
        <v>52</v>
      </c>
      <c r="D55" s="2">
        <f>Shift10!D55-Shift11!D55</f>
        <v>-204186.41</v>
      </c>
      <c r="E55" s="2">
        <f>Shift10!E55-Shift11!E55</f>
        <v>0</v>
      </c>
      <c r="F55" s="2">
        <f t="shared" si="1"/>
        <v>-204186.41</v>
      </c>
      <c r="G55" s="2">
        <f>Shift10!M55-Shift11!M55</f>
        <v>-31487.94</v>
      </c>
      <c r="H55" s="3">
        <f t="shared" si="2"/>
        <v>-235674.35</v>
      </c>
      <c r="I55" s="175">
        <f>H55-'[1]Aid Adjust'!$H55</f>
        <v>-25820.410000000003</v>
      </c>
    </row>
    <row r="56" spans="1:9" x14ac:dyDescent="0.2">
      <c r="A56" s="5">
        <v>166</v>
      </c>
      <c r="B56" s="5">
        <v>1</v>
      </c>
      <c r="C56" s="2" t="s">
        <v>53</v>
      </c>
      <c r="D56" s="2">
        <f>Shift10!D56-Shift11!D56</f>
        <v>-6944.7</v>
      </c>
      <c r="E56" s="2">
        <f>Shift10!E56-Shift11!E56</f>
        <v>-181125.73</v>
      </c>
      <c r="F56" s="2">
        <f t="shared" si="1"/>
        <v>-188070.43000000002</v>
      </c>
      <c r="G56" s="2">
        <f>Shift10!M56-Shift11!M56</f>
        <v>0</v>
      </c>
      <c r="H56" s="3">
        <f t="shared" si="2"/>
        <v>-188070.43000000002</v>
      </c>
      <c r="I56" s="175">
        <f>H56-'[1]Aid Adjust'!$H56</f>
        <v>0</v>
      </c>
    </row>
    <row r="57" spans="1:9" x14ac:dyDescent="0.2">
      <c r="A57" s="5">
        <v>173</v>
      </c>
      <c r="B57" s="5">
        <v>1</v>
      </c>
      <c r="C57" s="2" t="s">
        <v>54</v>
      </c>
      <c r="D57" s="2">
        <f>Shift10!D57-Shift11!D57</f>
        <v>-97444.31</v>
      </c>
      <c r="E57" s="2">
        <f>Shift10!E57-Shift11!E57</f>
        <v>-151775.57</v>
      </c>
      <c r="F57" s="2">
        <f t="shared" si="1"/>
        <v>-249219.88</v>
      </c>
      <c r="G57" s="2">
        <f>Shift10!M57-Shift11!M57</f>
        <v>-23455.33</v>
      </c>
      <c r="H57" s="3">
        <f t="shared" si="2"/>
        <v>-272675.21000000002</v>
      </c>
      <c r="I57" s="175">
        <f>H57-'[1]Aid Adjust'!$H57</f>
        <v>-18394.270000000019</v>
      </c>
    </row>
    <row r="58" spans="1:9" x14ac:dyDescent="0.2">
      <c r="A58" s="5">
        <v>177</v>
      </c>
      <c r="B58" s="5">
        <v>1</v>
      </c>
      <c r="C58" s="2" t="s">
        <v>55</v>
      </c>
      <c r="D58" s="2">
        <f>Shift10!D58-Shift11!D58</f>
        <v>-179361.27</v>
      </c>
      <c r="E58" s="2">
        <f>Shift10!E58-Shift11!E58</f>
        <v>-406395.49</v>
      </c>
      <c r="F58" s="2">
        <f t="shared" si="1"/>
        <v>-585756.76</v>
      </c>
      <c r="G58" s="2">
        <f>Shift10!M58-Shift11!M58</f>
        <v>-38511.129999999997</v>
      </c>
      <c r="H58" s="3">
        <f t="shared" si="2"/>
        <v>-624267.89</v>
      </c>
      <c r="I58" s="175">
        <f>H58-'[1]Aid Adjust'!$H58</f>
        <v>-19739.170000000042</v>
      </c>
    </row>
    <row r="59" spans="1:9" x14ac:dyDescent="0.2">
      <c r="A59" s="5">
        <v>181</v>
      </c>
      <c r="B59" s="5">
        <v>1</v>
      </c>
      <c r="C59" s="2" t="s">
        <v>56</v>
      </c>
      <c r="D59" s="2">
        <f>Shift10!D59-Shift11!D59</f>
        <v>-2163155.64</v>
      </c>
      <c r="E59" s="2">
        <f>Shift10!E59-Shift11!E59</f>
        <v>-336420.10000000003</v>
      </c>
      <c r="F59" s="2">
        <f t="shared" si="1"/>
        <v>-2499575.7400000002</v>
      </c>
      <c r="G59" s="2">
        <f>Shift10!M59-Shift11!M59</f>
        <v>-290052.36</v>
      </c>
      <c r="H59" s="3">
        <f t="shared" si="2"/>
        <v>-2789628.1</v>
      </c>
      <c r="I59" s="175">
        <f>H59-'[1]Aid Adjust'!$H59</f>
        <v>-115365.02000000002</v>
      </c>
    </row>
    <row r="60" spans="1:9" x14ac:dyDescent="0.2">
      <c r="A60" s="5">
        <v>182</v>
      </c>
      <c r="B60" s="5">
        <v>1</v>
      </c>
      <c r="C60" s="2" t="s">
        <v>57</v>
      </c>
      <c r="D60" s="2">
        <f>Shift10!D60-Shift11!D60</f>
        <v>-286809.07</v>
      </c>
      <c r="E60" s="2">
        <f>Shift10!E60-Shift11!E60</f>
        <v>-273188.08999999997</v>
      </c>
      <c r="F60" s="2">
        <f t="shared" si="1"/>
        <v>-559997.15999999992</v>
      </c>
      <c r="G60" s="2">
        <f>Shift10!M60-Shift11!M60</f>
        <v>-2701.97</v>
      </c>
      <c r="H60" s="3">
        <f t="shared" si="2"/>
        <v>-562699.12999999989</v>
      </c>
      <c r="I60" s="175">
        <f>H60-'[1]Aid Adjust'!$H60</f>
        <v>-24441.09999999986</v>
      </c>
    </row>
    <row r="61" spans="1:9" x14ac:dyDescent="0.2">
      <c r="A61" s="5">
        <v>186</v>
      </c>
      <c r="B61" s="5">
        <v>1</v>
      </c>
      <c r="C61" s="2" t="s">
        <v>58</v>
      </c>
      <c r="D61" s="2">
        <f>Shift10!D61-Shift11!D61</f>
        <v>-568650.34</v>
      </c>
      <c r="E61" s="2">
        <f>Shift10!E61-Shift11!E61</f>
        <v>-913.56</v>
      </c>
      <c r="F61" s="2">
        <f t="shared" si="1"/>
        <v>-569563.9</v>
      </c>
      <c r="G61" s="2">
        <f>Shift10!M61-Shift11!M61</f>
        <v>-84372.91</v>
      </c>
      <c r="H61" s="3">
        <f t="shared" si="2"/>
        <v>-653936.81000000006</v>
      </c>
      <c r="I61" s="175">
        <f>H61-'[1]Aid Adjust'!$H61</f>
        <v>-12246.089999999967</v>
      </c>
    </row>
    <row r="62" spans="1:9" x14ac:dyDescent="0.2">
      <c r="A62" s="5">
        <v>191</v>
      </c>
      <c r="B62" s="5">
        <v>1</v>
      </c>
      <c r="C62" s="2" t="s">
        <v>59</v>
      </c>
      <c r="D62" s="2">
        <f>Shift10!D62-Shift11!D62</f>
        <v>-2697059.37</v>
      </c>
      <c r="E62" s="2">
        <f>Shift10!E62-Shift11!E62</f>
        <v>-5435808.6399999987</v>
      </c>
      <c r="F62" s="2">
        <f t="shared" si="1"/>
        <v>-8132868.0099999988</v>
      </c>
      <c r="G62" s="2">
        <f>Shift10!M62-Shift11!M62</f>
        <v>-474436.6</v>
      </c>
      <c r="H62" s="3">
        <f t="shared" si="2"/>
        <v>-8607304.6099999994</v>
      </c>
      <c r="I62" s="175">
        <f>H62-'[1]Aid Adjust'!$H62</f>
        <v>-135090.02999999933</v>
      </c>
    </row>
    <row r="63" spans="1:9" x14ac:dyDescent="0.2">
      <c r="A63" s="5">
        <v>192</v>
      </c>
      <c r="B63" s="5">
        <v>1</v>
      </c>
      <c r="C63" s="2" t="s">
        <v>60</v>
      </c>
      <c r="D63" s="2">
        <f>Shift10!D63-Shift11!D63</f>
        <v>-1284713.1200000001</v>
      </c>
      <c r="E63" s="2">
        <f>Shift10!E63-Shift11!E63</f>
        <v>-1116501.6199999999</v>
      </c>
      <c r="F63" s="2">
        <f t="shared" si="1"/>
        <v>-2401214.7400000002</v>
      </c>
      <c r="G63" s="2">
        <f>Shift10!M63-Shift11!M63</f>
        <v>-201206.43</v>
      </c>
      <c r="H63" s="3">
        <f t="shared" si="2"/>
        <v>-2602421.1700000004</v>
      </c>
      <c r="I63" s="175">
        <f>H63-'[1]Aid Adjust'!$H63</f>
        <v>-56844.900000000838</v>
      </c>
    </row>
    <row r="64" spans="1:9" x14ac:dyDescent="0.2">
      <c r="A64" s="5">
        <v>194</v>
      </c>
      <c r="B64" s="5">
        <v>1</v>
      </c>
      <c r="C64" s="2" t="s">
        <v>61</v>
      </c>
      <c r="D64" s="2">
        <f>Shift10!D64-Shift11!D64</f>
        <v>-2374735.2999999998</v>
      </c>
      <c r="E64" s="2">
        <f>Shift10!E64-Shift11!E64</f>
        <v>-2905006.4</v>
      </c>
      <c r="F64" s="2">
        <f t="shared" si="1"/>
        <v>-5279741.6999999993</v>
      </c>
      <c r="G64" s="2">
        <f>Shift10!M64-Shift11!M64</f>
        <v>-573906.71</v>
      </c>
      <c r="H64" s="3">
        <f t="shared" si="2"/>
        <v>-5853648.4099999992</v>
      </c>
      <c r="I64" s="175">
        <f>H64-'[1]Aid Adjust'!$H64</f>
        <v>-54471.509999998845</v>
      </c>
    </row>
    <row r="65" spans="1:9" x14ac:dyDescent="0.2">
      <c r="A65" s="5">
        <v>195</v>
      </c>
      <c r="B65" s="5">
        <v>1</v>
      </c>
      <c r="C65" s="2" t="s">
        <v>62</v>
      </c>
      <c r="D65" s="2">
        <f>Shift10!D65-Shift11!D65</f>
        <v>-121592.62</v>
      </c>
      <c r="E65" s="2">
        <f>Shift10!E65-Shift11!E65</f>
        <v>0</v>
      </c>
      <c r="F65" s="2">
        <f t="shared" si="1"/>
        <v>-121592.62</v>
      </c>
      <c r="G65" s="2">
        <f>Shift10!M65-Shift11!M65</f>
        <v>-15323.58</v>
      </c>
      <c r="H65" s="3">
        <f t="shared" si="2"/>
        <v>-136916.19999999998</v>
      </c>
      <c r="I65" s="175">
        <f>H65-'[1]Aid Adjust'!$H65</f>
        <v>-5346.8699999999953</v>
      </c>
    </row>
    <row r="66" spans="1:9" x14ac:dyDescent="0.2">
      <c r="A66" s="5">
        <v>196</v>
      </c>
      <c r="B66" s="5">
        <v>1</v>
      </c>
      <c r="C66" s="2" t="s">
        <v>63</v>
      </c>
      <c r="D66" s="2">
        <f>Shift10!D66-Shift11!D66</f>
        <v>-12059835.67</v>
      </c>
      <c r="E66" s="2">
        <f>Shift10!E66-Shift11!E66</f>
        <v>-12451122.370000001</v>
      </c>
      <c r="F66" s="2">
        <f t="shared" si="1"/>
        <v>-24510958.039999999</v>
      </c>
      <c r="G66" s="2">
        <f>Shift10!M66-Shift11!M66</f>
        <v>-820124.51</v>
      </c>
      <c r="H66" s="3">
        <f t="shared" si="2"/>
        <v>-25331082.550000001</v>
      </c>
      <c r="I66" s="175">
        <f>H66-'[1]Aid Adjust'!$H66</f>
        <v>-465208.25</v>
      </c>
    </row>
    <row r="67" spans="1:9" x14ac:dyDescent="0.2">
      <c r="A67" s="5">
        <v>197</v>
      </c>
      <c r="B67" s="5">
        <v>1</v>
      </c>
      <c r="C67" s="2" t="s">
        <v>64</v>
      </c>
      <c r="D67" s="2">
        <f>Shift10!D67-Shift11!D67</f>
        <v>-1711102.49</v>
      </c>
      <c r="E67" s="2">
        <f>Shift10!E67-Shift11!E67</f>
        <v>-1111921.5099999998</v>
      </c>
      <c r="F67" s="2">
        <f t="shared" si="1"/>
        <v>-2823024</v>
      </c>
      <c r="G67" s="2">
        <f>Shift10!M67-Shift11!M67</f>
        <v>-338134.01</v>
      </c>
      <c r="H67" s="3">
        <f t="shared" si="2"/>
        <v>-3161158.01</v>
      </c>
      <c r="I67" s="175">
        <f>H67-'[1]Aid Adjust'!$H67</f>
        <v>-57635.370000000112</v>
      </c>
    </row>
    <row r="68" spans="1:9" x14ac:dyDescent="0.2">
      <c r="A68" s="5">
        <v>199</v>
      </c>
      <c r="B68" s="5">
        <v>1</v>
      </c>
      <c r="C68" s="2" t="s">
        <v>65</v>
      </c>
      <c r="D68" s="2">
        <f>Shift10!D68-Shift11!D68</f>
        <v>-1341536.8999999999</v>
      </c>
      <c r="E68" s="2">
        <f>Shift10!E68-Shift11!E68</f>
        <v>-965608.00999999989</v>
      </c>
      <c r="F68" s="2">
        <f t="shared" si="1"/>
        <v>-2307144.9099999997</v>
      </c>
      <c r="G68" s="2">
        <f>Shift10!M68-Shift11!M68</f>
        <v>-208540.17</v>
      </c>
      <c r="H68" s="3">
        <f t="shared" si="2"/>
        <v>-2515685.0799999996</v>
      </c>
      <c r="I68" s="175">
        <f>H68-'[1]Aid Adjust'!$H68</f>
        <v>-57462.369999999646</v>
      </c>
    </row>
    <row r="69" spans="1:9" x14ac:dyDescent="0.2">
      <c r="A69" s="5">
        <v>200</v>
      </c>
      <c r="B69" s="5">
        <v>1</v>
      </c>
      <c r="C69" s="2" t="s">
        <v>66</v>
      </c>
      <c r="D69" s="2">
        <f>Shift10!D69-Shift11!D69</f>
        <v>-1137585.78</v>
      </c>
      <c r="E69" s="2">
        <f>Shift10!E69-Shift11!E69</f>
        <v>-3216802.19</v>
      </c>
      <c r="F69" s="2">
        <f t="shared" si="1"/>
        <v>-4354387.97</v>
      </c>
      <c r="G69" s="2">
        <f>Shift10!M69-Shift11!M69</f>
        <v>-221687.44</v>
      </c>
      <c r="H69" s="3">
        <f t="shared" si="2"/>
        <v>-4576075.41</v>
      </c>
      <c r="I69" s="175">
        <f>H69-'[1]Aid Adjust'!$H69</f>
        <v>-57854.270000000484</v>
      </c>
    </row>
    <row r="70" spans="1:9" x14ac:dyDescent="0.2">
      <c r="A70" s="5">
        <v>203</v>
      </c>
      <c r="B70" s="5">
        <v>1</v>
      </c>
      <c r="C70" s="2" t="s">
        <v>67</v>
      </c>
      <c r="D70" s="2">
        <f>Shift10!D70-Shift11!D70</f>
        <v>-197356.54</v>
      </c>
      <c r="E70" s="2">
        <f>Shift10!E70-Shift11!E70</f>
        <v>-165281.04999999999</v>
      </c>
      <c r="F70" s="2">
        <f t="shared" si="1"/>
        <v>-362637.58999999997</v>
      </c>
      <c r="G70" s="2">
        <f>Shift10!M70-Shift11!M70</f>
        <v>-32340.81</v>
      </c>
      <c r="H70" s="3">
        <f t="shared" si="2"/>
        <v>-394978.39999999997</v>
      </c>
      <c r="I70" s="175">
        <f>H70-'[1]Aid Adjust'!$H70</f>
        <v>-20060.01999999996</v>
      </c>
    </row>
    <row r="71" spans="1:9" x14ac:dyDescent="0.2">
      <c r="A71" s="5">
        <v>204</v>
      </c>
      <c r="B71" s="5">
        <v>1</v>
      </c>
      <c r="C71" s="2" t="s">
        <v>68</v>
      </c>
      <c r="D71" s="2">
        <f>Shift10!D71-Shift11!D71</f>
        <v>-328479.53999999998</v>
      </c>
      <c r="E71" s="2">
        <f>Shift10!E71-Shift11!E71</f>
        <v>-153401.93</v>
      </c>
      <c r="F71" s="2">
        <f t="shared" si="1"/>
        <v>-481881.47</v>
      </c>
      <c r="G71" s="2">
        <f>Shift10!M71-Shift11!M71</f>
        <v>-22203.21</v>
      </c>
      <c r="H71" s="3">
        <f t="shared" si="2"/>
        <v>-504084.68</v>
      </c>
      <c r="I71" s="175">
        <f>H71-'[1]Aid Adjust'!$H71</f>
        <v>-27111.809999999998</v>
      </c>
    </row>
    <row r="72" spans="1:9" x14ac:dyDescent="0.2">
      <c r="A72" s="5">
        <v>206</v>
      </c>
      <c r="B72" s="5">
        <v>1</v>
      </c>
      <c r="C72" s="2" t="s">
        <v>69</v>
      </c>
      <c r="D72" s="2">
        <f>Shift10!D72-Shift11!D72</f>
        <v>-977788.03</v>
      </c>
      <c r="E72" s="2">
        <f>Shift10!E72-Shift11!E72</f>
        <v>-503981.36000000004</v>
      </c>
      <c r="F72" s="2">
        <f t="shared" ref="F72:F133" si="3">D72+E72</f>
        <v>-1481769.3900000001</v>
      </c>
      <c r="G72" s="2">
        <f>Shift10!M72-Shift11!M72</f>
        <v>-200034.68</v>
      </c>
      <c r="H72" s="3">
        <f t="shared" ref="H72:H133" si="4">SUM(F72:G72)</f>
        <v>-1681804.07</v>
      </c>
      <c r="I72" s="175">
        <f>H72-'[1]Aid Adjust'!$H72</f>
        <v>-46823.5</v>
      </c>
    </row>
    <row r="73" spans="1:9" x14ac:dyDescent="0.2">
      <c r="A73" s="5">
        <v>207</v>
      </c>
      <c r="B73" s="5">
        <v>1</v>
      </c>
      <c r="C73" s="2" t="s">
        <v>70</v>
      </c>
      <c r="D73" s="2">
        <f>Shift10!D73-Shift11!D73</f>
        <v>-87486.8</v>
      </c>
      <c r="E73" s="2">
        <f>Shift10!E73-Shift11!E73</f>
        <v>-98303.22</v>
      </c>
      <c r="F73" s="2">
        <f t="shared" si="3"/>
        <v>-185790.02000000002</v>
      </c>
      <c r="G73" s="2">
        <f>Shift10!M73-Shift11!M73</f>
        <v>-10790.66</v>
      </c>
      <c r="H73" s="3">
        <f t="shared" si="4"/>
        <v>-196580.68000000002</v>
      </c>
      <c r="I73" s="175">
        <f>H73-'[1]Aid Adjust'!$H73</f>
        <v>-7182.9300000000512</v>
      </c>
    </row>
    <row r="74" spans="1:9" x14ac:dyDescent="0.2">
      <c r="A74" s="5">
        <v>208</v>
      </c>
      <c r="B74" s="5">
        <v>1</v>
      </c>
      <c r="C74" s="2" t="s">
        <v>71</v>
      </c>
      <c r="D74" s="2">
        <f>Shift10!D74-Shift11!D74</f>
        <v>-53685.01</v>
      </c>
      <c r="E74" s="2">
        <f>Shift10!E74-Shift11!E74</f>
        <v>-138918.73000000001</v>
      </c>
      <c r="F74" s="2">
        <f t="shared" si="3"/>
        <v>-192603.74000000002</v>
      </c>
      <c r="G74" s="2">
        <f>Shift10!M74-Shift11!M74</f>
        <v>-8509.86</v>
      </c>
      <c r="H74" s="3">
        <f t="shared" si="4"/>
        <v>-201113.60000000003</v>
      </c>
      <c r="I74" s="175">
        <f>H74-'[1]Aid Adjust'!$H74</f>
        <v>-6398.2400000000489</v>
      </c>
    </row>
    <row r="75" spans="1:9" x14ac:dyDescent="0.2">
      <c r="A75" s="5">
        <v>213</v>
      </c>
      <c r="B75" s="5">
        <v>1</v>
      </c>
      <c r="C75" s="2" t="s">
        <v>72</v>
      </c>
      <c r="D75" s="2">
        <f>Shift10!D75-Shift11!D75</f>
        <v>-169350.95</v>
      </c>
      <c r="E75" s="2">
        <f>Shift10!E75-Shift11!E75</f>
        <v>0</v>
      </c>
      <c r="F75" s="2">
        <f t="shared" si="3"/>
        <v>-169350.95</v>
      </c>
      <c r="G75" s="2">
        <f>Shift10!M75-Shift11!M75</f>
        <v>-20514.060000000001</v>
      </c>
      <c r="H75" s="3">
        <f t="shared" si="4"/>
        <v>-189865.01</v>
      </c>
      <c r="I75" s="175">
        <f>H75-'[1]Aid Adjust'!$H75</f>
        <v>-13188.100000000006</v>
      </c>
    </row>
    <row r="76" spans="1:9" x14ac:dyDescent="0.2">
      <c r="A76" s="5">
        <v>227</v>
      </c>
      <c r="B76" s="5">
        <v>1</v>
      </c>
      <c r="C76" s="2" t="s">
        <v>73</v>
      </c>
      <c r="D76" s="2">
        <f>Shift10!D76-Shift11!D76</f>
        <v>-162038.49</v>
      </c>
      <c r="E76" s="2">
        <f>Shift10!E76-Shift11!E76</f>
        <v>-76278</v>
      </c>
      <c r="F76" s="2">
        <f t="shared" si="3"/>
        <v>-238316.49</v>
      </c>
      <c r="G76" s="2">
        <f>Shift10!M76-Shift11!M76</f>
        <v>-32205.759999999998</v>
      </c>
      <c r="H76" s="3">
        <f t="shared" si="4"/>
        <v>-270522.25</v>
      </c>
      <c r="I76" s="175">
        <f>H76-'[1]Aid Adjust'!$H76</f>
        <v>-13865.830000000016</v>
      </c>
    </row>
    <row r="77" spans="1:9" x14ac:dyDescent="0.2">
      <c r="A77" s="5">
        <v>229</v>
      </c>
      <c r="B77" s="5">
        <v>1</v>
      </c>
      <c r="C77" s="2" t="s">
        <v>74</v>
      </c>
      <c r="D77" s="2">
        <f>Shift10!D77-Shift11!D77</f>
        <v>-79593.17</v>
      </c>
      <c r="E77" s="2">
        <f>Shift10!E77-Shift11!E77</f>
        <v>-18416.760000000002</v>
      </c>
      <c r="F77" s="2">
        <f t="shared" si="3"/>
        <v>-98009.93</v>
      </c>
      <c r="G77" s="2">
        <f>Shift10!M77-Shift11!M77</f>
        <v>-10249.65</v>
      </c>
      <c r="H77" s="3">
        <f t="shared" si="4"/>
        <v>-108259.57999999999</v>
      </c>
      <c r="I77" s="175">
        <f>H77-'[1]Aid Adjust'!$H77</f>
        <v>-9255.6299999999901</v>
      </c>
    </row>
    <row r="78" spans="1:9" x14ac:dyDescent="0.2">
      <c r="A78" s="5">
        <v>238</v>
      </c>
      <c r="B78" s="5">
        <v>1</v>
      </c>
      <c r="C78" s="2" t="s">
        <v>75</v>
      </c>
      <c r="D78" s="2">
        <f>Shift10!D78-Shift11!D78</f>
        <v>-67139.23</v>
      </c>
      <c r="E78" s="2">
        <f>Shift10!E78-Shift11!E78</f>
        <v>-90149.599999999991</v>
      </c>
      <c r="F78" s="2">
        <f t="shared" si="3"/>
        <v>-157288.82999999999</v>
      </c>
      <c r="G78" s="2">
        <f>Shift10!M78-Shift11!M78</f>
        <v>-3035.02</v>
      </c>
      <c r="H78" s="3">
        <f t="shared" si="4"/>
        <v>-160323.84999999998</v>
      </c>
      <c r="I78" s="175">
        <f>H78-'[1]Aid Adjust'!$H78</f>
        <v>-9744.3799999999756</v>
      </c>
    </row>
    <row r="79" spans="1:9" x14ac:dyDescent="0.2">
      <c r="A79" s="5">
        <v>239</v>
      </c>
      <c r="B79" s="5">
        <v>1</v>
      </c>
      <c r="C79" s="2" t="s">
        <v>76</v>
      </c>
      <c r="D79" s="2">
        <f>Shift10!D79-Shift11!D79</f>
        <v>-166937.28</v>
      </c>
      <c r="E79" s="2">
        <f>Shift10!E79-Shift11!E79</f>
        <v>-214473.9</v>
      </c>
      <c r="F79" s="2">
        <f t="shared" si="3"/>
        <v>-381411.18</v>
      </c>
      <c r="G79" s="2">
        <f>Shift10!M79-Shift11!M79</f>
        <v>-25070.31</v>
      </c>
      <c r="H79" s="3">
        <f t="shared" si="4"/>
        <v>-406481.49</v>
      </c>
      <c r="I79" s="175">
        <f>H79-'[1]Aid Adjust'!$H79</f>
        <v>-32179.97000000003</v>
      </c>
    </row>
    <row r="80" spans="1:9" x14ac:dyDescent="0.2">
      <c r="A80" s="5">
        <v>241</v>
      </c>
      <c r="B80" s="5">
        <v>1</v>
      </c>
      <c r="C80" s="2" t="s">
        <v>77</v>
      </c>
      <c r="D80" s="2">
        <f>Shift10!D80-Shift11!D80</f>
        <v>-798865.56</v>
      </c>
      <c r="E80" s="2">
        <f>Shift10!E80-Shift11!E80</f>
        <v>-1275072.1399999999</v>
      </c>
      <c r="F80" s="2">
        <f t="shared" si="3"/>
        <v>-2073937.7</v>
      </c>
      <c r="G80" s="2">
        <f>Shift10!M80-Shift11!M80</f>
        <v>-125016.98</v>
      </c>
      <c r="H80" s="3">
        <f t="shared" si="4"/>
        <v>-2198954.6800000002</v>
      </c>
      <c r="I80" s="175">
        <f>H80-'[1]Aid Adjust'!$H80</f>
        <v>-74010.980000000447</v>
      </c>
    </row>
    <row r="81" spans="1:9" x14ac:dyDescent="0.2">
      <c r="A81" s="5">
        <v>242</v>
      </c>
      <c r="B81" s="5">
        <v>1</v>
      </c>
      <c r="C81" s="2" t="s">
        <v>78</v>
      </c>
      <c r="D81" s="2">
        <f>Shift10!D81-Shift11!D81</f>
        <v>-73445.960000000006</v>
      </c>
      <c r="E81" s="2">
        <f>Shift10!E81-Shift11!E81</f>
        <v>-3717.9999999999964</v>
      </c>
      <c r="F81" s="2">
        <f t="shared" si="3"/>
        <v>-77163.960000000006</v>
      </c>
      <c r="G81" s="2">
        <f>Shift10!M81-Shift11!M81</f>
        <v>-10529.03</v>
      </c>
      <c r="H81" s="3">
        <f t="shared" si="4"/>
        <v>-87692.99</v>
      </c>
      <c r="I81" s="175">
        <f>H81-'[1]Aid Adjust'!$H81</f>
        <v>-6311.5500000000029</v>
      </c>
    </row>
    <row r="82" spans="1:9" x14ac:dyDescent="0.2">
      <c r="A82" s="5">
        <v>252</v>
      </c>
      <c r="B82" s="5">
        <v>1</v>
      </c>
      <c r="C82" s="2" t="s">
        <v>79</v>
      </c>
      <c r="D82" s="2">
        <f>Shift10!D82-Shift11!D82</f>
        <v>-290730.48</v>
      </c>
      <c r="E82" s="2">
        <f>Shift10!E82-Shift11!E82</f>
        <v>-234868.75</v>
      </c>
      <c r="F82" s="2">
        <f t="shared" si="3"/>
        <v>-525599.23</v>
      </c>
      <c r="G82" s="2">
        <f>Shift10!M82-Shift11!M82</f>
        <v>-67005.789999999994</v>
      </c>
      <c r="H82" s="3">
        <f t="shared" si="4"/>
        <v>-592605.02</v>
      </c>
      <c r="I82" s="175">
        <f>H82-'[1]Aid Adjust'!$H82</f>
        <v>-17669.440000000061</v>
      </c>
    </row>
    <row r="83" spans="1:9" x14ac:dyDescent="0.2">
      <c r="A83" s="5">
        <v>253</v>
      </c>
      <c r="B83" s="5">
        <v>1</v>
      </c>
      <c r="C83" s="2" t="s">
        <v>80</v>
      </c>
      <c r="D83" s="2">
        <f>Shift10!D83-Shift11!D83</f>
        <v>-117093.35</v>
      </c>
      <c r="E83" s="2">
        <f>Shift10!E83-Shift11!E83</f>
        <v>0</v>
      </c>
      <c r="F83" s="2">
        <f t="shared" si="3"/>
        <v>-117093.35</v>
      </c>
      <c r="G83" s="2">
        <f>Shift10!M83-Shift11!M83</f>
        <v>-18325.599999999999</v>
      </c>
      <c r="H83" s="3">
        <f t="shared" si="4"/>
        <v>-135418.95000000001</v>
      </c>
      <c r="I83" s="175">
        <f>H83-'[1]Aid Adjust'!$H83</f>
        <v>-9247.9300000000221</v>
      </c>
    </row>
    <row r="84" spans="1:9" x14ac:dyDescent="0.2">
      <c r="A84" s="5">
        <v>255</v>
      </c>
      <c r="B84" s="5">
        <v>1</v>
      </c>
      <c r="C84" s="2" t="s">
        <v>81</v>
      </c>
      <c r="D84" s="2">
        <f>Shift10!D84-Shift11!D84</f>
        <v>-361199.61</v>
      </c>
      <c r="E84" s="2">
        <f>Shift10!E84-Shift11!E84</f>
        <v>-188979.79</v>
      </c>
      <c r="F84" s="2">
        <f t="shared" si="3"/>
        <v>-550179.4</v>
      </c>
      <c r="G84" s="2">
        <f>Shift10!M84-Shift11!M84</f>
        <v>-66330.740000000005</v>
      </c>
      <c r="H84" s="3">
        <f t="shared" si="4"/>
        <v>-616510.14</v>
      </c>
      <c r="I84" s="175">
        <f>H84-'[1]Aid Adjust'!$H84</f>
        <v>-25919.219999999972</v>
      </c>
    </row>
    <row r="85" spans="1:9" x14ac:dyDescent="0.2">
      <c r="A85" s="5">
        <v>256</v>
      </c>
      <c r="B85" s="5">
        <v>1</v>
      </c>
      <c r="C85" s="2" t="s">
        <v>82</v>
      </c>
      <c r="D85" s="2">
        <f>Shift10!D85-Shift11!D85</f>
        <v>-614182.98</v>
      </c>
      <c r="E85" s="2">
        <f>Shift10!E85-Shift11!E85</f>
        <v>-1336711.97</v>
      </c>
      <c r="F85" s="2">
        <f t="shared" si="3"/>
        <v>-1950894.95</v>
      </c>
      <c r="G85" s="2">
        <f>Shift10!M85-Shift11!M85</f>
        <v>-141239.85999999999</v>
      </c>
      <c r="H85" s="3">
        <f t="shared" si="4"/>
        <v>-2092134.81</v>
      </c>
      <c r="I85" s="175">
        <f>H85-'[1]Aid Adjust'!$H85</f>
        <v>-34212.669999999925</v>
      </c>
    </row>
    <row r="86" spans="1:9" x14ac:dyDescent="0.2">
      <c r="A86" s="5">
        <v>261</v>
      </c>
      <c r="B86" s="5">
        <v>1</v>
      </c>
      <c r="C86" s="2" t="s">
        <v>83</v>
      </c>
      <c r="D86" s="2">
        <f>Shift10!D86-Shift11!D86</f>
        <v>-47087.11</v>
      </c>
      <c r="E86" s="2">
        <f>Shift10!E86-Shift11!E86</f>
        <v>-122442.35</v>
      </c>
      <c r="F86" s="2">
        <f t="shared" si="3"/>
        <v>-169529.46000000002</v>
      </c>
      <c r="G86" s="2">
        <f>Shift10!M86-Shift11!M86</f>
        <v>-8529.2999999999993</v>
      </c>
      <c r="H86" s="3">
        <f t="shared" si="4"/>
        <v>-178058.76</v>
      </c>
      <c r="I86" s="175">
        <f>H86-'[1]Aid Adjust'!$H86</f>
        <v>-4357.2000000000116</v>
      </c>
    </row>
    <row r="87" spans="1:9" x14ac:dyDescent="0.2">
      <c r="A87" s="5">
        <v>264</v>
      </c>
      <c r="B87" s="5">
        <v>1</v>
      </c>
      <c r="C87" s="2" t="s">
        <v>84</v>
      </c>
      <c r="D87" s="2">
        <f>Shift10!D87-Shift11!D87</f>
        <v>-935.55</v>
      </c>
      <c r="E87" s="2">
        <f>Shift10!E87-Shift11!E87</f>
        <v>0</v>
      </c>
      <c r="F87" s="2">
        <f t="shared" si="3"/>
        <v>-935.55</v>
      </c>
      <c r="G87" s="2">
        <f>Shift10!M87-Shift11!M87</f>
        <v>-10110.26</v>
      </c>
      <c r="H87" s="3">
        <f t="shared" si="4"/>
        <v>-11045.81</v>
      </c>
      <c r="I87" s="175">
        <f>H87-'[1]Aid Adjust'!$H87</f>
        <v>-3106.0999999999995</v>
      </c>
    </row>
    <row r="88" spans="1:9" x14ac:dyDescent="0.2">
      <c r="A88" s="5">
        <v>270</v>
      </c>
      <c r="B88" s="5">
        <v>1</v>
      </c>
      <c r="C88" s="2" t="s">
        <v>85</v>
      </c>
      <c r="D88" s="2">
        <f>Shift10!D88-Shift11!D88</f>
        <v>-5469705.4299999997</v>
      </c>
      <c r="E88" s="2">
        <f>Shift10!E88-Shift11!E88</f>
        <v>-2705773.7600000002</v>
      </c>
      <c r="F88" s="2">
        <f t="shared" si="3"/>
        <v>-8175479.1899999995</v>
      </c>
      <c r="G88" s="2">
        <f>Shift10!M88-Shift11!M88</f>
        <v>-658800.01</v>
      </c>
      <c r="H88" s="3">
        <f t="shared" si="4"/>
        <v>-8834279.1999999993</v>
      </c>
      <c r="I88" s="175">
        <f>H88-'[1]Aid Adjust'!$H88</f>
        <v>-117317.22999999858</v>
      </c>
    </row>
    <row r="89" spans="1:9" x14ac:dyDescent="0.2">
      <c r="A89" s="5">
        <v>271</v>
      </c>
      <c r="B89" s="5">
        <v>1</v>
      </c>
      <c r="C89" s="2" t="s">
        <v>86</v>
      </c>
      <c r="D89" s="2">
        <f>Shift10!D89-Shift11!D89</f>
        <v>-6023024.3499999996</v>
      </c>
      <c r="E89" s="2">
        <f>Shift10!E89-Shift11!E89</f>
        <v>-4993135.5</v>
      </c>
      <c r="F89" s="2">
        <f t="shared" si="3"/>
        <v>-11016159.85</v>
      </c>
      <c r="G89" s="2">
        <f>Shift10!M89-Shift11!M89</f>
        <v>-781445.29</v>
      </c>
      <c r="H89" s="3">
        <f t="shared" si="4"/>
        <v>-11797605.140000001</v>
      </c>
      <c r="I89" s="175">
        <f>H89-'[1]Aid Adjust'!$H89</f>
        <v>-199088.50999999978</v>
      </c>
    </row>
    <row r="90" spans="1:9" x14ac:dyDescent="0.2">
      <c r="A90" s="5">
        <v>272</v>
      </c>
      <c r="B90" s="5">
        <v>1</v>
      </c>
      <c r="C90" s="2" t="s">
        <v>87</v>
      </c>
      <c r="D90" s="2">
        <f>Shift10!D90-Shift11!D90</f>
        <v>-6080201.5499999998</v>
      </c>
      <c r="E90" s="2">
        <f>Shift10!E90-Shift11!E90</f>
        <v>-3241435.4299999997</v>
      </c>
      <c r="F90" s="2">
        <f t="shared" si="3"/>
        <v>-9321636.9800000004</v>
      </c>
      <c r="G90" s="2">
        <f>Shift10!M90-Shift11!M90</f>
        <v>-568039.53</v>
      </c>
      <c r="H90" s="3">
        <f t="shared" si="4"/>
        <v>-9889676.5099999998</v>
      </c>
      <c r="I90" s="175">
        <f>H90-'[1]Aid Adjust'!$H90</f>
        <v>-102195.64999999851</v>
      </c>
    </row>
    <row r="91" spans="1:9" x14ac:dyDescent="0.2">
      <c r="A91" s="5">
        <v>273</v>
      </c>
      <c r="B91" s="5">
        <v>1</v>
      </c>
      <c r="C91" s="2" t="s">
        <v>88</v>
      </c>
      <c r="D91" s="2">
        <f>Shift10!D91-Shift11!D91</f>
        <v>-3721116.44</v>
      </c>
      <c r="E91" s="2">
        <f>Shift10!E91-Shift11!E91</f>
        <v>-3857132.7099999995</v>
      </c>
      <c r="F91" s="2">
        <f t="shared" si="3"/>
        <v>-7578249.1499999994</v>
      </c>
      <c r="G91" s="2">
        <f>Shift10!M91-Shift11!M91</f>
        <v>-477358.06</v>
      </c>
      <c r="H91" s="3">
        <f t="shared" si="4"/>
        <v>-8055607.209999999</v>
      </c>
      <c r="I91" s="175">
        <f>H91-'[1]Aid Adjust'!$H91</f>
        <v>-30061.009999999776</v>
      </c>
    </row>
    <row r="92" spans="1:9" x14ac:dyDescent="0.2">
      <c r="A92" s="5">
        <v>276</v>
      </c>
      <c r="B92" s="5">
        <v>1</v>
      </c>
      <c r="C92" s="2" t="s">
        <v>89</v>
      </c>
      <c r="D92" s="2">
        <f>Shift10!D92-Shift11!D92</f>
        <v>-5004794.9800000004</v>
      </c>
      <c r="E92" s="2">
        <f>Shift10!E92-Shift11!E92</f>
        <v>-3952964.5599999996</v>
      </c>
      <c r="F92" s="2">
        <f t="shared" si="3"/>
        <v>-8957759.5399999991</v>
      </c>
      <c r="G92" s="2">
        <f>Shift10!M92-Shift11!M92</f>
        <v>-472093.06</v>
      </c>
      <c r="H92" s="3">
        <f t="shared" si="4"/>
        <v>-9429852.5999999996</v>
      </c>
      <c r="I92" s="175">
        <f>H92-'[1]Aid Adjust'!$H92</f>
        <v>-56709.190000001341</v>
      </c>
    </row>
    <row r="93" spans="1:9" x14ac:dyDescent="0.2">
      <c r="A93" s="5">
        <v>277</v>
      </c>
      <c r="B93" s="5">
        <v>1</v>
      </c>
      <c r="C93" s="2" t="s">
        <v>90</v>
      </c>
      <c r="D93" s="2">
        <f>Shift10!D93-Shift11!D93</f>
        <v>-1041079.63</v>
      </c>
      <c r="E93" s="2">
        <f>Shift10!E93-Shift11!E93</f>
        <v>-1260060.0399999998</v>
      </c>
      <c r="F93" s="2">
        <f t="shared" si="3"/>
        <v>-2301139.67</v>
      </c>
      <c r="G93" s="2">
        <f>Shift10!M93-Shift11!M93</f>
        <v>-218798.59</v>
      </c>
      <c r="H93" s="3">
        <f t="shared" si="4"/>
        <v>-2519938.2599999998</v>
      </c>
      <c r="I93" s="175">
        <f>H93-'[1]Aid Adjust'!$H93</f>
        <v>-17963.820000000298</v>
      </c>
    </row>
    <row r="94" spans="1:9" x14ac:dyDescent="0.2">
      <c r="A94" s="5">
        <v>278</v>
      </c>
      <c r="B94" s="5">
        <v>1</v>
      </c>
      <c r="C94" s="2" t="s">
        <v>91</v>
      </c>
      <c r="D94" s="2">
        <f>Shift10!D94-Shift11!D94</f>
        <v>-1548591.24</v>
      </c>
      <c r="E94" s="2">
        <f>Shift10!E94-Shift11!E94</f>
        <v>-848368.94</v>
      </c>
      <c r="F94" s="2">
        <f t="shared" si="3"/>
        <v>-2396960.1799999997</v>
      </c>
      <c r="G94" s="2">
        <f>Shift10!M94-Shift11!M94</f>
        <v>-126505.74</v>
      </c>
      <c r="H94" s="3">
        <f t="shared" si="4"/>
        <v>-2523465.92</v>
      </c>
      <c r="I94" s="175">
        <f>H94-'[1]Aid Adjust'!$H94</f>
        <v>-9276.6100000003353</v>
      </c>
    </row>
    <row r="95" spans="1:9" x14ac:dyDescent="0.2">
      <c r="A95" s="5">
        <v>279</v>
      </c>
      <c r="B95" s="5">
        <v>1</v>
      </c>
      <c r="C95" s="2" t="s">
        <v>92</v>
      </c>
      <c r="D95" s="2">
        <f>Shift10!D95-Shift11!D95</f>
        <v>-7360820.4000000004</v>
      </c>
      <c r="E95" s="2">
        <f>Shift10!E95-Shift11!E95</f>
        <v>-11728963.91</v>
      </c>
      <c r="F95" s="2">
        <f t="shared" si="3"/>
        <v>-19089784.310000002</v>
      </c>
      <c r="G95" s="2">
        <f>Shift10!M95-Shift11!M95</f>
        <v>-910892.18</v>
      </c>
      <c r="H95" s="3">
        <f t="shared" si="4"/>
        <v>-20000676.490000002</v>
      </c>
      <c r="I95" s="175">
        <f>H95-'[1]Aid Adjust'!$H95</f>
        <v>-262180</v>
      </c>
    </row>
    <row r="96" spans="1:9" x14ac:dyDescent="0.2">
      <c r="A96" s="5">
        <v>280</v>
      </c>
      <c r="B96" s="5">
        <v>1</v>
      </c>
      <c r="C96" s="2" t="s">
        <v>93</v>
      </c>
      <c r="D96" s="2">
        <f>Shift10!D96-Shift11!D96</f>
        <v>-2274416.5099999998</v>
      </c>
      <c r="E96" s="2">
        <f>Shift10!E96-Shift11!E96</f>
        <v>-1584355.6500000001</v>
      </c>
      <c r="F96" s="2">
        <f t="shared" si="3"/>
        <v>-3858772.16</v>
      </c>
      <c r="G96" s="2">
        <f>Shift10!M96-Shift11!M96</f>
        <v>-212548.52</v>
      </c>
      <c r="H96" s="3">
        <f t="shared" si="4"/>
        <v>-4071320.68</v>
      </c>
      <c r="I96" s="175">
        <f>H96-'[1]Aid Adjust'!$H96</f>
        <v>-109936.97999999998</v>
      </c>
    </row>
    <row r="97" spans="1:9" x14ac:dyDescent="0.2">
      <c r="A97" s="5">
        <v>281</v>
      </c>
      <c r="B97" s="5">
        <v>1</v>
      </c>
      <c r="C97" s="2" t="s">
        <v>94</v>
      </c>
      <c r="D97" s="2">
        <f>Shift10!D97-Shift11!D97</f>
        <v>-6435960.75</v>
      </c>
      <c r="E97" s="2">
        <f>Shift10!E97-Shift11!E97</f>
        <v>-6317977.6600000001</v>
      </c>
      <c r="F97" s="2">
        <f t="shared" si="3"/>
        <v>-12753938.41</v>
      </c>
      <c r="G97" s="2">
        <f>Shift10!M97-Shift11!M97</f>
        <v>-877047.66</v>
      </c>
      <c r="H97" s="3">
        <f t="shared" si="4"/>
        <v>-13630986.07</v>
      </c>
      <c r="I97" s="175">
        <f>H97-'[1]Aid Adjust'!$H97</f>
        <v>-258908.21000000089</v>
      </c>
    </row>
    <row r="98" spans="1:9" x14ac:dyDescent="0.2">
      <c r="A98" s="5">
        <v>282</v>
      </c>
      <c r="B98" s="5">
        <v>1</v>
      </c>
      <c r="C98" s="2" t="s">
        <v>95</v>
      </c>
      <c r="D98" s="2">
        <f>Shift10!D98-Shift11!D98</f>
        <v>-590655.66</v>
      </c>
      <c r="E98" s="2">
        <f>Shift10!E98-Shift11!E98</f>
        <v>-749378.38</v>
      </c>
      <c r="F98" s="2">
        <f t="shared" si="3"/>
        <v>-1340034.04</v>
      </c>
      <c r="G98" s="2">
        <f>Shift10!M98-Shift11!M98</f>
        <v>-88540.18</v>
      </c>
      <c r="H98" s="3">
        <f t="shared" si="4"/>
        <v>-1428574.22</v>
      </c>
      <c r="I98" s="175">
        <f>H98-'[1]Aid Adjust'!$H98</f>
        <v>-19061.729999999981</v>
      </c>
    </row>
    <row r="99" spans="1:9" x14ac:dyDescent="0.2">
      <c r="A99" s="5">
        <v>283</v>
      </c>
      <c r="B99" s="5">
        <v>1</v>
      </c>
      <c r="C99" s="2" t="s">
        <v>96</v>
      </c>
      <c r="D99" s="2">
        <f>Shift10!D99-Shift11!D99</f>
        <v>-1858933.88</v>
      </c>
      <c r="E99" s="2">
        <f>Shift10!E99-Shift11!E99</f>
        <v>-2192655.85</v>
      </c>
      <c r="F99" s="2">
        <f t="shared" si="3"/>
        <v>-4051589.73</v>
      </c>
      <c r="G99" s="2">
        <f>Shift10!M99-Shift11!M99</f>
        <v>-476023.97</v>
      </c>
      <c r="H99" s="3">
        <f t="shared" si="4"/>
        <v>-4527613.7</v>
      </c>
      <c r="I99" s="175">
        <f>H99-'[1]Aid Adjust'!$H99</f>
        <v>-69705.900000000373</v>
      </c>
    </row>
    <row r="100" spans="1:9" x14ac:dyDescent="0.2">
      <c r="A100" s="5">
        <v>284</v>
      </c>
      <c r="B100" s="5">
        <v>1</v>
      </c>
      <c r="C100" s="2" t="s">
        <v>97</v>
      </c>
      <c r="D100" s="2">
        <f>Shift10!D100-Shift11!D100</f>
        <v>-7651549.1900000004</v>
      </c>
      <c r="E100" s="2">
        <f>Shift10!E100-Shift11!E100</f>
        <v>-5173908.0399999991</v>
      </c>
      <c r="F100" s="2">
        <f t="shared" si="3"/>
        <v>-12825457.23</v>
      </c>
      <c r="G100" s="2">
        <f>Shift10!M100-Shift11!M100</f>
        <v>-723364.98</v>
      </c>
      <c r="H100" s="3">
        <f t="shared" si="4"/>
        <v>-13548822.210000001</v>
      </c>
      <c r="I100" s="175">
        <f>H100-'[1]Aid Adjust'!$H100</f>
        <v>-106502.77000000142</v>
      </c>
    </row>
    <row r="101" spans="1:9" x14ac:dyDescent="0.2">
      <c r="A101" s="5">
        <v>286</v>
      </c>
      <c r="B101" s="5">
        <v>1</v>
      </c>
      <c r="C101" s="2" t="s">
        <v>98</v>
      </c>
      <c r="D101" s="2">
        <f>Shift10!D101-Shift11!D101</f>
        <v>-517742.8</v>
      </c>
      <c r="E101" s="2">
        <f>Shift10!E101-Shift11!E101</f>
        <v>0</v>
      </c>
      <c r="F101" s="2">
        <f t="shared" si="3"/>
        <v>-517742.8</v>
      </c>
      <c r="G101" s="2">
        <f>Shift10!M101-Shift11!M101</f>
        <v>-70751.17</v>
      </c>
      <c r="H101" s="3">
        <f t="shared" si="4"/>
        <v>-588493.97</v>
      </c>
      <c r="I101" s="175">
        <f>H101-'[1]Aid Adjust'!$H101</f>
        <v>-20872.199999999953</v>
      </c>
    </row>
    <row r="102" spans="1:9" x14ac:dyDescent="0.2">
      <c r="A102" s="5">
        <v>294</v>
      </c>
      <c r="B102" s="5">
        <v>1</v>
      </c>
      <c r="C102" s="2" t="s">
        <v>99</v>
      </c>
      <c r="D102" s="2">
        <f>Shift10!D102-Shift11!D102</f>
        <v>-135721.82</v>
      </c>
      <c r="E102" s="2">
        <f>Shift10!E102-Shift11!E102</f>
        <v>-112872.19</v>
      </c>
      <c r="F102" s="2">
        <f t="shared" si="3"/>
        <v>-248594.01</v>
      </c>
      <c r="G102" s="2">
        <f>Shift10!M102-Shift11!M102</f>
        <v>-18710.509999999998</v>
      </c>
      <c r="H102" s="3">
        <f t="shared" si="4"/>
        <v>-267304.52</v>
      </c>
      <c r="I102" s="175">
        <f>H102-'[1]Aid Adjust'!$H102</f>
        <v>-8787.75</v>
      </c>
    </row>
    <row r="103" spans="1:9" x14ac:dyDescent="0.2">
      <c r="A103" s="5">
        <v>297</v>
      </c>
      <c r="B103" s="5">
        <v>1</v>
      </c>
      <c r="C103" s="2" t="s">
        <v>100</v>
      </c>
      <c r="D103" s="2">
        <f>Shift10!D103-Shift11!D103</f>
        <v>-70620.34</v>
      </c>
      <c r="E103" s="2">
        <f>Shift10!E103-Shift11!E103</f>
        <v>-130111.48</v>
      </c>
      <c r="F103" s="2">
        <f t="shared" si="3"/>
        <v>-200731.82</v>
      </c>
      <c r="G103" s="2">
        <f>Shift10!M103-Shift11!M103</f>
        <v>-11056.5</v>
      </c>
      <c r="H103" s="3">
        <f t="shared" si="4"/>
        <v>-211788.32</v>
      </c>
      <c r="I103" s="175">
        <f>H103-'[1]Aid Adjust'!$H103</f>
        <v>-17245.610000000015</v>
      </c>
    </row>
    <row r="104" spans="1:9" x14ac:dyDescent="0.2">
      <c r="A104" s="5">
        <v>299</v>
      </c>
      <c r="B104" s="5">
        <v>1</v>
      </c>
      <c r="C104" s="2" t="s">
        <v>101</v>
      </c>
      <c r="D104" s="2">
        <f>Shift10!D104-Shift11!D104</f>
        <v>-169036.34</v>
      </c>
      <c r="E104" s="2">
        <f>Shift10!E104-Shift11!E104</f>
        <v>-184743.57</v>
      </c>
      <c r="F104" s="2">
        <f t="shared" si="3"/>
        <v>-353779.91000000003</v>
      </c>
      <c r="G104" s="2">
        <f>Shift10!M104-Shift11!M104</f>
        <v>-36585.11</v>
      </c>
      <c r="H104" s="3">
        <f t="shared" si="4"/>
        <v>-390365.02</v>
      </c>
      <c r="I104" s="175">
        <f>H104-'[1]Aid Adjust'!$H104</f>
        <v>-21091.950000000012</v>
      </c>
    </row>
    <row r="105" spans="1:9" x14ac:dyDescent="0.2">
      <c r="A105" s="5">
        <v>300</v>
      </c>
      <c r="B105" s="5">
        <v>1</v>
      </c>
      <c r="C105" s="2" t="s">
        <v>102</v>
      </c>
      <c r="D105" s="2">
        <f>Shift10!D105-Shift11!D105</f>
        <v>-273800.89</v>
      </c>
      <c r="E105" s="2">
        <f>Shift10!E105-Shift11!E105</f>
        <v>-303168.27</v>
      </c>
      <c r="F105" s="2">
        <f t="shared" si="3"/>
        <v>-576969.16</v>
      </c>
      <c r="G105" s="2">
        <f>Shift10!M105-Shift11!M105</f>
        <v>-75260.990000000005</v>
      </c>
      <c r="H105" s="3">
        <f t="shared" si="4"/>
        <v>-652230.15</v>
      </c>
      <c r="I105" s="175">
        <f>H105-'[1]Aid Adjust'!$H105</f>
        <v>-29342.989999999991</v>
      </c>
    </row>
    <row r="106" spans="1:9" x14ac:dyDescent="0.2">
      <c r="A106" s="5">
        <v>306</v>
      </c>
      <c r="B106" s="5">
        <v>1</v>
      </c>
      <c r="C106" s="2" t="s">
        <v>103</v>
      </c>
      <c r="D106" s="2">
        <f>Shift10!D106-Shift11!D106</f>
        <v>-79369.570000000007</v>
      </c>
      <c r="E106" s="2">
        <f>Shift10!E106-Shift11!E106</f>
        <v>0</v>
      </c>
      <c r="F106" s="2">
        <f t="shared" si="3"/>
        <v>-79369.570000000007</v>
      </c>
      <c r="G106" s="2">
        <f>Shift10!M106-Shift11!M106</f>
        <v>-10339.16</v>
      </c>
      <c r="H106" s="3">
        <f t="shared" si="4"/>
        <v>-89708.73000000001</v>
      </c>
      <c r="I106" s="175">
        <f>H106-'[1]Aid Adjust'!$H106</f>
        <v>-3676.2300000000105</v>
      </c>
    </row>
    <row r="107" spans="1:9" x14ac:dyDescent="0.2">
      <c r="A107" s="5">
        <v>308</v>
      </c>
      <c r="B107" s="5">
        <v>1</v>
      </c>
      <c r="C107" s="2" t="s">
        <v>104</v>
      </c>
      <c r="D107" s="2">
        <f>Shift10!D107-Shift11!D107</f>
        <v>-139293.23000000001</v>
      </c>
      <c r="E107" s="2">
        <f>Shift10!E107-Shift11!E107</f>
        <v>0</v>
      </c>
      <c r="F107" s="2">
        <f t="shared" si="3"/>
        <v>-139293.23000000001</v>
      </c>
      <c r="G107" s="2">
        <f>Shift10!M107-Shift11!M107</f>
        <v>-23077.22</v>
      </c>
      <c r="H107" s="3">
        <f t="shared" si="4"/>
        <v>-162370.45000000001</v>
      </c>
      <c r="I107" s="175">
        <f>H107-'[1]Aid Adjust'!$H107</f>
        <v>-5835.9100000000035</v>
      </c>
    </row>
    <row r="108" spans="1:9" x14ac:dyDescent="0.2">
      <c r="A108" s="5">
        <v>309</v>
      </c>
      <c r="B108" s="5">
        <v>1</v>
      </c>
      <c r="C108" s="2" t="s">
        <v>105</v>
      </c>
      <c r="D108" s="2">
        <f>Shift10!D108-Shift11!D108</f>
        <v>-224222.24</v>
      </c>
      <c r="E108" s="2">
        <f>Shift10!E108-Shift11!E108</f>
        <v>-460161.61</v>
      </c>
      <c r="F108" s="2">
        <f t="shared" si="3"/>
        <v>-684383.85</v>
      </c>
      <c r="G108" s="2">
        <f>Shift10!M108-Shift11!M108</f>
        <v>-95528.16</v>
      </c>
      <c r="H108" s="3">
        <f t="shared" si="4"/>
        <v>-779912.01</v>
      </c>
      <c r="I108" s="175">
        <f>H108-'[1]Aid Adjust'!$H108</f>
        <v>-14386.050000000047</v>
      </c>
    </row>
    <row r="109" spans="1:9" x14ac:dyDescent="0.2">
      <c r="A109" s="5">
        <v>314</v>
      </c>
      <c r="B109" s="5">
        <v>1</v>
      </c>
      <c r="C109" s="2" t="s">
        <v>106</v>
      </c>
      <c r="D109" s="2">
        <f>Shift10!D109-Shift11!D109</f>
        <v>-135796.16</v>
      </c>
      <c r="E109" s="2">
        <f>Shift10!E109-Shift11!E109</f>
        <v>-145992.89000000001</v>
      </c>
      <c r="F109" s="2">
        <f t="shared" si="3"/>
        <v>-281789.05000000005</v>
      </c>
      <c r="G109" s="2">
        <f>Shift10!M109-Shift11!M109</f>
        <v>-27521.19</v>
      </c>
      <c r="H109" s="3">
        <f t="shared" si="4"/>
        <v>-309310.24000000005</v>
      </c>
      <c r="I109" s="175">
        <f>H109-'[1]Aid Adjust'!$H109</f>
        <v>-16464.930000000051</v>
      </c>
    </row>
    <row r="110" spans="1:9" x14ac:dyDescent="0.2">
      <c r="A110" s="5">
        <v>316</v>
      </c>
      <c r="B110" s="5">
        <v>1</v>
      </c>
      <c r="C110" s="2" t="s">
        <v>107</v>
      </c>
      <c r="D110" s="2">
        <f>Shift10!D110-Shift11!D110</f>
        <v>-123323.52</v>
      </c>
      <c r="E110" s="2">
        <f>Shift10!E110-Shift11!E110</f>
        <v>0</v>
      </c>
      <c r="F110" s="2">
        <f t="shared" si="3"/>
        <v>-123323.52</v>
      </c>
      <c r="G110" s="2">
        <f>Shift10!M110-Shift11!M110</f>
        <v>0</v>
      </c>
      <c r="H110" s="3">
        <f t="shared" si="4"/>
        <v>-123323.52</v>
      </c>
      <c r="I110" s="175">
        <f>H110-'[1]Aid Adjust'!$H110</f>
        <v>-14394.669999999998</v>
      </c>
    </row>
    <row r="111" spans="1:9" x14ac:dyDescent="0.2">
      <c r="A111" s="5">
        <v>317</v>
      </c>
      <c r="B111" s="5">
        <v>1</v>
      </c>
      <c r="C111" s="2" t="s">
        <v>108</v>
      </c>
      <c r="D111" s="2">
        <f>Shift10!D111-Shift11!D111</f>
        <v>-51162.67</v>
      </c>
      <c r="E111" s="2">
        <f>Shift10!E111-Shift11!E111</f>
        <v>0</v>
      </c>
      <c r="F111" s="2">
        <f t="shared" si="3"/>
        <v>-51162.67</v>
      </c>
      <c r="G111" s="2">
        <f>Shift10!M111-Shift11!M111</f>
        <v>0</v>
      </c>
      <c r="H111" s="3">
        <f t="shared" si="4"/>
        <v>-51162.67</v>
      </c>
      <c r="I111" s="175">
        <f>H111-'[1]Aid Adjust'!$H111</f>
        <v>0</v>
      </c>
    </row>
    <row r="112" spans="1:9" x14ac:dyDescent="0.2">
      <c r="A112" s="5">
        <v>318</v>
      </c>
      <c r="B112" s="5">
        <v>1</v>
      </c>
      <c r="C112" s="2" t="s">
        <v>109</v>
      </c>
      <c r="D112" s="2">
        <f>Shift10!D112-Shift11!D112</f>
        <v>-1122226</v>
      </c>
      <c r="E112" s="2">
        <f>Shift10!E112-Shift11!E112</f>
        <v>0</v>
      </c>
      <c r="F112" s="2">
        <f t="shared" si="3"/>
        <v>-1122226</v>
      </c>
      <c r="G112" s="2">
        <f>Shift10!M112-Shift11!M112</f>
        <v>0</v>
      </c>
      <c r="H112" s="3">
        <f t="shared" si="4"/>
        <v>-1122226</v>
      </c>
      <c r="I112" s="175">
        <f>H112-'[1]Aid Adjust'!$H112</f>
        <v>-100517.30000000005</v>
      </c>
    </row>
    <row r="113" spans="1:9" x14ac:dyDescent="0.2">
      <c r="A113" s="5">
        <v>319</v>
      </c>
      <c r="B113" s="5">
        <v>1</v>
      </c>
      <c r="C113" s="2" t="s">
        <v>110</v>
      </c>
      <c r="D113" s="2">
        <f>Shift10!D113-Shift11!D113</f>
        <v>-195242.83</v>
      </c>
      <c r="E113" s="2">
        <f>Shift10!E113-Shift11!E113</f>
        <v>-120489.34</v>
      </c>
      <c r="F113" s="2">
        <f t="shared" si="3"/>
        <v>-315732.17</v>
      </c>
      <c r="G113" s="2">
        <f>Shift10!M113-Shift11!M113</f>
        <v>0</v>
      </c>
      <c r="H113" s="3">
        <f t="shared" si="4"/>
        <v>-315732.17</v>
      </c>
      <c r="I113" s="175">
        <f>H113-'[1]Aid Adjust'!$H113</f>
        <v>-26650.139999999956</v>
      </c>
    </row>
    <row r="114" spans="1:9" x14ac:dyDescent="0.2">
      <c r="A114" s="5">
        <v>323</v>
      </c>
      <c r="B114" s="5">
        <v>2</v>
      </c>
      <c r="C114" s="2" t="s">
        <v>111</v>
      </c>
      <c r="D114" s="2">
        <f>Shift10!D114-Shift11!D114</f>
        <v>-4643.1499999999996</v>
      </c>
      <c r="E114" s="2">
        <f>Shift10!E114-Shift11!E114</f>
        <v>-22672.34</v>
      </c>
      <c r="F114" s="2">
        <f t="shared" si="3"/>
        <v>-27315.489999999998</v>
      </c>
      <c r="G114" s="2">
        <f>Shift10!M114-Shift11!M114</f>
        <v>0</v>
      </c>
      <c r="H114" s="3">
        <f t="shared" si="4"/>
        <v>-27315.489999999998</v>
      </c>
      <c r="I114" s="175">
        <f>H114-'[1]Aid Adjust'!$H114</f>
        <v>-116.63999999999942</v>
      </c>
    </row>
    <row r="115" spans="1:9" x14ac:dyDescent="0.2">
      <c r="A115" s="5">
        <v>330</v>
      </c>
      <c r="B115" s="5">
        <v>1</v>
      </c>
      <c r="C115" s="2" t="s">
        <v>112</v>
      </c>
      <c r="D115" s="2">
        <f>Shift10!D115-Shift11!D115</f>
        <v>-68394.259999999995</v>
      </c>
      <c r="E115" s="2">
        <f>Shift10!E115-Shift11!E115</f>
        <v>-145644.28000000003</v>
      </c>
      <c r="F115" s="2">
        <f t="shared" si="3"/>
        <v>-214038.54000000004</v>
      </c>
      <c r="G115" s="2">
        <f>Shift10!M115-Shift11!M115</f>
        <v>-11513.83</v>
      </c>
      <c r="H115" s="3">
        <f t="shared" si="4"/>
        <v>-225552.37000000002</v>
      </c>
      <c r="I115" s="175">
        <f>H115-'[1]Aid Adjust'!$H115</f>
        <v>-6924.3800000000047</v>
      </c>
    </row>
    <row r="116" spans="1:9" x14ac:dyDescent="0.2">
      <c r="A116" s="5">
        <v>332</v>
      </c>
      <c r="B116" s="5">
        <v>1</v>
      </c>
      <c r="C116" s="2" t="s">
        <v>113</v>
      </c>
      <c r="D116" s="2">
        <f>Shift10!D116-Shift11!D116</f>
        <v>-366962.49</v>
      </c>
      <c r="E116" s="2">
        <f>Shift10!E116-Shift11!E116</f>
        <v>-86306.52</v>
      </c>
      <c r="F116" s="2">
        <f t="shared" si="3"/>
        <v>-453269.01</v>
      </c>
      <c r="G116" s="2">
        <f>Shift10!M116-Shift11!M116</f>
        <v>-60022.46</v>
      </c>
      <c r="H116" s="3">
        <f t="shared" si="4"/>
        <v>-513291.47000000003</v>
      </c>
      <c r="I116" s="175">
        <f>H116-'[1]Aid Adjust'!$H116</f>
        <v>-37742.070000000007</v>
      </c>
    </row>
    <row r="117" spans="1:9" x14ac:dyDescent="0.2">
      <c r="A117" s="5">
        <v>333</v>
      </c>
      <c r="B117" s="5">
        <v>1</v>
      </c>
      <c r="C117" s="2" t="s">
        <v>114</v>
      </c>
      <c r="D117" s="2">
        <f>Shift10!D117-Shift11!D117</f>
        <v>-111184.12</v>
      </c>
      <c r="E117" s="2">
        <f>Shift10!E117-Shift11!E117</f>
        <v>0</v>
      </c>
      <c r="F117" s="2">
        <f t="shared" si="3"/>
        <v>-111184.12</v>
      </c>
      <c r="G117" s="2">
        <f>Shift10!M117-Shift11!M117</f>
        <v>-17224.009999999998</v>
      </c>
      <c r="H117" s="3">
        <f t="shared" si="4"/>
        <v>-128408.12999999999</v>
      </c>
      <c r="I117" s="175">
        <f>H117-'[1]Aid Adjust'!$H117</f>
        <v>-11210.029999999999</v>
      </c>
    </row>
    <row r="118" spans="1:9" x14ac:dyDescent="0.2">
      <c r="A118" s="5">
        <v>345</v>
      </c>
      <c r="B118" s="5">
        <v>1</v>
      </c>
      <c r="C118" s="2" t="s">
        <v>115</v>
      </c>
      <c r="D118" s="2">
        <f>Shift10!D118-Shift11!D118</f>
        <v>-325965.56</v>
      </c>
      <c r="E118" s="2">
        <f>Shift10!E118-Shift11!E118</f>
        <v>-381418.63</v>
      </c>
      <c r="F118" s="2">
        <f t="shared" si="3"/>
        <v>-707384.19</v>
      </c>
      <c r="G118" s="2">
        <f>Shift10!M118-Shift11!M118</f>
        <v>-74079.839999999997</v>
      </c>
      <c r="H118" s="3">
        <f t="shared" si="4"/>
        <v>-781464.02999999991</v>
      </c>
      <c r="I118" s="175">
        <f>H118-'[1]Aid Adjust'!$H118</f>
        <v>-18230.009999999893</v>
      </c>
    </row>
    <row r="119" spans="1:9" x14ac:dyDescent="0.2">
      <c r="A119" s="5">
        <v>347</v>
      </c>
      <c r="B119" s="5">
        <v>1</v>
      </c>
      <c r="C119" s="2" t="s">
        <v>116</v>
      </c>
      <c r="D119" s="2">
        <f>Shift10!D119-Shift11!D119</f>
        <v>-771406.29</v>
      </c>
      <c r="E119" s="2">
        <f>Shift10!E119-Shift11!E119</f>
        <v>-877104.22999999986</v>
      </c>
      <c r="F119" s="2">
        <f t="shared" si="3"/>
        <v>-1648510.52</v>
      </c>
      <c r="G119" s="2">
        <f>Shift10!M119-Shift11!M119</f>
        <v>-186726.23</v>
      </c>
      <c r="H119" s="3">
        <f t="shared" si="4"/>
        <v>-1835236.75</v>
      </c>
      <c r="I119" s="175">
        <f>H119-'[1]Aid Adjust'!$H119</f>
        <v>-63954.69000000041</v>
      </c>
    </row>
    <row r="120" spans="1:9" x14ac:dyDescent="0.2">
      <c r="A120" s="5">
        <v>356</v>
      </c>
      <c r="B120" s="5">
        <v>1</v>
      </c>
      <c r="C120" s="2" t="s">
        <v>117</v>
      </c>
      <c r="D120" s="2">
        <f>Shift10!D120-Shift11!D120</f>
        <v>-25289.84</v>
      </c>
      <c r="E120" s="2">
        <f>Shift10!E120-Shift11!E120</f>
        <v>-21806.309999999998</v>
      </c>
      <c r="F120" s="2">
        <f t="shared" si="3"/>
        <v>-47096.149999999994</v>
      </c>
      <c r="G120" s="2">
        <f>Shift10!M120-Shift11!M120</f>
        <v>-5262.25</v>
      </c>
      <c r="H120" s="3">
        <f t="shared" si="4"/>
        <v>-52358.399999999994</v>
      </c>
      <c r="I120" s="175">
        <f>H120-'[1]Aid Adjust'!$H120</f>
        <v>-5159.2300000000032</v>
      </c>
    </row>
    <row r="121" spans="1:9" x14ac:dyDescent="0.2">
      <c r="A121" s="5">
        <v>361</v>
      </c>
      <c r="B121" s="5">
        <v>1</v>
      </c>
      <c r="C121" s="2" t="s">
        <v>118</v>
      </c>
      <c r="D121" s="2">
        <f>Shift10!D121-Shift11!D121</f>
        <v>-579427.04</v>
      </c>
      <c r="E121" s="2">
        <f>Shift10!E121-Shift11!E121</f>
        <v>-245859.19</v>
      </c>
      <c r="F121" s="2">
        <f t="shared" si="3"/>
        <v>-825286.23</v>
      </c>
      <c r="G121" s="2">
        <f>Shift10!M121-Shift11!M121</f>
        <v>-62464.46</v>
      </c>
      <c r="H121" s="3">
        <f t="shared" si="4"/>
        <v>-887750.69</v>
      </c>
      <c r="I121" s="175">
        <f>H121-'[1]Aid Adjust'!$H121</f>
        <v>-141603.37999999989</v>
      </c>
    </row>
    <row r="122" spans="1:9" x14ac:dyDescent="0.2">
      <c r="A122" s="5">
        <v>362</v>
      </c>
      <c r="B122" s="5">
        <v>1</v>
      </c>
      <c r="C122" s="2" t="s">
        <v>119</v>
      </c>
      <c r="D122" s="2">
        <f>Shift10!D122-Shift11!D122</f>
        <v>-74932.009999999995</v>
      </c>
      <c r="E122" s="2">
        <f>Shift10!E122-Shift11!E122</f>
        <v>-54.45</v>
      </c>
      <c r="F122" s="2">
        <f t="shared" si="3"/>
        <v>-74986.459999999992</v>
      </c>
      <c r="G122" s="2">
        <f>Shift10!M122-Shift11!M122</f>
        <v>-9358.74</v>
      </c>
      <c r="H122" s="3">
        <f t="shared" si="4"/>
        <v>-84345.2</v>
      </c>
      <c r="I122" s="175">
        <f>H122-'[1]Aid Adjust'!$H122</f>
        <v>-9095.2300000000105</v>
      </c>
    </row>
    <row r="123" spans="1:9" x14ac:dyDescent="0.2">
      <c r="A123" s="5">
        <v>363</v>
      </c>
      <c r="B123" s="5">
        <v>1</v>
      </c>
      <c r="C123" s="2" t="s">
        <v>120</v>
      </c>
      <c r="D123" s="2">
        <f>Shift10!D123-Shift11!D123</f>
        <v>-39344.879999999997</v>
      </c>
      <c r="E123" s="2">
        <f>Shift10!E123-Shift11!E123</f>
        <v>-41.84</v>
      </c>
      <c r="F123" s="2">
        <f t="shared" si="3"/>
        <v>-39386.719999999994</v>
      </c>
      <c r="G123" s="2">
        <f>Shift10!M123-Shift11!M123</f>
        <v>-9225.35</v>
      </c>
      <c r="H123" s="3">
        <f t="shared" si="4"/>
        <v>-48612.069999999992</v>
      </c>
      <c r="I123" s="175">
        <f>H123-'[1]Aid Adjust'!$H123</f>
        <v>-4637.3699999999953</v>
      </c>
    </row>
    <row r="124" spans="1:9" x14ac:dyDescent="0.2">
      <c r="A124" s="5">
        <v>378</v>
      </c>
      <c r="B124" s="5">
        <v>1</v>
      </c>
      <c r="C124" s="2" t="s">
        <v>121</v>
      </c>
      <c r="D124" s="2">
        <f>Shift10!D124-Shift11!D124</f>
        <v>-192135.34</v>
      </c>
      <c r="E124" s="2">
        <f>Shift10!E124-Shift11!E124</f>
        <v>-43877.970000000008</v>
      </c>
      <c r="F124" s="2">
        <f t="shared" si="3"/>
        <v>-236013.31</v>
      </c>
      <c r="G124" s="2">
        <f>Shift10!M124-Shift11!M124</f>
        <v>-32058.55</v>
      </c>
      <c r="H124" s="3">
        <f t="shared" si="4"/>
        <v>-268071.86</v>
      </c>
      <c r="I124" s="175">
        <f>H124-'[1]Aid Adjust'!$H124</f>
        <v>-39322.679999999993</v>
      </c>
    </row>
    <row r="125" spans="1:9" x14ac:dyDescent="0.2">
      <c r="A125" s="5">
        <v>381</v>
      </c>
      <c r="B125" s="5">
        <v>1</v>
      </c>
      <c r="C125" s="2" t="s">
        <v>122</v>
      </c>
      <c r="D125" s="2">
        <f>Shift10!D125-Shift11!D125</f>
        <v>-161021.35</v>
      </c>
      <c r="E125" s="2">
        <f>Shift10!E125-Shift11!E125</f>
        <v>0</v>
      </c>
      <c r="F125" s="2">
        <f t="shared" si="3"/>
        <v>-161021.35</v>
      </c>
      <c r="G125" s="2">
        <f>Shift10!M125-Shift11!M125</f>
        <v>0</v>
      </c>
      <c r="H125" s="3">
        <f t="shared" si="4"/>
        <v>-161021.35</v>
      </c>
      <c r="I125" s="175">
        <f>H125-'[1]Aid Adjust'!$H125</f>
        <v>-13508.809999999998</v>
      </c>
    </row>
    <row r="126" spans="1:9" x14ac:dyDescent="0.2">
      <c r="A126" s="5">
        <v>390</v>
      </c>
      <c r="B126" s="5">
        <v>1</v>
      </c>
      <c r="C126" s="2" t="s">
        <v>123</v>
      </c>
      <c r="D126" s="2">
        <f>Shift10!D126-Shift11!D126</f>
        <v>-207920.69</v>
      </c>
      <c r="E126" s="2">
        <f>Shift10!E126-Shift11!E126</f>
        <v>-146350.54</v>
      </c>
      <c r="F126" s="2">
        <f t="shared" si="3"/>
        <v>-354271.23</v>
      </c>
      <c r="G126" s="2">
        <f>Shift10!M126-Shift11!M126</f>
        <v>-24479.03</v>
      </c>
      <c r="H126" s="3">
        <f t="shared" si="4"/>
        <v>-378750.26</v>
      </c>
      <c r="I126" s="175">
        <f>H126-'[1]Aid Adjust'!$H126</f>
        <v>-19712.799999999988</v>
      </c>
    </row>
    <row r="127" spans="1:9" x14ac:dyDescent="0.2">
      <c r="A127" s="5">
        <v>391</v>
      </c>
      <c r="B127" s="5">
        <v>1</v>
      </c>
      <c r="C127" s="2" t="s">
        <v>124</v>
      </c>
      <c r="D127" s="2">
        <f>Shift10!D127-Shift11!D127</f>
        <v>-221481.66</v>
      </c>
      <c r="E127" s="2">
        <f>Shift10!E127-Shift11!E127</f>
        <v>-90123.97</v>
      </c>
      <c r="F127" s="2">
        <f t="shared" si="3"/>
        <v>-311605.63</v>
      </c>
      <c r="G127" s="2">
        <f>Shift10!M127-Shift11!M127</f>
        <v>-15768.94</v>
      </c>
      <c r="H127" s="3">
        <f t="shared" si="4"/>
        <v>-327374.57</v>
      </c>
      <c r="I127" s="175">
        <f>H127-'[1]Aid Adjust'!$H127</f>
        <v>-9655.890000000014</v>
      </c>
    </row>
    <row r="128" spans="1:9" x14ac:dyDescent="0.2">
      <c r="A128" s="5">
        <v>392</v>
      </c>
      <c r="B128" s="5">
        <v>1</v>
      </c>
      <c r="C128" s="2" t="s">
        <v>125</v>
      </c>
      <c r="D128" s="2">
        <f>Shift10!D128-Shift11!D128</f>
        <v>-198533.3</v>
      </c>
      <c r="E128" s="2">
        <f>Shift10!E128-Shift11!E128</f>
        <v>-148921.60000000001</v>
      </c>
      <c r="F128" s="2">
        <f t="shared" si="3"/>
        <v>-347454.9</v>
      </c>
      <c r="G128" s="2">
        <f>Shift10!M128-Shift11!M128</f>
        <v>-24614.7</v>
      </c>
      <c r="H128" s="3">
        <f t="shared" si="4"/>
        <v>-372069.60000000003</v>
      </c>
      <c r="I128" s="175">
        <f>H128-'[1]Aid Adjust'!$H128</f>
        <v>-16571.570000000065</v>
      </c>
    </row>
    <row r="129" spans="1:9" x14ac:dyDescent="0.2">
      <c r="A129" s="5">
        <v>394</v>
      </c>
      <c r="B129" s="5">
        <v>1</v>
      </c>
      <c r="C129" s="2" t="s">
        <v>126</v>
      </c>
      <c r="D129" s="2">
        <f>Shift10!D129-Shift11!D129</f>
        <v>-298865.03000000003</v>
      </c>
      <c r="E129" s="2">
        <f>Shift10!E129-Shift11!E129</f>
        <v>-252675.59000000003</v>
      </c>
      <c r="F129" s="2">
        <f t="shared" si="3"/>
        <v>-551540.62000000011</v>
      </c>
      <c r="G129" s="2">
        <f>Shift10!M129-Shift11!M129</f>
        <v>-47606.5</v>
      </c>
      <c r="H129" s="3">
        <f t="shared" si="4"/>
        <v>-599147.12000000011</v>
      </c>
      <c r="I129" s="175">
        <f>H129-'[1]Aid Adjust'!$H129</f>
        <v>-22984.40000000014</v>
      </c>
    </row>
    <row r="130" spans="1:9" x14ac:dyDescent="0.2">
      <c r="A130" s="5">
        <v>402</v>
      </c>
      <c r="B130" s="5">
        <v>1</v>
      </c>
      <c r="C130" s="2" t="s">
        <v>127</v>
      </c>
      <c r="D130" s="2">
        <f>Shift10!D130-Shift11!D130</f>
        <v>-25974.69</v>
      </c>
      <c r="E130" s="2">
        <f>Shift10!E130-Shift11!E130</f>
        <v>-70502.180000000008</v>
      </c>
      <c r="F130" s="2">
        <f t="shared" si="3"/>
        <v>-96476.87000000001</v>
      </c>
      <c r="G130" s="2">
        <f>Shift10!M130-Shift11!M130</f>
        <v>-14656.8</v>
      </c>
      <c r="H130" s="3">
        <f t="shared" si="4"/>
        <v>-111133.67000000001</v>
      </c>
      <c r="I130" s="175">
        <f>H130-'[1]Aid Adjust'!$H130</f>
        <v>-3771.4199999999983</v>
      </c>
    </row>
    <row r="131" spans="1:9" x14ac:dyDescent="0.2">
      <c r="A131" s="5">
        <v>403</v>
      </c>
      <c r="B131" s="5">
        <v>1</v>
      </c>
      <c r="C131" s="2" t="s">
        <v>128</v>
      </c>
      <c r="D131" s="2">
        <f>Shift10!D131-Shift11!D131</f>
        <v>-116416.9</v>
      </c>
      <c r="E131" s="2">
        <f>Shift10!E131-Shift11!E131</f>
        <v>-58696.84</v>
      </c>
      <c r="F131" s="2">
        <f t="shared" si="3"/>
        <v>-175113.74</v>
      </c>
      <c r="G131" s="2">
        <f>Shift10!M131-Shift11!M131</f>
        <v>-9561.52</v>
      </c>
      <c r="H131" s="3">
        <f t="shared" si="4"/>
        <v>-184675.25999999998</v>
      </c>
      <c r="I131" s="175">
        <f>H131-'[1]Aid Adjust'!$H131</f>
        <v>-7940.9299999999639</v>
      </c>
    </row>
    <row r="132" spans="1:9" x14ac:dyDescent="0.2">
      <c r="A132" s="5">
        <v>404</v>
      </c>
      <c r="B132" s="5">
        <v>1</v>
      </c>
      <c r="C132" s="2" t="s">
        <v>129</v>
      </c>
      <c r="D132" s="2">
        <f>Shift10!D132-Shift11!D132</f>
        <v>-33960.080000000002</v>
      </c>
      <c r="E132" s="2">
        <f>Shift10!E132-Shift11!E132</f>
        <v>-70510.77</v>
      </c>
      <c r="F132" s="2">
        <f t="shared" si="3"/>
        <v>-104470.85</v>
      </c>
      <c r="G132" s="2">
        <f>Shift10!M132-Shift11!M132</f>
        <v>-4109.96</v>
      </c>
      <c r="H132" s="3">
        <f t="shared" si="4"/>
        <v>-108580.81000000001</v>
      </c>
      <c r="I132" s="175">
        <f>H132-'[1]Aid Adjust'!$H132</f>
        <v>-4288.5600000000122</v>
      </c>
    </row>
    <row r="133" spans="1:9" x14ac:dyDescent="0.2">
      <c r="A133" s="5">
        <v>413</v>
      </c>
      <c r="B133" s="5">
        <v>1</v>
      </c>
      <c r="C133" s="2" t="s">
        <v>130</v>
      </c>
      <c r="D133" s="2">
        <f>Shift10!D133-Shift11!D133</f>
        <v>-575543.1</v>
      </c>
      <c r="E133" s="2">
        <f>Shift10!E133-Shift11!E133</f>
        <v>-472563.83000000007</v>
      </c>
      <c r="F133" s="2">
        <f t="shared" si="3"/>
        <v>-1048106.93</v>
      </c>
      <c r="G133" s="2">
        <f>Shift10!M133-Shift11!M133</f>
        <v>-74768.179999999993</v>
      </c>
      <c r="H133" s="3">
        <f t="shared" si="4"/>
        <v>-1122875.1100000001</v>
      </c>
      <c r="I133" s="175">
        <f>H133-'[1]Aid Adjust'!$H133</f>
        <v>-30490.840000000084</v>
      </c>
    </row>
    <row r="134" spans="1:9" x14ac:dyDescent="0.2">
      <c r="A134" s="5">
        <v>414</v>
      </c>
      <c r="B134" s="5">
        <v>1</v>
      </c>
      <c r="C134" s="2" t="s">
        <v>131</v>
      </c>
      <c r="D134" s="2">
        <f>Shift10!D134-Shift11!D134</f>
        <v>-161844.42000000001</v>
      </c>
      <c r="E134" s="2">
        <f>Shift10!E134-Shift11!E134</f>
        <v>-48611.729999999996</v>
      </c>
      <c r="F134" s="2">
        <f t="shared" ref="F134:F196" si="5">D134+E134</f>
        <v>-210456.15000000002</v>
      </c>
      <c r="G134" s="2">
        <f>Shift10!M134-Shift11!M134</f>
        <v>-13259.54</v>
      </c>
      <c r="H134" s="3">
        <f t="shared" ref="H134:H196" si="6">SUM(F134:G134)</f>
        <v>-223715.69000000003</v>
      </c>
      <c r="I134" s="175">
        <f>H134-'[1]Aid Adjust'!$H134</f>
        <v>-10307.180000000022</v>
      </c>
    </row>
    <row r="135" spans="1:9" x14ac:dyDescent="0.2">
      <c r="A135" s="5">
        <v>415</v>
      </c>
      <c r="B135" s="5">
        <v>1</v>
      </c>
      <c r="C135" s="2" t="s">
        <v>132</v>
      </c>
      <c r="D135" s="2">
        <f>Shift10!D135-Shift11!D135</f>
        <v>-29575.82</v>
      </c>
      <c r="E135" s="2">
        <f>Shift10!E135-Shift11!E135</f>
        <v>-89944.45</v>
      </c>
      <c r="F135" s="2">
        <f t="shared" si="5"/>
        <v>-119520.26999999999</v>
      </c>
      <c r="G135" s="2">
        <f>Shift10!M135-Shift11!M135</f>
        <v>-18939.91</v>
      </c>
      <c r="H135" s="3">
        <f t="shared" si="6"/>
        <v>-138460.18</v>
      </c>
      <c r="I135" s="175">
        <f>H135-'[1]Aid Adjust'!$H135</f>
        <v>-7404.9899999999907</v>
      </c>
    </row>
    <row r="136" spans="1:9" x14ac:dyDescent="0.2">
      <c r="A136" s="5">
        <v>423</v>
      </c>
      <c r="B136" s="5">
        <v>1</v>
      </c>
      <c r="C136" s="2" t="s">
        <v>133</v>
      </c>
      <c r="D136" s="2">
        <f>Shift10!D136-Shift11!D136</f>
        <v>-679501.11</v>
      </c>
      <c r="E136" s="2">
        <f>Shift10!E136-Shift11!E136</f>
        <v>-927885.13</v>
      </c>
      <c r="F136" s="2">
        <f t="shared" si="5"/>
        <v>-1607386.24</v>
      </c>
      <c r="G136" s="2">
        <f>Shift10!M136-Shift11!M136</f>
        <v>-99297.59</v>
      </c>
      <c r="H136" s="3">
        <f t="shared" si="6"/>
        <v>-1706683.83</v>
      </c>
      <c r="I136" s="175">
        <f>H136-'[1]Aid Adjust'!$H136</f>
        <v>-49513.860000000102</v>
      </c>
    </row>
    <row r="137" spans="1:9" x14ac:dyDescent="0.2">
      <c r="A137" s="5">
        <v>424</v>
      </c>
      <c r="B137" s="5">
        <v>1</v>
      </c>
      <c r="C137" s="2" t="s">
        <v>134</v>
      </c>
      <c r="D137" s="2">
        <f>Shift10!D137-Shift11!D137</f>
        <v>-70262.039999999994</v>
      </c>
      <c r="E137" s="2">
        <f>Shift10!E137-Shift11!E137</f>
        <v>-199609.59000000003</v>
      </c>
      <c r="F137" s="2">
        <f t="shared" si="5"/>
        <v>-269871.63</v>
      </c>
      <c r="G137" s="2">
        <f>Shift10!M137-Shift11!M137</f>
        <v>-13639.03</v>
      </c>
      <c r="H137" s="3">
        <f t="shared" si="6"/>
        <v>-283510.66000000003</v>
      </c>
      <c r="I137" s="175">
        <f>H137-'[1]Aid Adjust'!$H137</f>
        <v>-8201.6100000000442</v>
      </c>
    </row>
    <row r="138" spans="1:9" x14ac:dyDescent="0.2">
      <c r="A138" s="5">
        <v>432</v>
      </c>
      <c r="B138" s="5">
        <v>1</v>
      </c>
      <c r="C138" s="2" t="s">
        <v>135</v>
      </c>
      <c r="D138" s="2">
        <f>Shift10!D138-Shift11!D138</f>
        <v>-53666.89</v>
      </c>
      <c r="E138" s="2">
        <f>Shift10!E138-Shift11!E138</f>
        <v>0</v>
      </c>
      <c r="F138" s="2">
        <f t="shared" si="5"/>
        <v>-53666.89</v>
      </c>
      <c r="G138" s="2">
        <f>Shift10!M138-Shift11!M138</f>
        <v>-15974.11</v>
      </c>
      <c r="H138" s="3">
        <f t="shared" si="6"/>
        <v>-69641</v>
      </c>
      <c r="I138" s="175">
        <f>H138-'[1]Aid Adjust'!$H138</f>
        <v>-9928.5500000000029</v>
      </c>
    </row>
    <row r="139" spans="1:9" x14ac:dyDescent="0.2">
      <c r="A139" s="5">
        <v>435</v>
      </c>
      <c r="B139" s="5">
        <v>1</v>
      </c>
      <c r="C139" s="2" t="s">
        <v>136</v>
      </c>
      <c r="D139" s="2">
        <f>Shift10!D139-Shift11!D139</f>
        <v>-79186.03</v>
      </c>
      <c r="E139" s="2">
        <f>Shift10!E139-Shift11!E139</f>
        <v>0</v>
      </c>
      <c r="F139" s="2">
        <f t="shared" si="5"/>
        <v>-79186.03</v>
      </c>
      <c r="G139" s="2">
        <f>Shift10!M139-Shift11!M139</f>
        <v>-15354.97</v>
      </c>
      <c r="H139" s="3">
        <f t="shared" si="6"/>
        <v>-94541</v>
      </c>
      <c r="I139" s="175">
        <f>H139-'[1]Aid Adjust'!$H139</f>
        <v>-4334.1800000000076</v>
      </c>
    </row>
    <row r="140" spans="1:9" x14ac:dyDescent="0.2">
      <c r="A140" s="5">
        <v>441</v>
      </c>
      <c r="B140" s="5">
        <v>1</v>
      </c>
      <c r="C140" s="2" t="s">
        <v>137</v>
      </c>
      <c r="D140" s="2">
        <f>Shift10!D140-Shift11!D140</f>
        <v>-96188.63</v>
      </c>
      <c r="E140" s="2">
        <f>Shift10!E140-Shift11!E140</f>
        <v>-71557.810000000012</v>
      </c>
      <c r="F140" s="2">
        <f t="shared" si="5"/>
        <v>-167746.44</v>
      </c>
      <c r="G140" s="2">
        <f>Shift10!M140-Shift11!M140</f>
        <v>-15889.77</v>
      </c>
      <c r="H140" s="3">
        <f t="shared" si="6"/>
        <v>-183636.21</v>
      </c>
      <c r="I140" s="175">
        <f>H140-'[1]Aid Adjust'!$H140</f>
        <v>-8341.8399999999965</v>
      </c>
    </row>
    <row r="141" spans="1:9" x14ac:dyDescent="0.2">
      <c r="A141" s="5">
        <v>447</v>
      </c>
      <c r="B141" s="5">
        <v>1</v>
      </c>
      <c r="C141" s="2" t="s">
        <v>138</v>
      </c>
      <c r="D141" s="2">
        <f>Shift10!D141-Shift11!D141</f>
        <v>-25259.57</v>
      </c>
      <c r="E141" s="2">
        <f>Shift10!E141-Shift11!E141</f>
        <v>0</v>
      </c>
      <c r="F141" s="2">
        <f t="shared" si="5"/>
        <v>-25259.57</v>
      </c>
      <c r="G141" s="2">
        <f>Shift10!M141-Shift11!M141</f>
        <v>-6027.86</v>
      </c>
      <c r="H141" s="3">
        <f t="shared" si="6"/>
        <v>-31287.43</v>
      </c>
      <c r="I141" s="175">
        <f>H141-'[1]Aid Adjust'!$H141</f>
        <v>-7225.9000000000015</v>
      </c>
    </row>
    <row r="142" spans="1:9" x14ac:dyDescent="0.2">
      <c r="A142" s="5">
        <v>458</v>
      </c>
      <c r="B142" s="5">
        <v>1</v>
      </c>
      <c r="C142" s="2" t="s">
        <v>139</v>
      </c>
      <c r="D142" s="2">
        <f>Shift10!D142-Shift11!D142</f>
        <v>-56912.46</v>
      </c>
      <c r="E142" s="2">
        <f>Shift10!E142-Shift11!E142</f>
        <v>-63637.53</v>
      </c>
      <c r="F142" s="2">
        <f t="shared" si="5"/>
        <v>-120549.98999999999</v>
      </c>
      <c r="G142" s="2">
        <f>Shift10!M142-Shift11!M142</f>
        <v>-19672.66</v>
      </c>
      <c r="H142" s="3">
        <f t="shared" si="6"/>
        <v>-140222.65</v>
      </c>
      <c r="I142" s="175">
        <f>H142-'[1]Aid Adjust'!$H142</f>
        <v>-11961.809999999998</v>
      </c>
    </row>
    <row r="143" spans="1:9" x14ac:dyDescent="0.2">
      <c r="A143" s="5">
        <v>463</v>
      </c>
      <c r="B143" s="5">
        <v>1</v>
      </c>
      <c r="C143" s="2" t="s">
        <v>140</v>
      </c>
      <c r="D143" s="2">
        <f>Shift10!D143-Shift11!D143</f>
        <v>-73494.41</v>
      </c>
      <c r="E143" s="2">
        <f>Shift10!E143-Shift11!E143</f>
        <v>-201692.78999999998</v>
      </c>
      <c r="F143" s="2">
        <f t="shared" si="5"/>
        <v>-275187.19999999995</v>
      </c>
      <c r="G143" s="2">
        <f>Shift10!M143-Shift11!M143</f>
        <v>-28057.75</v>
      </c>
      <c r="H143" s="3">
        <f t="shared" si="6"/>
        <v>-303244.94999999995</v>
      </c>
      <c r="I143" s="175">
        <f>H143-'[1]Aid Adjust'!$H143</f>
        <v>-4001.0799999999581</v>
      </c>
    </row>
    <row r="144" spans="1:9" x14ac:dyDescent="0.2">
      <c r="A144" s="5">
        <v>465</v>
      </c>
      <c r="B144" s="5">
        <v>1</v>
      </c>
      <c r="C144" s="2" t="s">
        <v>141</v>
      </c>
      <c r="D144" s="2">
        <f>Shift10!D144-Shift11!D144</f>
        <v>-499166.88</v>
      </c>
      <c r="E144" s="2">
        <f>Shift10!E144-Shift11!E144</f>
        <v>-363852.62</v>
      </c>
      <c r="F144" s="2">
        <f t="shared" si="5"/>
        <v>-863019.5</v>
      </c>
      <c r="G144" s="2">
        <f>Shift10!M144-Shift11!M144</f>
        <v>-66744.320000000007</v>
      </c>
      <c r="H144" s="3">
        <f t="shared" si="6"/>
        <v>-929763.82000000007</v>
      </c>
      <c r="I144" s="175">
        <f>H144-'[1]Aid Adjust'!$H144</f>
        <v>-37522.589999999967</v>
      </c>
    </row>
    <row r="145" spans="1:9" x14ac:dyDescent="0.2">
      <c r="A145" s="5">
        <v>466</v>
      </c>
      <c r="B145" s="5">
        <v>1</v>
      </c>
      <c r="C145" s="2" t="s">
        <v>142</v>
      </c>
      <c r="D145" s="2">
        <f>Shift10!D145-Shift11!D145</f>
        <v>-346946.16</v>
      </c>
      <c r="E145" s="2">
        <f>Shift10!E145-Shift11!E145</f>
        <v>-241571.61</v>
      </c>
      <c r="F145" s="2">
        <f t="shared" si="5"/>
        <v>-588517.77</v>
      </c>
      <c r="G145" s="2">
        <f>Shift10!M145-Shift11!M145</f>
        <v>-64376.05</v>
      </c>
      <c r="H145" s="3">
        <f t="shared" si="6"/>
        <v>-652893.82000000007</v>
      </c>
      <c r="I145" s="175">
        <f>H145-'[1]Aid Adjust'!$H145</f>
        <v>-37161.880000000005</v>
      </c>
    </row>
    <row r="146" spans="1:9" x14ac:dyDescent="0.2">
      <c r="A146" s="5">
        <v>473</v>
      </c>
      <c r="B146" s="5">
        <v>1</v>
      </c>
      <c r="C146" s="2" t="s">
        <v>143</v>
      </c>
      <c r="D146" s="2">
        <f>Shift10!D146-Shift11!D146</f>
        <v>-131987.54</v>
      </c>
      <c r="E146" s="2">
        <f>Shift10!E146-Shift11!E146</f>
        <v>0</v>
      </c>
      <c r="F146" s="2">
        <f t="shared" si="5"/>
        <v>-131987.54</v>
      </c>
      <c r="G146" s="2">
        <f>Shift10!M146-Shift11!M146</f>
        <v>-18933.29</v>
      </c>
      <c r="H146" s="3">
        <f t="shared" si="6"/>
        <v>-150920.83000000002</v>
      </c>
      <c r="I146" s="175">
        <f>H146-'[1]Aid Adjust'!$H146</f>
        <v>-6583.6100000000151</v>
      </c>
    </row>
    <row r="147" spans="1:9" x14ac:dyDescent="0.2">
      <c r="A147" s="5">
        <v>477</v>
      </c>
      <c r="B147" s="5">
        <v>1</v>
      </c>
      <c r="C147" s="2" t="s">
        <v>144</v>
      </c>
      <c r="D147" s="2">
        <f>Shift10!D147-Shift11!D147</f>
        <v>-680269.19</v>
      </c>
      <c r="E147" s="2">
        <f>Shift10!E147-Shift11!E147</f>
        <v>-357071.91</v>
      </c>
      <c r="F147" s="2">
        <f t="shared" si="5"/>
        <v>-1037341.0999999999</v>
      </c>
      <c r="G147" s="2">
        <f>Shift10!M147-Shift11!M147</f>
        <v>-141619.1</v>
      </c>
      <c r="H147" s="3">
        <f t="shared" si="6"/>
        <v>-1178960.2</v>
      </c>
      <c r="I147" s="175">
        <f>H147-'[1]Aid Adjust'!$H147</f>
        <v>-65853.380000000121</v>
      </c>
    </row>
    <row r="148" spans="1:9" x14ac:dyDescent="0.2">
      <c r="A148" s="5">
        <v>480</v>
      </c>
      <c r="B148" s="5">
        <v>1</v>
      </c>
      <c r="C148" s="2" t="s">
        <v>145</v>
      </c>
      <c r="D148" s="2">
        <f>Shift10!D148-Shift11!D148</f>
        <v>-229352.16</v>
      </c>
      <c r="E148" s="2">
        <f>Shift10!E148-Shift11!E148</f>
        <v>-237402.29</v>
      </c>
      <c r="F148" s="2">
        <f t="shared" si="5"/>
        <v>-466754.45</v>
      </c>
      <c r="G148" s="2">
        <f>Shift10!M148-Shift11!M148</f>
        <v>-36080.239999999998</v>
      </c>
      <c r="H148" s="3">
        <f t="shared" si="6"/>
        <v>-502834.69</v>
      </c>
      <c r="I148" s="175">
        <f>H148-'[1]Aid Adjust'!$H148</f>
        <v>-13877.699999999953</v>
      </c>
    </row>
    <row r="149" spans="1:9" x14ac:dyDescent="0.2">
      <c r="A149" s="5">
        <v>482</v>
      </c>
      <c r="B149" s="5">
        <v>1</v>
      </c>
      <c r="C149" s="2" t="s">
        <v>146</v>
      </c>
      <c r="D149" s="2">
        <f>Shift10!D149-Shift11!D149</f>
        <v>-336055.13</v>
      </c>
      <c r="E149" s="2">
        <f>Shift10!E149-Shift11!E149</f>
        <v>-813339.93</v>
      </c>
      <c r="F149" s="2">
        <f t="shared" si="5"/>
        <v>-1149395.06</v>
      </c>
      <c r="G149" s="2">
        <f>Shift10!M149-Shift11!M149</f>
        <v>-101661.88</v>
      </c>
      <c r="H149" s="3">
        <f t="shared" si="6"/>
        <v>-1251056.94</v>
      </c>
      <c r="I149" s="175">
        <f>H149-'[1]Aid Adjust'!$H149</f>
        <v>-71123.499999999767</v>
      </c>
    </row>
    <row r="150" spans="1:9" x14ac:dyDescent="0.2">
      <c r="A150" s="5">
        <v>484</v>
      </c>
      <c r="B150" s="5">
        <v>1</v>
      </c>
      <c r="C150" s="2" t="s">
        <v>147</v>
      </c>
      <c r="D150" s="2">
        <f>Shift10!D150-Shift11!D150</f>
        <v>-159230</v>
      </c>
      <c r="E150" s="2">
        <f>Shift10!E150-Shift11!E150</f>
        <v>-159964.03</v>
      </c>
      <c r="F150" s="2">
        <f t="shared" si="5"/>
        <v>-319194.03000000003</v>
      </c>
      <c r="G150" s="2">
        <f>Shift10!M150-Shift11!M150</f>
        <v>-24341.47</v>
      </c>
      <c r="H150" s="3">
        <f t="shared" si="6"/>
        <v>-343535.5</v>
      </c>
      <c r="I150" s="175">
        <f>H150-'[1]Aid Adjust'!$H150</f>
        <v>-21361.729999999981</v>
      </c>
    </row>
    <row r="151" spans="1:9" x14ac:dyDescent="0.2">
      <c r="A151" s="5">
        <v>485</v>
      </c>
      <c r="B151" s="5">
        <v>1</v>
      </c>
      <c r="C151" s="2" t="s">
        <v>148</v>
      </c>
      <c r="D151" s="2">
        <f>Shift10!D151-Shift11!D151</f>
        <v>-119565.69</v>
      </c>
      <c r="E151" s="2">
        <f>Shift10!E151-Shift11!E151</f>
        <v>0</v>
      </c>
      <c r="F151" s="2">
        <f t="shared" si="5"/>
        <v>-119565.69</v>
      </c>
      <c r="G151" s="2">
        <f>Shift10!M151-Shift11!M151</f>
        <v>-19139.310000000001</v>
      </c>
      <c r="H151" s="3">
        <f t="shared" si="6"/>
        <v>-138705</v>
      </c>
      <c r="I151" s="175">
        <f>H151-'[1]Aid Adjust'!$H151</f>
        <v>-10661.869999999995</v>
      </c>
    </row>
    <row r="152" spans="1:9" x14ac:dyDescent="0.2">
      <c r="A152" s="5">
        <v>486</v>
      </c>
      <c r="B152" s="5">
        <v>1</v>
      </c>
      <c r="C152" s="2" t="s">
        <v>149</v>
      </c>
      <c r="D152" s="2">
        <f>Shift10!D152-Shift11!D152</f>
        <v>-49445</v>
      </c>
      <c r="E152" s="2">
        <f>Shift10!E152-Shift11!E152</f>
        <v>-74327.05</v>
      </c>
      <c r="F152" s="2">
        <f t="shared" si="5"/>
        <v>-123772.05</v>
      </c>
      <c r="G152" s="2">
        <f>Shift10!M152-Shift11!M152</f>
        <v>-10003.780000000001</v>
      </c>
      <c r="H152" s="3">
        <f t="shared" si="6"/>
        <v>-133775.83000000002</v>
      </c>
      <c r="I152" s="175">
        <f>H152-'[1]Aid Adjust'!$H152</f>
        <v>-5006.1000000000204</v>
      </c>
    </row>
    <row r="153" spans="1:9" x14ac:dyDescent="0.2">
      <c r="A153" s="5">
        <v>487</v>
      </c>
      <c r="B153" s="5">
        <v>1</v>
      </c>
      <c r="C153" s="2" t="s">
        <v>150</v>
      </c>
      <c r="D153" s="2">
        <f>Shift10!D153-Shift11!D153</f>
        <v>-6918.22</v>
      </c>
      <c r="E153" s="2">
        <f>Shift10!E153-Shift11!E153</f>
        <v>-20809.310000000001</v>
      </c>
      <c r="F153" s="2">
        <f t="shared" si="5"/>
        <v>-27727.530000000002</v>
      </c>
      <c r="G153" s="2">
        <f>Shift10!M153-Shift11!M153</f>
        <v>-6192.16</v>
      </c>
      <c r="H153" s="3">
        <f t="shared" si="6"/>
        <v>-33919.69</v>
      </c>
      <c r="I153" s="175">
        <f>H153-'[1]Aid Adjust'!$H153</f>
        <v>-1111.739999999998</v>
      </c>
    </row>
    <row r="154" spans="1:9" x14ac:dyDescent="0.2">
      <c r="A154" s="5">
        <v>492</v>
      </c>
      <c r="B154" s="5">
        <v>1</v>
      </c>
      <c r="C154" s="2" t="s">
        <v>151</v>
      </c>
      <c r="D154" s="2">
        <f>Shift10!D154-Shift11!D154</f>
        <v>-661111.82999999996</v>
      </c>
      <c r="E154" s="2">
        <f>Shift10!E154-Shift11!E154</f>
        <v>-659962</v>
      </c>
      <c r="F154" s="2">
        <f t="shared" si="5"/>
        <v>-1321073.83</v>
      </c>
      <c r="G154" s="2">
        <f>Shift10!M154-Shift11!M154</f>
        <v>-103554.94</v>
      </c>
      <c r="H154" s="3">
        <f t="shared" si="6"/>
        <v>-1424628.77</v>
      </c>
      <c r="I154" s="175">
        <f>H154-'[1]Aid Adjust'!$H154</f>
        <v>-104659.54999999981</v>
      </c>
    </row>
    <row r="155" spans="1:9" x14ac:dyDescent="0.2">
      <c r="A155" s="5">
        <v>495</v>
      </c>
      <c r="B155" s="5">
        <v>1</v>
      </c>
      <c r="C155" s="2" t="s">
        <v>152</v>
      </c>
      <c r="D155" s="2">
        <f>Shift10!D155-Shift11!D155</f>
        <v>-66575.38</v>
      </c>
      <c r="E155" s="2">
        <f>Shift10!E155-Shift11!E155</f>
        <v>-108658.89000000001</v>
      </c>
      <c r="F155" s="2">
        <f t="shared" si="5"/>
        <v>-175234.27000000002</v>
      </c>
      <c r="G155" s="2">
        <f>Shift10!M155-Shift11!M155</f>
        <v>-16018.56</v>
      </c>
      <c r="H155" s="3">
        <f t="shared" si="6"/>
        <v>-191252.83000000002</v>
      </c>
      <c r="I155" s="175">
        <f>H155-'[1]Aid Adjust'!$H155</f>
        <v>-5893.640000000014</v>
      </c>
    </row>
    <row r="156" spans="1:9" x14ac:dyDescent="0.2">
      <c r="A156" s="5">
        <v>497</v>
      </c>
      <c r="B156" s="5">
        <v>1</v>
      </c>
      <c r="C156" s="2" t="s">
        <v>153</v>
      </c>
      <c r="D156" s="2">
        <f>Shift10!D156-Shift11!D156</f>
        <v>-33853.269999999997</v>
      </c>
      <c r="E156" s="2">
        <f>Shift10!E156-Shift11!E156</f>
        <v>0</v>
      </c>
      <c r="F156" s="2">
        <f t="shared" si="5"/>
        <v>-33853.269999999997</v>
      </c>
      <c r="G156" s="2">
        <f>Shift10!M156-Shift11!M156</f>
        <v>-6746.65</v>
      </c>
      <c r="H156" s="3">
        <f t="shared" si="6"/>
        <v>-40599.919999999998</v>
      </c>
      <c r="I156" s="175">
        <f>H156-'[1]Aid Adjust'!$H156</f>
        <v>-3507.3099999999977</v>
      </c>
    </row>
    <row r="157" spans="1:9" x14ac:dyDescent="0.2">
      <c r="A157" s="5">
        <v>499</v>
      </c>
      <c r="B157" s="5">
        <v>1</v>
      </c>
      <c r="C157" s="2" t="s">
        <v>154</v>
      </c>
      <c r="D157" s="2">
        <f>Shift10!D157-Shift11!D157</f>
        <v>-112824.74</v>
      </c>
      <c r="E157" s="2">
        <f>Shift10!E157-Shift11!E157</f>
        <v>-99941.610000000015</v>
      </c>
      <c r="F157" s="2">
        <f t="shared" si="5"/>
        <v>-212766.35000000003</v>
      </c>
      <c r="G157" s="2">
        <f>Shift10!M157-Shift11!M157</f>
        <v>-23777.119999999999</v>
      </c>
      <c r="H157" s="3">
        <f t="shared" si="6"/>
        <v>-236543.47000000003</v>
      </c>
      <c r="I157" s="175">
        <f>H157-'[1]Aid Adjust'!$H157</f>
        <v>-9675.460000000021</v>
      </c>
    </row>
    <row r="158" spans="1:9" x14ac:dyDescent="0.2">
      <c r="A158" s="5">
        <v>500</v>
      </c>
      <c r="B158" s="5">
        <v>1</v>
      </c>
      <c r="C158" s="2" t="s">
        <v>155</v>
      </c>
      <c r="D158" s="2">
        <f>Shift10!D158-Shift11!D158</f>
        <v>-112652.9</v>
      </c>
      <c r="E158" s="2">
        <f>Shift10!E158-Shift11!E158</f>
        <v>-250311.95</v>
      </c>
      <c r="F158" s="2">
        <f t="shared" si="5"/>
        <v>-362964.85</v>
      </c>
      <c r="G158" s="2">
        <f>Shift10!M158-Shift11!M158</f>
        <v>-24116.29</v>
      </c>
      <c r="H158" s="3">
        <f t="shared" si="6"/>
        <v>-387081.13999999996</v>
      </c>
      <c r="I158" s="175">
        <f>H158-'[1]Aid Adjust'!$H158</f>
        <v>-15406.259999999951</v>
      </c>
    </row>
    <row r="159" spans="1:9" x14ac:dyDescent="0.2">
      <c r="A159" s="5">
        <v>505</v>
      </c>
      <c r="B159" s="5">
        <v>1</v>
      </c>
      <c r="C159" s="2" t="s">
        <v>156</v>
      </c>
      <c r="D159" s="2">
        <f>Shift10!D159-Shift11!D159</f>
        <v>-73263.460000000006</v>
      </c>
      <c r="E159" s="2">
        <f>Shift10!E159-Shift11!E159</f>
        <v>-164733.79</v>
      </c>
      <c r="F159" s="2">
        <f t="shared" si="5"/>
        <v>-237997.25</v>
      </c>
      <c r="G159" s="2">
        <f>Shift10!M159-Shift11!M159</f>
        <v>-19938.349999999999</v>
      </c>
      <c r="H159" s="3">
        <f t="shared" si="6"/>
        <v>-257935.6</v>
      </c>
      <c r="I159" s="175">
        <f>H159-'[1]Aid Adjust'!$H159</f>
        <v>-11750.679999999993</v>
      </c>
    </row>
    <row r="160" spans="1:9" x14ac:dyDescent="0.2">
      <c r="A160" s="5">
        <v>507</v>
      </c>
      <c r="B160" s="5">
        <v>1</v>
      </c>
      <c r="C160" s="2" t="s">
        <v>157</v>
      </c>
      <c r="D160" s="2">
        <f>Shift10!D160-Shift11!D160</f>
        <v>-94209.1</v>
      </c>
      <c r="E160" s="2">
        <f>Shift10!E160-Shift11!E160</f>
        <v>0</v>
      </c>
      <c r="F160" s="2">
        <f t="shared" si="5"/>
        <v>-94209.1</v>
      </c>
      <c r="G160" s="2">
        <f>Shift10!M160-Shift11!M160</f>
        <v>-17471.7</v>
      </c>
      <c r="H160" s="3">
        <f t="shared" si="6"/>
        <v>-111680.8</v>
      </c>
      <c r="I160" s="175">
        <f>H160-'[1]Aid Adjust'!$H160</f>
        <v>-7043.3000000000029</v>
      </c>
    </row>
    <row r="161" spans="1:9" x14ac:dyDescent="0.2">
      <c r="A161" s="5">
        <v>508</v>
      </c>
      <c r="B161" s="5">
        <v>1</v>
      </c>
      <c r="C161" s="2" t="s">
        <v>158</v>
      </c>
      <c r="D161" s="2">
        <f>Shift10!D161-Shift11!D161</f>
        <v>-717342.16</v>
      </c>
      <c r="E161" s="2">
        <f>Shift10!E161-Shift11!E161</f>
        <v>-313707.31999999995</v>
      </c>
      <c r="F161" s="2">
        <f t="shared" si="5"/>
        <v>-1031049.48</v>
      </c>
      <c r="G161" s="2">
        <f>Shift10!M161-Shift11!M161</f>
        <v>-66905.679999999993</v>
      </c>
      <c r="H161" s="3">
        <f t="shared" si="6"/>
        <v>-1097955.1599999999</v>
      </c>
      <c r="I161" s="175">
        <f>H161-'[1]Aid Adjust'!$H161</f>
        <v>-51871.629999999888</v>
      </c>
    </row>
    <row r="162" spans="1:9" x14ac:dyDescent="0.2">
      <c r="A162" s="5">
        <v>511</v>
      </c>
      <c r="B162" s="5">
        <v>1</v>
      </c>
      <c r="C162" s="2" t="s">
        <v>159</v>
      </c>
      <c r="D162" s="2">
        <f>Shift10!D162-Shift11!D162</f>
        <v>-122510.83</v>
      </c>
      <c r="E162" s="2">
        <f>Shift10!E162-Shift11!E162</f>
        <v>-132349.22</v>
      </c>
      <c r="F162" s="2">
        <f t="shared" si="5"/>
        <v>-254860.05</v>
      </c>
      <c r="G162" s="2">
        <f>Shift10!M162-Shift11!M162</f>
        <v>-5986.78</v>
      </c>
      <c r="H162" s="3">
        <f t="shared" si="6"/>
        <v>-260846.83</v>
      </c>
      <c r="I162" s="175">
        <f>H162-'[1]Aid Adjust'!$H162</f>
        <v>-10268.069999999978</v>
      </c>
    </row>
    <row r="163" spans="1:9" x14ac:dyDescent="0.2">
      <c r="A163" s="5">
        <v>513</v>
      </c>
      <c r="B163" s="5">
        <v>1</v>
      </c>
      <c r="C163" s="2" t="s">
        <v>160</v>
      </c>
      <c r="D163" s="2">
        <f>Shift10!D163-Shift11!D163</f>
        <v>-50286.2</v>
      </c>
      <c r="E163" s="2">
        <f>Shift10!E163-Shift11!E163</f>
        <v>-59754.36</v>
      </c>
      <c r="F163" s="2">
        <f t="shared" si="5"/>
        <v>-110040.56</v>
      </c>
      <c r="G163" s="2">
        <f>Shift10!M163-Shift11!M163</f>
        <v>-7232.24</v>
      </c>
      <c r="H163" s="3">
        <f t="shared" si="6"/>
        <v>-117272.8</v>
      </c>
      <c r="I163" s="175">
        <f>H163-'[1]Aid Adjust'!$H163</f>
        <v>-3317.2100000000064</v>
      </c>
    </row>
    <row r="164" spans="1:9" x14ac:dyDescent="0.2">
      <c r="A164" s="5">
        <v>514</v>
      </c>
      <c r="B164" s="5">
        <v>1</v>
      </c>
      <c r="C164" s="2" t="s">
        <v>161</v>
      </c>
      <c r="D164" s="2">
        <f>Shift10!D164-Shift11!D164</f>
        <v>-43146.16</v>
      </c>
      <c r="E164" s="2">
        <f>Shift10!E164-Shift11!E164</f>
        <v>0</v>
      </c>
      <c r="F164" s="2">
        <f t="shared" si="5"/>
        <v>-43146.16</v>
      </c>
      <c r="G164" s="2">
        <f>Shift10!M164-Shift11!M164</f>
        <v>-6454.5</v>
      </c>
      <c r="H164" s="3">
        <f t="shared" si="6"/>
        <v>-49600.66</v>
      </c>
      <c r="I164" s="175">
        <f>H164-'[1]Aid Adjust'!$H164</f>
        <v>-4810.8400000000038</v>
      </c>
    </row>
    <row r="165" spans="1:9" x14ac:dyDescent="0.2">
      <c r="A165" s="5">
        <v>516</v>
      </c>
      <c r="B165" s="5">
        <v>1</v>
      </c>
      <c r="C165" s="2" t="s">
        <v>162</v>
      </c>
      <c r="D165" s="2">
        <f>Shift10!D165-Shift11!D165</f>
        <v>-19413.79</v>
      </c>
      <c r="E165" s="2">
        <f>Shift10!E165-Shift11!E165</f>
        <v>-12158.32</v>
      </c>
      <c r="F165" s="2">
        <f t="shared" si="5"/>
        <v>-31572.11</v>
      </c>
      <c r="G165" s="2">
        <f>Shift10!M165-Shift11!M165</f>
        <v>-7879.73</v>
      </c>
      <c r="H165" s="3">
        <f t="shared" si="6"/>
        <v>-39451.839999999997</v>
      </c>
      <c r="I165" s="175">
        <f>H165-'[1]Aid Adjust'!$H165</f>
        <v>-4401.8600000000006</v>
      </c>
    </row>
    <row r="166" spans="1:9" x14ac:dyDescent="0.2">
      <c r="A166" s="5">
        <v>518</v>
      </c>
      <c r="B166" s="5">
        <v>1</v>
      </c>
      <c r="C166" s="2" t="s">
        <v>163</v>
      </c>
      <c r="D166" s="2">
        <f>Shift10!D166-Shift11!D166</f>
        <v>-219304.04</v>
      </c>
      <c r="E166" s="2">
        <f>Shift10!E166-Shift11!E166</f>
        <v>-713290.82000000007</v>
      </c>
      <c r="F166" s="2">
        <f t="shared" si="5"/>
        <v>-932594.8600000001</v>
      </c>
      <c r="G166" s="2">
        <f>Shift10!M166-Shift11!M166</f>
        <v>-78537.25</v>
      </c>
      <c r="H166" s="3">
        <f t="shared" si="6"/>
        <v>-1011132.1100000001</v>
      </c>
      <c r="I166" s="175">
        <f>H166-'[1]Aid Adjust'!$H166</f>
        <v>-34809.45000000007</v>
      </c>
    </row>
    <row r="167" spans="1:9" x14ac:dyDescent="0.2">
      <c r="A167" s="5">
        <v>531</v>
      </c>
      <c r="B167" s="5">
        <v>1</v>
      </c>
      <c r="C167" s="2" t="s">
        <v>164</v>
      </c>
      <c r="D167" s="2">
        <f>Shift10!D167-Shift11!D167</f>
        <v>-252108.35</v>
      </c>
      <c r="E167" s="2">
        <f>Shift10!E167-Shift11!E167</f>
        <v>-31674.539999999994</v>
      </c>
      <c r="F167" s="2">
        <f t="shared" si="5"/>
        <v>-283782.89</v>
      </c>
      <c r="G167" s="2">
        <f>Shift10!M167-Shift11!M167</f>
        <v>-42475.91</v>
      </c>
      <c r="H167" s="3">
        <f t="shared" si="6"/>
        <v>-326258.80000000005</v>
      </c>
      <c r="I167" s="175">
        <f>H167-'[1]Aid Adjust'!$H167</f>
        <v>-11359.000000000058</v>
      </c>
    </row>
    <row r="168" spans="1:9" x14ac:dyDescent="0.2">
      <c r="A168" s="5">
        <v>533</v>
      </c>
      <c r="B168" s="5">
        <v>1</v>
      </c>
      <c r="C168" s="2" t="s">
        <v>165</v>
      </c>
      <c r="D168" s="2">
        <f>Shift10!D168-Shift11!D168</f>
        <v>-181090.56</v>
      </c>
      <c r="E168" s="2">
        <f>Shift10!E168-Shift11!E168</f>
        <v>-33807.620000000003</v>
      </c>
      <c r="F168" s="2">
        <f t="shared" si="5"/>
        <v>-214898.18</v>
      </c>
      <c r="G168" s="2">
        <f>Shift10!M168-Shift11!M168</f>
        <v>-9505.67</v>
      </c>
      <c r="H168" s="3">
        <f t="shared" si="6"/>
        <v>-224403.85</v>
      </c>
      <c r="I168" s="175">
        <f>H168-'[1]Aid Adjust'!$H168</f>
        <v>-10346.550000000017</v>
      </c>
    </row>
    <row r="169" spans="1:9" x14ac:dyDescent="0.2">
      <c r="A169" s="5">
        <v>534</v>
      </c>
      <c r="B169" s="5">
        <v>1</v>
      </c>
      <c r="C169" s="2" t="s">
        <v>166</v>
      </c>
      <c r="D169" s="2">
        <f>Shift10!D169-Shift11!D169</f>
        <v>-418764.79</v>
      </c>
      <c r="E169" s="2">
        <f>Shift10!E169-Shift11!E169</f>
        <v>-454335.69</v>
      </c>
      <c r="F169" s="2">
        <f t="shared" si="5"/>
        <v>-873100.48</v>
      </c>
      <c r="G169" s="2">
        <f>Shift10!M169-Shift11!M169</f>
        <v>-54200.66</v>
      </c>
      <c r="H169" s="3">
        <f t="shared" si="6"/>
        <v>-927301.14</v>
      </c>
      <c r="I169" s="175">
        <f>H169-'[1]Aid Adjust'!$H169</f>
        <v>-28001.410000000033</v>
      </c>
    </row>
    <row r="170" spans="1:9" x14ac:dyDescent="0.2">
      <c r="A170" s="5">
        <v>535</v>
      </c>
      <c r="B170" s="5">
        <v>1</v>
      </c>
      <c r="C170" s="2" t="s">
        <v>167</v>
      </c>
      <c r="D170" s="2">
        <f>Shift10!D170-Shift11!D170</f>
        <v>-8272998.2300000004</v>
      </c>
      <c r="E170" s="2">
        <f>Shift10!E170-Shift11!E170</f>
        <v>-2644782.2599999998</v>
      </c>
      <c r="F170" s="2">
        <f t="shared" si="5"/>
        <v>-10917780.49</v>
      </c>
      <c r="G170" s="2">
        <f>Shift10!M170-Shift11!M170</f>
        <v>-813458.05</v>
      </c>
      <c r="H170" s="3">
        <f t="shared" si="6"/>
        <v>-11731238.540000001</v>
      </c>
      <c r="I170" s="175">
        <f>H170-'[1]Aid Adjust'!$H170</f>
        <v>-389743.12999999896</v>
      </c>
    </row>
    <row r="171" spans="1:9" x14ac:dyDescent="0.2">
      <c r="A171" s="5">
        <v>542</v>
      </c>
      <c r="B171" s="5">
        <v>1</v>
      </c>
      <c r="C171" s="2" t="s">
        <v>168</v>
      </c>
      <c r="D171" s="2">
        <f>Shift10!D171-Shift11!D171</f>
        <v>-162860.48000000001</v>
      </c>
      <c r="E171" s="2">
        <f>Shift10!E171-Shift11!E171</f>
        <v>0</v>
      </c>
      <c r="F171" s="2">
        <f t="shared" si="5"/>
        <v>-162860.48000000001</v>
      </c>
      <c r="G171" s="2">
        <f>Shift10!M171-Shift11!M171</f>
        <v>-29679.85</v>
      </c>
      <c r="H171" s="3">
        <f t="shared" si="6"/>
        <v>-192540.33000000002</v>
      </c>
      <c r="I171" s="175">
        <f>H171-'[1]Aid Adjust'!$H171</f>
        <v>-6367.820000000007</v>
      </c>
    </row>
    <row r="172" spans="1:9" x14ac:dyDescent="0.2">
      <c r="A172" s="5">
        <v>544</v>
      </c>
      <c r="B172" s="5">
        <v>1</v>
      </c>
      <c r="C172" s="2" t="s">
        <v>169</v>
      </c>
      <c r="D172" s="2">
        <f>Shift10!D172-Shift11!D172</f>
        <v>-843075.52</v>
      </c>
      <c r="E172" s="2">
        <f>Shift10!E172-Shift11!E172</f>
        <v>-328144.82</v>
      </c>
      <c r="F172" s="2">
        <f t="shared" si="5"/>
        <v>-1171220.3400000001</v>
      </c>
      <c r="G172" s="2">
        <f>Shift10!M172-Shift11!M172</f>
        <v>-106829.46</v>
      </c>
      <c r="H172" s="3">
        <f t="shared" si="6"/>
        <v>-1278049.8</v>
      </c>
      <c r="I172" s="175">
        <f>H172-'[1]Aid Adjust'!$H172</f>
        <v>-69044.310000000056</v>
      </c>
    </row>
    <row r="173" spans="1:9" x14ac:dyDescent="0.2">
      <c r="A173" s="5">
        <v>545</v>
      </c>
      <c r="B173" s="5">
        <v>1</v>
      </c>
      <c r="C173" s="2" t="s">
        <v>170</v>
      </c>
      <c r="D173" s="2">
        <f>Shift10!D173-Shift11!D173</f>
        <v>-98858.33</v>
      </c>
      <c r="E173" s="2">
        <f>Shift10!E173-Shift11!E173</f>
        <v>-180871.58</v>
      </c>
      <c r="F173" s="2">
        <f t="shared" si="5"/>
        <v>-279729.90999999997</v>
      </c>
      <c r="G173" s="2">
        <f>Shift10!M173-Shift11!M173</f>
        <v>-20273.68</v>
      </c>
      <c r="H173" s="3">
        <f t="shared" si="6"/>
        <v>-300003.58999999997</v>
      </c>
      <c r="I173" s="175">
        <f>H173-'[1]Aid Adjust'!$H173</f>
        <v>-9894.5499999999884</v>
      </c>
    </row>
    <row r="174" spans="1:9" x14ac:dyDescent="0.2">
      <c r="A174" s="5">
        <v>547</v>
      </c>
      <c r="B174" s="5">
        <v>1</v>
      </c>
      <c r="C174" s="2" t="s">
        <v>171</v>
      </c>
      <c r="D174" s="2">
        <f>Shift10!D174-Shift11!D174</f>
        <v>-65939.44</v>
      </c>
      <c r="E174" s="2">
        <f>Shift10!E174-Shift11!E174</f>
        <v>-237103.88</v>
      </c>
      <c r="F174" s="2">
        <f t="shared" si="5"/>
        <v>-303043.32</v>
      </c>
      <c r="G174" s="2">
        <f>Shift10!M174-Shift11!M174</f>
        <v>-27648.23</v>
      </c>
      <c r="H174" s="3">
        <f t="shared" si="6"/>
        <v>-330691.55</v>
      </c>
      <c r="I174" s="175">
        <f>H174-'[1]Aid Adjust'!$H174</f>
        <v>-9232.6699999999837</v>
      </c>
    </row>
    <row r="175" spans="1:9" x14ac:dyDescent="0.2">
      <c r="A175" s="5">
        <v>548</v>
      </c>
      <c r="B175" s="5">
        <v>1</v>
      </c>
      <c r="C175" s="2" t="s">
        <v>172</v>
      </c>
      <c r="D175" s="2">
        <f>Shift10!D175-Shift11!D175</f>
        <v>-232593.22</v>
      </c>
      <c r="E175" s="2">
        <f>Shift10!E175-Shift11!E175</f>
        <v>0</v>
      </c>
      <c r="F175" s="2">
        <f t="shared" si="5"/>
        <v>-232593.22</v>
      </c>
      <c r="G175" s="2">
        <f>Shift10!M175-Shift11!M175</f>
        <v>-51277.45</v>
      </c>
      <c r="H175" s="3">
        <f t="shared" si="6"/>
        <v>-283870.67</v>
      </c>
      <c r="I175" s="175">
        <f>H175-'[1]Aid Adjust'!$H175</f>
        <v>-10864.459999999963</v>
      </c>
    </row>
    <row r="176" spans="1:9" x14ac:dyDescent="0.2">
      <c r="A176" s="5">
        <v>549</v>
      </c>
      <c r="B176" s="5">
        <v>1</v>
      </c>
      <c r="C176" s="2" t="s">
        <v>173</v>
      </c>
      <c r="D176" s="2">
        <f>Shift10!D176-Shift11!D176</f>
        <v>-447649.69</v>
      </c>
      <c r="E176" s="2">
        <f>Shift10!E176-Shift11!E176</f>
        <v>0</v>
      </c>
      <c r="F176" s="2">
        <f t="shared" si="5"/>
        <v>-447649.69</v>
      </c>
      <c r="G176" s="2">
        <f>Shift10!M176-Shift11!M176</f>
        <v>-66163.199999999997</v>
      </c>
      <c r="H176" s="3">
        <f t="shared" si="6"/>
        <v>-513812.89</v>
      </c>
      <c r="I176" s="175">
        <f>H176-'[1]Aid Adjust'!$H176</f>
        <v>-27190.390000000014</v>
      </c>
    </row>
    <row r="177" spans="1:9" x14ac:dyDescent="0.2">
      <c r="A177" s="5">
        <v>550</v>
      </c>
      <c r="B177" s="5">
        <v>1</v>
      </c>
      <c r="C177" s="2" t="s">
        <v>174</v>
      </c>
      <c r="D177" s="2">
        <f>Shift10!D177-Shift11!D177</f>
        <v>-50779.83</v>
      </c>
      <c r="E177" s="2">
        <f>Shift10!E177-Shift11!E177</f>
        <v>0</v>
      </c>
      <c r="F177" s="2">
        <f t="shared" si="5"/>
        <v>-50779.83</v>
      </c>
      <c r="G177" s="2">
        <f>Shift10!M177-Shift11!M177</f>
        <v>-14961.54</v>
      </c>
      <c r="H177" s="3">
        <f t="shared" si="6"/>
        <v>-65741.37</v>
      </c>
      <c r="I177" s="175">
        <f>H177-'[1]Aid Adjust'!$H177</f>
        <v>-4554.6899999999951</v>
      </c>
    </row>
    <row r="178" spans="1:9" x14ac:dyDescent="0.2">
      <c r="A178" s="5">
        <v>553</v>
      </c>
      <c r="B178" s="5">
        <v>1</v>
      </c>
      <c r="C178" s="2" t="s">
        <v>175</v>
      </c>
      <c r="D178" s="2">
        <f>Shift10!D178-Shift11!D178</f>
        <v>-52387.17</v>
      </c>
      <c r="E178" s="2">
        <f>Shift10!E178-Shift11!E178</f>
        <v>-58816.429999999993</v>
      </c>
      <c r="F178" s="2">
        <f t="shared" si="5"/>
        <v>-111203.59999999999</v>
      </c>
      <c r="G178" s="2">
        <f>Shift10!M178-Shift11!M178</f>
        <v>-19144.77</v>
      </c>
      <c r="H178" s="3">
        <f t="shared" si="6"/>
        <v>-130348.37</v>
      </c>
      <c r="I178" s="175">
        <f>H178-'[1]Aid Adjust'!$H178</f>
        <v>-8720.8099999999977</v>
      </c>
    </row>
    <row r="179" spans="1:9" x14ac:dyDescent="0.2">
      <c r="A179" s="5">
        <v>561</v>
      </c>
      <c r="B179" s="5">
        <v>1</v>
      </c>
      <c r="C179" s="2" t="s">
        <v>176</v>
      </c>
      <c r="D179" s="2">
        <f>Shift10!D179-Shift11!D179</f>
        <v>-22275.83</v>
      </c>
      <c r="E179" s="2">
        <f>Shift10!E179-Shift11!E179</f>
        <v>-44677.479999999996</v>
      </c>
      <c r="F179" s="2">
        <f t="shared" si="5"/>
        <v>-66953.31</v>
      </c>
      <c r="G179" s="2">
        <f>Shift10!M179-Shift11!M179</f>
        <v>-6009.59</v>
      </c>
      <c r="H179" s="3">
        <f t="shared" si="6"/>
        <v>-72962.899999999994</v>
      </c>
      <c r="I179" s="175">
        <f>H179-'[1]Aid Adjust'!$H179</f>
        <v>-9418.3699999999953</v>
      </c>
    </row>
    <row r="180" spans="1:9" x14ac:dyDescent="0.2">
      <c r="A180" s="5">
        <v>564</v>
      </c>
      <c r="B180" s="5">
        <v>1</v>
      </c>
      <c r="C180" s="2" t="s">
        <v>177</v>
      </c>
      <c r="D180" s="2">
        <f>Shift10!D180-Shift11!D180</f>
        <v>-423838.17</v>
      </c>
      <c r="E180" s="2">
        <f>Shift10!E180-Shift11!E180</f>
        <v>-367222.16</v>
      </c>
      <c r="F180" s="2">
        <f t="shared" si="5"/>
        <v>-791060.33</v>
      </c>
      <c r="G180" s="2">
        <f>Shift10!M180-Shift11!M180</f>
        <v>-55817.78</v>
      </c>
      <c r="H180" s="3">
        <f t="shared" si="6"/>
        <v>-846878.11</v>
      </c>
      <c r="I180" s="175">
        <f>H180-'[1]Aid Adjust'!$H180</f>
        <v>-50958.069999999949</v>
      </c>
    </row>
    <row r="181" spans="1:9" x14ac:dyDescent="0.2">
      <c r="A181" s="5">
        <v>577</v>
      </c>
      <c r="B181" s="5">
        <v>1</v>
      </c>
      <c r="C181" s="2" t="s">
        <v>178</v>
      </c>
      <c r="D181" s="2">
        <f>Shift10!D181-Shift11!D181</f>
        <v>-124206.81</v>
      </c>
      <c r="E181" s="2">
        <f>Shift10!E181-Shift11!E181</f>
        <v>-4735.4900000000016</v>
      </c>
      <c r="F181" s="2">
        <f t="shared" si="5"/>
        <v>-128942.3</v>
      </c>
      <c r="G181" s="2">
        <f>Shift10!M181-Shift11!M181</f>
        <v>-18890.64</v>
      </c>
      <c r="H181" s="3">
        <f t="shared" si="6"/>
        <v>-147832.94</v>
      </c>
      <c r="I181" s="175">
        <f>H181-'[1]Aid Adjust'!$H181</f>
        <v>-10285.869999999995</v>
      </c>
    </row>
    <row r="182" spans="1:9" x14ac:dyDescent="0.2">
      <c r="A182" s="5">
        <v>578</v>
      </c>
      <c r="B182" s="5">
        <v>1</v>
      </c>
      <c r="C182" s="2" t="s">
        <v>179</v>
      </c>
      <c r="D182" s="2">
        <f>Shift10!D182-Shift11!D182</f>
        <v>-344022.86</v>
      </c>
      <c r="E182" s="2">
        <f>Shift10!E182-Shift11!E182</f>
        <v>-554293.27</v>
      </c>
      <c r="F182" s="2">
        <f t="shared" si="5"/>
        <v>-898316.13</v>
      </c>
      <c r="G182" s="2">
        <f>Shift10!M182-Shift11!M182</f>
        <v>-64311.82</v>
      </c>
      <c r="H182" s="3">
        <f t="shared" si="6"/>
        <v>-962627.95</v>
      </c>
      <c r="I182" s="175">
        <f>H182-'[1]Aid Adjust'!$H182</f>
        <v>-34726.589999999967</v>
      </c>
    </row>
    <row r="183" spans="1:9" x14ac:dyDescent="0.2">
      <c r="A183" s="5">
        <v>581</v>
      </c>
      <c r="B183" s="5">
        <v>1</v>
      </c>
      <c r="C183" s="2" t="s">
        <v>180</v>
      </c>
      <c r="D183" s="2">
        <f>Shift10!D183-Shift11!D183</f>
        <v>-77229.23</v>
      </c>
      <c r="E183" s="2">
        <f>Shift10!E183-Shift11!E183</f>
        <v>-74216.31</v>
      </c>
      <c r="F183" s="2">
        <f t="shared" si="5"/>
        <v>-151445.53999999998</v>
      </c>
      <c r="G183" s="2">
        <f>Shift10!M183-Shift11!M183</f>
        <v>-15552.52</v>
      </c>
      <c r="H183" s="3">
        <f t="shared" si="6"/>
        <v>-166998.05999999997</v>
      </c>
      <c r="I183" s="175">
        <f>H183-'[1]Aid Adjust'!$H183</f>
        <v>-14862.949999999953</v>
      </c>
    </row>
    <row r="184" spans="1:9" x14ac:dyDescent="0.2">
      <c r="A184" s="5">
        <v>592</v>
      </c>
      <c r="B184" s="5">
        <v>1</v>
      </c>
      <c r="C184" s="2" t="s">
        <v>181</v>
      </c>
      <c r="D184" s="2">
        <f>Shift10!D184-Shift11!D184</f>
        <v>-31051.11</v>
      </c>
      <c r="E184" s="2">
        <f>Shift10!E184-Shift11!E184</f>
        <v>-6928.0599999999977</v>
      </c>
      <c r="F184" s="2">
        <f t="shared" si="5"/>
        <v>-37979.17</v>
      </c>
      <c r="G184" s="2">
        <f>Shift10!M184-Shift11!M184</f>
        <v>-5787.22</v>
      </c>
      <c r="H184" s="3">
        <f t="shared" si="6"/>
        <v>-43766.39</v>
      </c>
      <c r="I184" s="175">
        <f>H184-'[1]Aid Adjust'!$H184</f>
        <v>-4253.3399999999965</v>
      </c>
    </row>
    <row r="185" spans="1:9" x14ac:dyDescent="0.2">
      <c r="A185" s="5">
        <v>593</v>
      </c>
      <c r="B185" s="5">
        <v>1</v>
      </c>
      <c r="C185" s="2" t="s">
        <v>182</v>
      </c>
      <c r="D185" s="2">
        <f>Shift10!D185-Shift11!D185</f>
        <v>-295885.15999999997</v>
      </c>
      <c r="E185" s="2">
        <f>Shift10!E185-Shift11!E185</f>
        <v>-215368.12</v>
      </c>
      <c r="F185" s="2">
        <f t="shared" si="5"/>
        <v>-511253.27999999997</v>
      </c>
      <c r="G185" s="2">
        <f>Shift10!M185-Shift11!M185</f>
        <v>-61997.8</v>
      </c>
      <c r="H185" s="3">
        <f t="shared" si="6"/>
        <v>-573251.07999999996</v>
      </c>
      <c r="I185" s="175">
        <f>H185-'[1]Aid Adjust'!$H185</f>
        <v>-23082.899999999907</v>
      </c>
    </row>
    <row r="186" spans="1:9" x14ac:dyDescent="0.2">
      <c r="A186" s="5">
        <v>595</v>
      </c>
      <c r="B186" s="5">
        <v>1</v>
      </c>
      <c r="C186" s="2" t="s">
        <v>183</v>
      </c>
      <c r="D186" s="2">
        <f>Shift10!D186-Shift11!D186</f>
        <v>-295676.25</v>
      </c>
      <c r="E186" s="2">
        <f>Shift10!E186-Shift11!E186</f>
        <v>-345638.88</v>
      </c>
      <c r="F186" s="2">
        <f t="shared" si="5"/>
        <v>-641315.13</v>
      </c>
      <c r="G186" s="2">
        <f>Shift10!M186-Shift11!M186</f>
        <v>-53278.87</v>
      </c>
      <c r="H186" s="3">
        <f t="shared" si="6"/>
        <v>-694594</v>
      </c>
      <c r="I186" s="175">
        <f>H186-'[1]Aid Adjust'!$H186</f>
        <v>-55372.589999999967</v>
      </c>
    </row>
    <row r="187" spans="1:9" x14ac:dyDescent="0.2">
      <c r="A187" s="5">
        <v>599</v>
      </c>
      <c r="B187" s="5">
        <v>1</v>
      </c>
      <c r="C187" s="2" t="s">
        <v>184</v>
      </c>
      <c r="D187" s="2">
        <f>Shift10!D187-Shift11!D187</f>
        <v>-115641.2</v>
      </c>
      <c r="E187" s="2">
        <f>Shift10!E187-Shift11!E187</f>
        <v>-172683.17</v>
      </c>
      <c r="F187" s="2">
        <f t="shared" si="5"/>
        <v>-288324.37</v>
      </c>
      <c r="G187" s="2">
        <f>Shift10!M187-Shift11!M187</f>
        <v>-19140.11</v>
      </c>
      <c r="H187" s="3">
        <f t="shared" si="6"/>
        <v>-307464.48</v>
      </c>
      <c r="I187" s="175">
        <f>H187-'[1]Aid Adjust'!$H187</f>
        <v>-10400.479999999981</v>
      </c>
    </row>
    <row r="188" spans="1:9" x14ac:dyDescent="0.2">
      <c r="A188" s="5">
        <v>600</v>
      </c>
      <c r="B188" s="5">
        <v>1</v>
      </c>
      <c r="C188" s="2" t="s">
        <v>185</v>
      </c>
      <c r="D188" s="2">
        <f>Shift10!D188-Shift11!D188</f>
        <v>-49641.29</v>
      </c>
      <c r="E188" s="2">
        <f>Shift10!E188-Shift11!E188</f>
        <v>0</v>
      </c>
      <c r="F188" s="2">
        <f t="shared" si="5"/>
        <v>-49641.29</v>
      </c>
      <c r="G188" s="2">
        <f>Shift10!M188-Shift11!M188</f>
        <v>-9239.8700000000008</v>
      </c>
      <c r="H188" s="3">
        <f t="shared" si="6"/>
        <v>-58881.16</v>
      </c>
      <c r="I188" s="175">
        <f>H188-'[1]Aid Adjust'!$H188</f>
        <v>-2595.3000000000029</v>
      </c>
    </row>
    <row r="189" spans="1:9" x14ac:dyDescent="0.2">
      <c r="A189" s="5">
        <v>601</v>
      </c>
      <c r="B189" s="5">
        <v>1</v>
      </c>
      <c r="C189" s="2" t="s">
        <v>186</v>
      </c>
      <c r="D189" s="2">
        <f>Shift10!D189-Shift11!D189</f>
        <v>-131241.43</v>
      </c>
      <c r="E189" s="2">
        <f>Shift10!E189-Shift11!E189</f>
        <v>-102985.76999999999</v>
      </c>
      <c r="F189" s="2">
        <f t="shared" si="5"/>
        <v>-234227.19999999998</v>
      </c>
      <c r="G189" s="2">
        <f>Shift10!M189-Shift11!M189</f>
        <v>-21009.97</v>
      </c>
      <c r="H189" s="3">
        <f t="shared" si="6"/>
        <v>-255237.16999999998</v>
      </c>
      <c r="I189" s="175">
        <f>H189-'[1]Aid Adjust'!$H189</f>
        <v>-18575.479999999981</v>
      </c>
    </row>
    <row r="190" spans="1:9" x14ac:dyDescent="0.2">
      <c r="A190" s="5">
        <v>611</v>
      </c>
      <c r="B190" s="5">
        <v>1</v>
      </c>
      <c r="C190" s="2" t="s">
        <v>187</v>
      </c>
      <c r="D190" s="2">
        <f>Shift10!D190-Shift11!D190</f>
        <v>-10629.31</v>
      </c>
      <c r="E190" s="2">
        <f>Shift10!E190-Shift11!E190</f>
        <v>0</v>
      </c>
      <c r="F190" s="2">
        <f t="shared" si="5"/>
        <v>-10629.31</v>
      </c>
      <c r="G190" s="2">
        <f>Shift10!M190-Shift11!M190</f>
        <v>-8381.07</v>
      </c>
      <c r="H190" s="3">
        <f t="shared" si="6"/>
        <v>-19010.379999999997</v>
      </c>
      <c r="I190" s="175">
        <f>H190-'[1]Aid Adjust'!$H190</f>
        <v>-4817.489999999998</v>
      </c>
    </row>
    <row r="191" spans="1:9" x14ac:dyDescent="0.2">
      <c r="A191" s="5">
        <v>621</v>
      </c>
      <c r="B191" s="5">
        <v>1</v>
      </c>
      <c r="C191" s="2" t="s">
        <v>188</v>
      </c>
      <c r="D191" s="2">
        <f>Shift10!D191-Shift11!D191</f>
        <v>-3757031.66</v>
      </c>
      <c r="E191" s="2">
        <f>Shift10!E191-Shift11!E191</f>
        <v>-5966012.5899999999</v>
      </c>
      <c r="F191" s="2">
        <f t="shared" si="5"/>
        <v>-9723044.25</v>
      </c>
      <c r="G191" s="2">
        <f>Shift10!M191-Shift11!M191</f>
        <v>-519152</v>
      </c>
      <c r="H191" s="3">
        <f t="shared" si="6"/>
        <v>-10242196.25</v>
      </c>
      <c r="I191" s="175">
        <f>H191-'[1]Aid Adjust'!$H191</f>
        <v>-123910.16999999806</v>
      </c>
    </row>
    <row r="192" spans="1:9" x14ac:dyDescent="0.2">
      <c r="A192" s="5">
        <v>622</v>
      </c>
      <c r="B192" s="5">
        <v>1</v>
      </c>
      <c r="C192" s="2" t="s">
        <v>189</v>
      </c>
      <c r="D192" s="2">
        <f>Shift10!D192-Shift11!D192</f>
        <v>-3868464.3</v>
      </c>
      <c r="E192" s="2">
        <f>Shift10!E192-Shift11!E192</f>
        <v>-2535329.2700000005</v>
      </c>
      <c r="F192" s="2">
        <f t="shared" si="5"/>
        <v>-6403793.5700000003</v>
      </c>
      <c r="G192" s="2">
        <f>Shift10!M192-Shift11!M192</f>
        <v>-745201.78</v>
      </c>
      <c r="H192" s="3">
        <f t="shared" si="6"/>
        <v>-7148995.3500000006</v>
      </c>
      <c r="I192" s="175">
        <f>H192-'[1]Aid Adjust'!$H192</f>
        <v>-162446.81000000052</v>
      </c>
    </row>
    <row r="193" spans="1:9" x14ac:dyDescent="0.2">
      <c r="A193" s="5">
        <v>623</v>
      </c>
      <c r="B193" s="5">
        <v>1</v>
      </c>
      <c r="C193" s="2" t="s">
        <v>190</v>
      </c>
      <c r="D193" s="2">
        <f>Shift10!D193-Shift11!D193</f>
        <v>-2320942.62</v>
      </c>
      <c r="E193" s="2">
        <f>Shift10!E193-Shift11!E193</f>
        <v>-2604241.7199999997</v>
      </c>
      <c r="F193" s="2">
        <f t="shared" si="5"/>
        <v>-4925184.34</v>
      </c>
      <c r="G193" s="2">
        <f>Shift10!M193-Shift11!M193</f>
        <v>-417599.87</v>
      </c>
      <c r="H193" s="3">
        <f t="shared" si="6"/>
        <v>-5342784.21</v>
      </c>
      <c r="I193" s="175">
        <f>H193-'[1]Aid Adjust'!$H193</f>
        <v>-88431.660000000149</v>
      </c>
    </row>
    <row r="194" spans="1:9" x14ac:dyDescent="0.2">
      <c r="A194" s="5">
        <v>624</v>
      </c>
      <c r="B194" s="5">
        <v>1</v>
      </c>
      <c r="C194" s="2" t="s">
        <v>191</v>
      </c>
      <c r="D194" s="2">
        <f>Shift10!D194-Shift11!D194</f>
        <v>-2322620.62</v>
      </c>
      <c r="E194" s="2">
        <f>Shift10!E194-Shift11!E194</f>
        <v>-6524154.5800000001</v>
      </c>
      <c r="F194" s="2">
        <f t="shared" si="5"/>
        <v>-8846775.1999999993</v>
      </c>
      <c r="G194" s="2">
        <f>Shift10!M194-Shift11!M194</f>
        <v>-412764.17</v>
      </c>
      <c r="H194" s="3">
        <f t="shared" si="6"/>
        <v>-9259539.3699999992</v>
      </c>
      <c r="I194" s="175">
        <f>H194-'[1]Aid Adjust'!$H194</f>
        <v>-114099.75</v>
      </c>
    </row>
    <row r="195" spans="1:9" x14ac:dyDescent="0.2">
      <c r="A195" s="5">
        <v>625</v>
      </c>
      <c r="B195" s="5">
        <v>1</v>
      </c>
      <c r="C195" s="2" t="s">
        <v>192</v>
      </c>
      <c r="D195" s="2">
        <f>Shift10!D195-Shift11!D195</f>
        <v>-14912367.77</v>
      </c>
      <c r="E195" s="2">
        <f>Shift10!E195-Shift11!E195</f>
        <v>-10563144.77</v>
      </c>
      <c r="F195" s="2">
        <f t="shared" si="5"/>
        <v>-25475512.539999999</v>
      </c>
      <c r="G195" s="2">
        <f>Shift10!M195-Shift11!M195</f>
        <v>-1735783.02</v>
      </c>
      <c r="H195" s="3">
        <f t="shared" si="6"/>
        <v>-27211295.559999999</v>
      </c>
      <c r="I195" s="175">
        <f>H195-'[1]Aid Adjust'!$H195</f>
        <v>-716823.8599999994</v>
      </c>
    </row>
    <row r="196" spans="1:9" x14ac:dyDescent="0.2">
      <c r="A196" s="5">
        <v>627</v>
      </c>
      <c r="B196" s="5">
        <v>1</v>
      </c>
      <c r="C196" s="2" t="s">
        <v>193</v>
      </c>
      <c r="D196" s="2">
        <f>Shift10!D196-Shift11!D196</f>
        <v>-66246.98</v>
      </c>
      <c r="E196" s="2">
        <f>Shift10!E196-Shift11!E196</f>
        <v>0</v>
      </c>
      <c r="F196" s="2">
        <f t="shared" si="5"/>
        <v>-66246.98</v>
      </c>
      <c r="G196" s="2">
        <f>Shift10!M196-Shift11!M196</f>
        <v>-8186.18</v>
      </c>
      <c r="H196" s="3">
        <f t="shared" si="6"/>
        <v>-74433.16</v>
      </c>
      <c r="I196" s="175">
        <f>H196-'[1]Aid Adjust'!$H196</f>
        <v>-8253.7799999999988</v>
      </c>
    </row>
    <row r="197" spans="1:9" x14ac:dyDescent="0.2">
      <c r="A197" s="5">
        <v>628</v>
      </c>
      <c r="B197" s="5">
        <v>1</v>
      </c>
      <c r="C197" s="2" t="s">
        <v>194</v>
      </c>
      <c r="D197" s="2">
        <f>Shift10!D197-Shift11!D197</f>
        <v>-29141.87</v>
      </c>
      <c r="E197" s="2">
        <f>Shift10!E197-Shift11!E197</f>
        <v>-56225.87000000001</v>
      </c>
      <c r="F197" s="2">
        <f t="shared" ref="F197:F260" si="7">D197+E197</f>
        <v>-85367.74</v>
      </c>
      <c r="G197" s="2">
        <f>Shift10!M197-Shift11!M197</f>
        <v>-16712.080000000002</v>
      </c>
      <c r="H197" s="3">
        <f t="shared" ref="H197:H260" si="8">SUM(F197:G197)</f>
        <v>-102079.82</v>
      </c>
      <c r="I197" s="175">
        <f>H197-'[1]Aid Adjust'!$H197</f>
        <v>-5743.4800000000105</v>
      </c>
    </row>
    <row r="198" spans="1:9" x14ac:dyDescent="0.2">
      <c r="A198" s="5">
        <v>630</v>
      </c>
      <c r="B198" s="5">
        <v>1</v>
      </c>
      <c r="C198" s="2" t="s">
        <v>195</v>
      </c>
      <c r="D198" s="2">
        <f>Shift10!D198-Shift11!D198</f>
        <v>-53214.81</v>
      </c>
      <c r="E198" s="2">
        <f>Shift10!E198-Shift11!E198</f>
        <v>-132397.18</v>
      </c>
      <c r="F198" s="2">
        <f t="shared" si="7"/>
        <v>-185611.99</v>
      </c>
      <c r="G198" s="2">
        <f>Shift10!M198-Shift11!M198</f>
        <v>-9403.1299999999992</v>
      </c>
      <c r="H198" s="3">
        <f t="shared" si="8"/>
        <v>-195015.12</v>
      </c>
      <c r="I198" s="175">
        <f>H198-'[1]Aid Adjust'!$H198</f>
        <v>-11459.929999999993</v>
      </c>
    </row>
    <row r="199" spans="1:9" x14ac:dyDescent="0.2">
      <c r="A199" s="5">
        <v>635</v>
      </c>
      <c r="B199" s="5">
        <v>1</v>
      </c>
      <c r="C199" s="2" t="s">
        <v>196</v>
      </c>
      <c r="D199" s="2">
        <f>Shift10!D199-Shift11!D199</f>
        <v>-26941.41</v>
      </c>
      <c r="E199" s="2">
        <f>Shift10!E199-Shift11!E199</f>
        <v>-13912.939999999995</v>
      </c>
      <c r="F199" s="2">
        <f t="shared" si="7"/>
        <v>-40854.349999999991</v>
      </c>
      <c r="G199" s="2">
        <f>Shift10!M199-Shift11!M199</f>
        <v>-6217.88</v>
      </c>
      <c r="H199" s="3">
        <f t="shared" si="8"/>
        <v>-47072.229999999989</v>
      </c>
      <c r="I199" s="175">
        <f>H199-'[1]Aid Adjust'!$H199</f>
        <v>-3793.0199999999895</v>
      </c>
    </row>
    <row r="200" spans="1:9" x14ac:dyDescent="0.2">
      <c r="A200" s="5">
        <v>640</v>
      </c>
      <c r="B200" s="5">
        <v>1</v>
      </c>
      <c r="C200" s="2" t="s">
        <v>197</v>
      </c>
      <c r="D200" s="2">
        <f>Shift10!D200-Shift11!D200</f>
        <v>-109847.28</v>
      </c>
      <c r="E200" s="2">
        <f>Shift10!E200-Shift11!E200</f>
        <v>-83777.009999999995</v>
      </c>
      <c r="F200" s="2">
        <f t="shared" si="7"/>
        <v>-193624.28999999998</v>
      </c>
      <c r="G200" s="2">
        <f>Shift10!M200-Shift11!M200</f>
        <v>-20377.490000000002</v>
      </c>
      <c r="H200" s="3">
        <f t="shared" si="8"/>
        <v>-214001.77999999997</v>
      </c>
      <c r="I200" s="175">
        <f>H200-'[1]Aid Adjust'!$H200</f>
        <v>-9690.0299999999988</v>
      </c>
    </row>
    <row r="201" spans="1:9" x14ac:dyDescent="0.2">
      <c r="A201" s="5">
        <v>656</v>
      </c>
      <c r="B201" s="5">
        <v>1</v>
      </c>
      <c r="C201" s="2" t="s">
        <v>198</v>
      </c>
      <c r="D201" s="2">
        <f>Shift10!D201-Shift11!D201</f>
        <v>-904360.36</v>
      </c>
      <c r="E201" s="2">
        <f>Shift10!E201-Shift11!E201</f>
        <v>-526859.33000000007</v>
      </c>
      <c r="F201" s="2">
        <f t="shared" si="7"/>
        <v>-1431219.69</v>
      </c>
      <c r="G201" s="2">
        <f>Shift10!M201-Shift11!M201</f>
        <v>-171063.74</v>
      </c>
      <c r="H201" s="3">
        <f t="shared" si="8"/>
        <v>-1602283.43</v>
      </c>
      <c r="I201" s="175">
        <f>H201-'[1]Aid Adjust'!$H201</f>
        <v>-59817.260000000009</v>
      </c>
    </row>
    <row r="202" spans="1:9" x14ac:dyDescent="0.2">
      <c r="A202" s="5">
        <v>659</v>
      </c>
      <c r="B202" s="5">
        <v>1</v>
      </c>
      <c r="C202" s="2" t="s">
        <v>199</v>
      </c>
      <c r="D202" s="2">
        <f>Shift10!D202-Shift11!D202</f>
        <v>-1442999.31</v>
      </c>
      <c r="E202" s="2">
        <f>Shift10!E202-Shift11!E202</f>
        <v>-2144453.6799999997</v>
      </c>
      <c r="F202" s="2">
        <f t="shared" si="7"/>
        <v>-3587452.9899999998</v>
      </c>
      <c r="G202" s="2">
        <f>Shift10!M202-Shift11!M202</f>
        <v>-212088.15</v>
      </c>
      <c r="H202" s="3">
        <f t="shared" si="8"/>
        <v>-3799541.1399999997</v>
      </c>
      <c r="I202" s="175">
        <f>H202-'[1]Aid Adjust'!$H202</f>
        <v>-76093.439999999478</v>
      </c>
    </row>
    <row r="203" spans="1:9" x14ac:dyDescent="0.2">
      <c r="A203" s="5">
        <v>671</v>
      </c>
      <c r="B203" s="5">
        <v>1</v>
      </c>
      <c r="C203" s="2" t="s">
        <v>200</v>
      </c>
      <c r="D203" s="2">
        <f>Shift10!D203-Shift11!D203</f>
        <v>-78204.960000000006</v>
      </c>
      <c r="E203" s="2">
        <f>Shift10!E203-Shift11!E203</f>
        <v>-17881.18</v>
      </c>
      <c r="F203" s="2">
        <f t="shared" si="7"/>
        <v>-96086.140000000014</v>
      </c>
      <c r="G203" s="2">
        <f>Shift10!M203-Shift11!M203</f>
        <v>-12900.94</v>
      </c>
      <c r="H203" s="3">
        <f t="shared" si="8"/>
        <v>-108987.08000000002</v>
      </c>
      <c r="I203" s="175">
        <f>H203-'[1]Aid Adjust'!$H203</f>
        <v>-3328.140000000014</v>
      </c>
    </row>
    <row r="204" spans="1:9" x14ac:dyDescent="0.2">
      <c r="A204" s="5">
        <v>676</v>
      </c>
      <c r="B204" s="5">
        <v>1</v>
      </c>
      <c r="C204" s="2" t="s">
        <v>201</v>
      </c>
      <c r="D204" s="2">
        <f>Shift10!D204-Shift11!D204</f>
        <v>-47825.62</v>
      </c>
      <c r="E204" s="2">
        <f>Shift10!E204-Shift11!E204</f>
        <v>0</v>
      </c>
      <c r="F204" s="2">
        <f t="shared" si="7"/>
        <v>-47825.62</v>
      </c>
      <c r="G204" s="2">
        <f>Shift10!M204-Shift11!M204</f>
        <v>-5402.86</v>
      </c>
      <c r="H204" s="3">
        <f t="shared" si="8"/>
        <v>-53228.480000000003</v>
      </c>
      <c r="I204" s="175">
        <f>H204-'[1]Aid Adjust'!$H204</f>
        <v>-7433.4700000000012</v>
      </c>
    </row>
    <row r="205" spans="1:9" x14ac:dyDescent="0.2">
      <c r="A205" s="5">
        <v>682</v>
      </c>
      <c r="B205" s="5">
        <v>1</v>
      </c>
      <c r="C205" s="2" t="s">
        <v>202</v>
      </c>
      <c r="D205" s="2">
        <f>Shift10!D205-Shift11!D205</f>
        <v>-205948.05</v>
      </c>
      <c r="E205" s="2">
        <f>Shift10!E205-Shift11!E205</f>
        <v>-102170.54000000001</v>
      </c>
      <c r="F205" s="2">
        <f t="shared" si="7"/>
        <v>-308118.58999999997</v>
      </c>
      <c r="G205" s="2">
        <f>Shift10!M205-Shift11!M205</f>
        <v>-42677.599999999999</v>
      </c>
      <c r="H205" s="3">
        <f t="shared" si="8"/>
        <v>-350796.18999999994</v>
      </c>
      <c r="I205" s="175">
        <f>H205-'[1]Aid Adjust'!$H205</f>
        <v>-25127.429999999993</v>
      </c>
    </row>
    <row r="206" spans="1:9" x14ac:dyDescent="0.2">
      <c r="A206" s="5">
        <v>690</v>
      </c>
      <c r="B206" s="5">
        <v>1</v>
      </c>
      <c r="C206" s="2" t="s">
        <v>203</v>
      </c>
      <c r="D206" s="2">
        <f>Shift10!D206-Shift11!D206</f>
        <v>-240737.69</v>
      </c>
      <c r="E206" s="2">
        <f>Shift10!E206-Shift11!E206</f>
        <v>-121242.78</v>
      </c>
      <c r="F206" s="2">
        <f t="shared" si="7"/>
        <v>-361980.47</v>
      </c>
      <c r="G206" s="2">
        <f>Shift10!M206-Shift11!M206</f>
        <v>-38414.9</v>
      </c>
      <c r="H206" s="3">
        <f t="shared" si="8"/>
        <v>-400395.37</v>
      </c>
      <c r="I206" s="175">
        <f>H206-'[1]Aid Adjust'!$H206</f>
        <v>-25099.790000000037</v>
      </c>
    </row>
    <row r="207" spans="1:9" x14ac:dyDescent="0.2">
      <c r="A207" s="5">
        <v>695</v>
      </c>
      <c r="B207" s="5">
        <v>1</v>
      </c>
      <c r="C207" s="2" t="s">
        <v>204</v>
      </c>
      <c r="D207" s="2">
        <f>Shift10!D207-Shift11!D207</f>
        <v>0</v>
      </c>
      <c r="E207" s="2">
        <f>Shift10!E207-Shift11!E207</f>
        <v>-161226.49</v>
      </c>
      <c r="F207" s="2">
        <f t="shared" si="7"/>
        <v>-161226.49</v>
      </c>
      <c r="G207" s="2">
        <f>Shift10!M207-Shift11!M207</f>
        <v>0</v>
      </c>
      <c r="H207" s="3">
        <f t="shared" si="8"/>
        <v>-161226.49</v>
      </c>
      <c r="I207" s="175">
        <f>H207-'[1]Aid Adjust'!$H207</f>
        <v>0</v>
      </c>
    </row>
    <row r="208" spans="1:9" x14ac:dyDescent="0.2">
      <c r="A208" s="5">
        <v>696</v>
      </c>
      <c r="B208" s="5">
        <v>1</v>
      </c>
      <c r="C208" s="2" t="s">
        <v>205</v>
      </c>
      <c r="D208" s="2">
        <f>Shift10!D208-Shift11!D208</f>
        <v>-365106.74</v>
      </c>
      <c r="E208" s="2">
        <f>Shift10!E208-Shift11!E208</f>
        <v>-109513.19</v>
      </c>
      <c r="F208" s="2">
        <f t="shared" si="7"/>
        <v>-474619.93</v>
      </c>
      <c r="G208" s="2">
        <f>Shift10!M208-Shift11!M208</f>
        <v>-10976.39</v>
      </c>
      <c r="H208" s="3">
        <f t="shared" si="8"/>
        <v>-485596.32</v>
      </c>
      <c r="I208" s="175">
        <f>H208-'[1]Aid Adjust'!$H208</f>
        <v>-61352.700000000012</v>
      </c>
    </row>
    <row r="209" spans="1:9" x14ac:dyDescent="0.2">
      <c r="A209" s="5">
        <v>698</v>
      </c>
      <c r="B209" s="5">
        <v>1</v>
      </c>
      <c r="C209" s="2" t="s">
        <v>206</v>
      </c>
      <c r="D209" s="2">
        <f>Shift10!D209-Shift11!D209</f>
        <v>-88456.7</v>
      </c>
      <c r="E209" s="2">
        <f>Shift10!E209-Shift11!E209</f>
        <v>0</v>
      </c>
      <c r="F209" s="2">
        <f t="shared" si="7"/>
        <v>-88456.7</v>
      </c>
      <c r="G209" s="2">
        <f>Shift10!M209-Shift11!M209</f>
        <v>-10869.69</v>
      </c>
      <c r="H209" s="3">
        <f t="shared" si="8"/>
        <v>-99326.39</v>
      </c>
      <c r="I209" s="175">
        <f>H209-'[1]Aid Adjust'!$H209</f>
        <v>-10295.020000000004</v>
      </c>
    </row>
    <row r="210" spans="1:9" x14ac:dyDescent="0.2">
      <c r="A210" s="5">
        <v>700</v>
      </c>
      <c r="B210" s="5">
        <v>1</v>
      </c>
      <c r="C210" s="2" t="s">
        <v>207</v>
      </c>
      <c r="D210" s="2">
        <f>Shift10!D210-Shift11!D210</f>
        <v>-616693.87</v>
      </c>
      <c r="E210" s="2">
        <f>Shift10!E210-Shift11!E210</f>
        <v>0</v>
      </c>
      <c r="F210" s="2">
        <f t="shared" si="7"/>
        <v>-616693.87</v>
      </c>
      <c r="G210" s="2">
        <f>Shift10!M210-Shift11!M210</f>
        <v>-66138.09</v>
      </c>
      <c r="H210" s="3">
        <f t="shared" si="8"/>
        <v>-682831.96</v>
      </c>
      <c r="I210" s="175">
        <f>H210-'[1]Aid Adjust'!$H210</f>
        <v>-39952.75</v>
      </c>
    </row>
    <row r="211" spans="1:9" x14ac:dyDescent="0.2">
      <c r="A211" s="5">
        <v>701</v>
      </c>
      <c r="B211" s="5">
        <v>1</v>
      </c>
      <c r="C211" s="2" t="s">
        <v>208</v>
      </c>
      <c r="D211" s="2">
        <f>Shift10!D211-Shift11!D211</f>
        <v>0</v>
      </c>
      <c r="E211" s="2">
        <f>Shift10!E211-Shift11!E211</f>
        <v>-503988.43</v>
      </c>
      <c r="F211" s="2">
        <f t="shared" si="7"/>
        <v>-503988.43</v>
      </c>
      <c r="G211" s="2">
        <f>Shift10!M211-Shift11!M211</f>
        <v>0</v>
      </c>
      <c r="H211" s="3">
        <f t="shared" si="8"/>
        <v>-503988.43</v>
      </c>
      <c r="I211" s="175">
        <f>H211-'[1]Aid Adjust'!$H211</f>
        <v>0</v>
      </c>
    </row>
    <row r="212" spans="1:9" x14ac:dyDescent="0.2">
      <c r="A212" s="5">
        <v>704</v>
      </c>
      <c r="B212" s="5">
        <v>1</v>
      </c>
      <c r="C212" s="2" t="s">
        <v>209</v>
      </c>
      <c r="D212" s="2">
        <f>Shift10!D212-Shift11!D212</f>
        <v>-559441.97</v>
      </c>
      <c r="E212" s="2">
        <f>Shift10!E212-Shift11!E212</f>
        <v>0</v>
      </c>
      <c r="F212" s="2">
        <f t="shared" si="7"/>
        <v>-559441.97</v>
      </c>
      <c r="G212" s="2">
        <f>Shift10!M212-Shift11!M212</f>
        <v>-69646.91</v>
      </c>
      <c r="H212" s="3">
        <f t="shared" si="8"/>
        <v>-629088.88</v>
      </c>
      <c r="I212" s="175">
        <f>H212-'[1]Aid Adjust'!$H212</f>
        <v>-53813.550000000047</v>
      </c>
    </row>
    <row r="213" spans="1:9" x14ac:dyDescent="0.2">
      <c r="A213" s="5">
        <v>706</v>
      </c>
      <c r="B213" s="5">
        <v>1</v>
      </c>
      <c r="C213" s="2" t="s">
        <v>210</v>
      </c>
      <c r="D213" s="2">
        <f>Shift10!D213-Shift11!D213</f>
        <v>-11796.59</v>
      </c>
      <c r="E213" s="2">
        <f>Shift10!E213-Shift11!E213</f>
        <v>-358122.63</v>
      </c>
      <c r="F213" s="2">
        <f t="shared" si="7"/>
        <v>-369919.22000000003</v>
      </c>
      <c r="G213" s="2">
        <f>Shift10!M213-Shift11!M213</f>
        <v>0</v>
      </c>
      <c r="H213" s="3">
        <f t="shared" si="8"/>
        <v>-369919.22000000003</v>
      </c>
      <c r="I213" s="175">
        <f>H213-'[1]Aid Adjust'!$H213</f>
        <v>-11796.590000000026</v>
      </c>
    </row>
    <row r="214" spans="1:9" x14ac:dyDescent="0.2">
      <c r="A214" s="5">
        <v>707</v>
      </c>
      <c r="B214" s="5">
        <v>1</v>
      </c>
      <c r="C214" s="2" t="s">
        <v>211</v>
      </c>
      <c r="D214" s="2">
        <f>Shift10!D214-Shift11!D214</f>
        <v>-9021.48</v>
      </c>
      <c r="E214" s="2">
        <f>Shift10!E214-Shift11!E214</f>
        <v>0</v>
      </c>
      <c r="F214" s="2">
        <f t="shared" si="7"/>
        <v>-9021.48</v>
      </c>
      <c r="G214" s="2">
        <f>Shift10!M214-Shift11!M214</f>
        <v>-826.09</v>
      </c>
      <c r="H214" s="3">
        <f t="shared" si="8"/>
        <v>-9847.57</v>
      </c>
      <c r="I214" s="175">
        <f>H214-'[1]Aid Adjust'!$H214</f>
        <v>5026.8600000000006</v>
      </c>
    </row>
    <row r="215" spans="1:9" x14ac:dyDescent="0.2">
      <c r="A215" s="5">
        <v>709</v>
      </c>
      <c r="B215" s="5">
        <v>1</v>
      </c>
      <c r="C215" s="2" t="s">
        <v>212</v>
      </c>
      <c r="D215" s="2">
        <f>Shift10!D215-Shift11!D215</f>
        <v>-2003408.01</v>
      </c>
      <c r="E215" s="2">
        <f>Shift10!E215-Shift11!E215</f>
        <v>-1801495.55</v>
      </c>
      <c r="F215" s="2">
        <f t="shared" si="7"/>
        <v>-3804903.56</v>
      </c>
      <c r="G215" s="2">
        <f>Shift10!M215-Shift11!M215</f>
        <v>-518821.32</v>
      </c>
      <c r="H215" s="3">
        <f t="shared" si="8"/>
        <v>-4323724.88</v>
      </c>
      <c r="I215" s="175">
        <f>H215-'[1]Aid Adjust'!$H215</f>
        <v>-409530.9299999997</v>
      </c>
    </row>
    <row r="216" spans="1:9" x14ac:dyDescent="0.2">
      <c r="A216" s="5">
        <v>712</v>
      </c>
      <c r="B216" s="5">
        <v>1</v>
      </c>
      <c r="C216" s="2" t="s">
        <v>213</v>
      </c>
      <c r="D216" s="2">
        <f>Shift10!D216-Shift11!D216</f>
        <v>0</v>
      </c>
      <c r="E216" s="2">
        <f>Shift10!E216-Shift11!E216</f>
        <v>-117731.77</v>
      </c>
      <c r="F216" s="2">
        <f t="shared" si="7"/>
        <v>-117731.77</v>
      </c>
      <c r="G216" s="2">
        <f>Shift10!M216-Shift11!M216</f>
        <v>0</v>
      </c>
      <c r="H216" s="3">
        <f t="shared" si="8"/>
        <v>-117731.77</v>
      </c>
      <c r="I216" s="175">
        <f>H216-'[1]Aid Adjust'!$H216</f>
        <v>0</v>
      </c>
    </row>
    <row r="217" spans="1:9" x14ac:dyDescent="0.2">
      <c r="A217" s="5">
        <v>716</v>
      </c>
      <c r="B217" s="5">
        <v>1</v>
      </c>
      <c r="C217" s="2" t="s">
        <v>214</v>
      </c>
      <c r="D217" s="2">
        <f>Shift10!D217-Shift11!D217</f>
        <v>-316305.88</v>
      </c>
      <c r="E217" s="2">
        <f>Shift10!E217-Shift11!E217</f>
        <v>-158841.96</v>
      </c>
      <c r="F217" s="2">
        <f t="shared" si="7"/>
        <v>-475147.83999999997</v>
      </c>
      <c r="G217" s="2">
        <f>Shift10!M217-Shift11!M217</f>
        <v>-65606.399999999994</v>
      </c>
      <c r="H217" s="3">
        <f t="shared" si="8"/>
        <v>-540754.24</v>
      </c>
      <c r="I217" s="175">
        <f>H217-'[1]Aid Adjust'!$H217</f>
        <v>-13240.020000000019</v>
      </c>
    </row>
    <row r="218" spans="1:9" x14ac:dyDescent="0.2">
      <c r="A218" s="5">
        <v>717</v>
      </c>
      <c r="B218" s="5">
        <v>1</v>
      </c>
      <c r="C218" s="2" t="s">
        <v>215</v>
      </c>
      <c r="D218" s="2">
        <f>Shift10!D218-Shift11!D218</f>
        <v>-350892.69</v>
      </c>
      <c r="E218" s="2">
        <f>Shift10!E218-Shift11!E218</f>
        <v>-464286.82</v>
      </c>
      <c r="F218" s="2">
        <f t="shared" si="7"/>
        <v>-815179.51</v>
      </c>
      <c r="G218" s="2">
        <f>Shift10!M218-Shift11!M218</f>
        <v>-63508.59</v>
      </c>
      <c r="H218" s="3">
        <f t="shared" si="8"/>
        <v>-878688.1</v>
      </c>
      <c r="I218" s="175">
        <f>H218-'[1]Aid Adjust'!$H218</f>
        <v>-11580.75</v>
      </c>
    </row>
    <row r="219" spans="1:9" x14ac:dyDescent="0.2">
      <c r="A219" s="5">
        <v>719</v>
      </c>
      <c r="B219" s="5">
        <v>1</v>
      </c>
      <c r="C219" s="2" t="s">
        <v>345</v>
      </c>
      <c r="D219" s="2">
        <f>Shift10!D219-Shift11!D219</f>
        <v>-1656983.96</v>
      </c>
      <c r="E219" s="2">
        <f>Shift10!E219-Shift11!E219</f>
        <v>-3077300.45</v>
      </c>
      <c r="F219" s="2">
        <f t="shared" si="7"/>
        <v>-4734284.41</v>
      </c>
      <c r="G219" s="2">
        <f>Shift10!M219-Shift11!M219</f>
        <v>-306929.84000000003</v>
      </c>
      <c r="H219" s="3">
        <f t="shared" si="8"/>
        <v>-5041214.25</v>
      </c>
      <c r="I219" s="175">
        <f>H219-'[1]Aid Adjust'!$H219</f>
        <v>-47018.669999999925</v>
      </c>
    </row>
    <row r="220" spans="1:9" x14ac:dyDescent="0.2">
      <c r="A220" s="5">
        <v>720</v>
      </c>
      <c r="B220" s="5">
        <v>1</v>
      </c>
      <c r="C220" s="2" t="s">
        <v>217</v>
      </c>
      <c r="D220" s="2">
        <f>Shift10!D220-Shift11!D220</f>
        <v>-1327397.81</v>
      </c>
      <c r="E220" s="2">
        <f>Shift10!E220-Shift11!E220</f>
        <v>-1565648.5</v>
      </c>
      <c r="F220" s="2">
        <f t="shared" si="7"/>
        <v>-2893046.31</v>
      </c>
      <c r="G220" s="2">
        <f>Shift10!M220-Shift11!M220</f>
        <v>-232311.27</v>
      </c>
      <c r="H220" s="3">
        <f t="shared" si="8"/>
        <v>-3125357.58</v>
      </c>
      <c r="I220" s="175">
        <f>H220-'[1]Aid Adjust'!$H220</f>
        <v>-33385.689999999944</v>
      </c>
    </row>
    <row r="221" spans="1:9" x14ac:dyDescent="0.2">
      <c r="A221" s="5">
        <v>721</v>
      </c>
      <c r="B221" s="5">
        <v>1</v>
      </c>
      <c r="C221" s="2" t="s">
        <v>218</v>
      </c>
      <c r="D221" s="2">
        <f>Shift10!D221-Shift11!D221</f>
        <v>-844714.73</v>
      </c>
      <c r="E221" s="2">
        <f>Shift10!E221-Shift11!E221</f>
        <v>-1251514.9100000001</v>
      </c>
      <c r="F221" s="2">
        <f t="shared" si="7"/>
        <v>-2096229.6400000001</v>
      </c>
      <c r="G221" s="2">
        <f>Shift10!M221-Shift11!M221</f>
        <v>-106273.60000000001</v>
      </c>
      <c r="H221" s="3">
        <f t="shared" si="8"/>
        <v>-2202503.2400000002</v>
      </c>
      <c r="I221" s="175">
        <f>H221-'[1]Aid Adjust'!$H221</f>
        <v>-36245.94000000041</v>
      </c>
    </row>
    <row r="222" spans="1:9" x14ac:dyDescent="0.2">
      <c r="A222" s="5">
        <v>726</v>
      </c>
      <c r="B222" s="5">
        <v>1</v>
      </c>
      <c r="C222" s="2" t="s">
        <v>219</v>
      </c>
      <c r="D222" s="2">
        <f>Shift10!D222-Shift11!D222</f>
        <v>-915638.75</v>
      </c>
      <c r="E222" s="2">
        <f>Shift10!E222-Shift11!E222</f>
        <v>-295785.60999999987</v>
      </c>
      <c r="F222" s="2">
        <f t="shared" si="7"/>
        <v>-1211424.3599999999</v>
      </c>
      <c r="G222" s="2">
        <f>Shift10!M222-Shift11!M222</f>
        <v>-93921.69</v>
      </c>
      <c r="H222" s="3">
        <f t="shared" si="8"/>
        <v>-1305346.0499999998</v>
      </c>
      <c r="I222" s="175">
        <f>H222-'[1]Aid Adjust'!$H222</f>
        <v>-25446.100000000093</v>
      </c>
    </row>
    <row r="223" spans="1:9" x14ac:dyDescent="0.2">
      <c r="A223" s="5">
        <v>727</v>
      </c>
      <c r="B223" s="5">
        <v>1</v>
      </c>
      <c r="C223" s="2" t="s">
        <v>220</v>
      </c>
      <c r="D223" s="2">
        <f>Shift10!D223-Shift11!D223</f>
        <v>-514529.42</v>
      </c>
      <c r="E223" s="2">
        <f>Shift10!E223-Shift11!E223</f>
        <v>-562382.24</v>
      </c>
      <c r="F223" s="2">
        <f t="shared" si="7"/>
        <v>-1076911.6599999999</v>
      </c>
      <c r="G223" s="2">
        <f>Shift10!M223-Shift11!M223</f>
        <v>-121563.61</v>
      </c>
      <c r="H223" s="3">
        <f t="shared" si="8"/>
        <v>-1198475.27</v>
      </c>
      <c r="I223" s="175">
        <f>H223-'[1]Aid Adjust'!$H223</f>
        <v>-30247.760000000009</v>
      </c>
    </row>
    <row r="224" spans="1:9" x14ac:dyDescent="0.2">
      <c r="A224" s="5">
        <v>728</v>
      </c>
      <c r="B224" s="5">
        <v>1</v>
      </c>
      <c r="C224" s="2" t="s">
        <v>221</v>
      </c>
      <c r="D224" s="2">
        <f>Shift10!D224-Shift11!D224</f>
        <v>-3740798.38</v>
      </c>
      <c r="E224" s="2">
        <f>Shift10!E224-Shift11!E224</f>
        <v>-3121132.08</v>
      </c>
      <c r="F224" s="2">
        <f t="shared" si="7"/>
        <v>-6861930.46</v>
      </c>
      <c r="G224" s="2">
        <f>Shift10!M224-Shift11!M224</f>
        <v>-419074.02</v>
      </c>
      <c r="H224" s="3">
        <f t="shared" si="8"/>
        <v>-7281004.4800000004</v>
      </c>
      <c r="I224" s="175">
        <f>H224-'[1]Aid Adjust'!$H224</f>
        <v>-155360.62000000104</v>
      </c>
    </row>
    <row r="225" spans="1:9" x14ac:dyDescent="0.2">
      <c r="A225" s="5">
        <v>738</v>
      </c>
      <c r="B225" s="5">
        <v>1</v>
      </c>
      <c r="C225" s="2" t="s">
        <v>222</v>
      </c>
      <c r="D225" s="2">
        <f>Shift10!D225-Shift11!D225</f>
        <v>-42158.57</v>
      </c>
      <c r="E225" s="2">
        <f>Shift10!E225-Shift11!E225</f>
        <v>-121763.21999999999</v>
      </c>
      <c r="F225" s="2">
        <f t="shared" si="7"/>
        <v>-163921.78999999998</v>
      </c>
      <c r="G225" s="2">
        <f>Shift10!M225-Shift11!M225</f>
        <v>-28284.18</v>
      </c>
      <c r="H225" s="3">
        <f t="shared" si="8"/>
        <v>-192205.96999999997</v>
      </c>
      <c r="I225" s="175">
        <f>H225-'[1]Aid Adjust'!$H225</f>
        <v>-5903.3800000000047</v>
      </c>
    </row>
    <row r="226" spans="1:9" x14ac:dyDescent="0.2">
      <c r="A226" s="5">
        <v>739</v>
      </c>
      <c r="B226" s="5">
        <v>1</v>
      </c>
      <c r="C226" s="2" t="s">
        <v>223</v>
      </c>
      <c r="D226" s="2">
        <f>Shift10!D226-Shift11!D226</f>
        <v>-164357.32</v>
      </c>
      <c r="E226" s="2">
        <f>Shift10!E226-Shift11!E226</f>
        <v>-275037.26</v>
      </c>
      <c r="F226" s="2">
        <f t="shared" si="7"/>
        <v>-439394.58</v>
      </c>
      <c r="G226" s="2">
        <f>Shift10!M226-Shift11!M226</f>
        <v>-31910.48</v>
      </c>
      <c r="H226" s="3">
        <f t="shared" si="8"/>
        <v>-471305.06</v>
      </c>
      <c r="I226" s="175">
        <f>H226-'[1]Aid Adjust'!$H226</f>
        <v>-13045.119999999995</v>
      </c>
    </row>
    <row r="227" spans="1:9" x14ac:dyDescent="0.2">
      <c r="A227" s="5">
        <v>740</v>
      </c>
      <c r="B227" s="5">
        <v>1</v>
      </c>
      <c r="C227" s="2" t="s">
        <v>224</v>
      </c>
      <c r="D227" s="2">
        <f>Shift10!D227-Shift11!D227</f>
        <v>-270868.83</v>
      </c>
      <c r="E227" s="2">
        <f>Shift10!E227-Shift11!E227</f>
        <v>-296563.93</v>
      </c>
      <c r="F227" s="2">
        <f t="shared" si="7"/>
        <v>-567432.76</v>
      </c>
      <c r="G227" s="2">
        <f>Shift10!M227-Shift11!M227</f>
        <v>-49428.09</v>
      </c>
      <c r="H227" s="3">
        <f t="shared" si="8"/>
        <v>-616860.85</v>
      </c>
      <c r="I227" s="175">
        <f>H227-'[1]Aid Adjust'!$H227</f>
        <v>-25793.449999999953</v>
      </c>
    </row>
    <row r="228" spans="1:9" x14ac:dyDescent="0.2">
      <c r="A228" s="5">
        <v>741</v>
      </c>
      <c r="B228" s="5">
        <v>1</v>
      </c>
      <c r="C228" s="2" t="s">
        <v>225</v>
      </c>
      <c r="D228" s="2">
        <f>Shift10!D228-Shift11!D228</f>
        <v>-217406.9</v>
      </c>
      <c r="E228" s="2">
        <f>Shift10!E228-Shift11!E228</f>
        <v>-135564.65999999997</v>
      </c>
      <c r="F228" s="2">
        <f t="shared" si="7"/>
        <v>-352971.55999999994</v>
      </c>
      <c r="G228" s="2">
        <f>Shift10!M228-Shift11!M228</f>
        <v>-38879.589999999997</v>
      </c>
      <c r="H228" s="3">
        <f t="shared" si="8"/>
        <v>-391851.14999999991</v>
      </c>
      <c r="I228" s="175">
        <f>H228-'[1]Aid Adjust'!$H228</f>
        <v>-16377.54999999993</v>
      </c>
    </row>
    <row r="229" spans="1:9" x14ac:dyDescent="0.2">
      <c r="A229" s="5">
        <v>742</v>
      </c>
      <c r="B229" s="5">
        <v>1</v>
      </c>
      <c r="C229" s="2" t="s">
        <v>226</v>
      </c>
      <c r="D229" s="2">
        <f>Shift10!D229-Shift11!D229</f>
        <v>-3678262.36</v>
      </c>
      <c r="E229" s="2">
        <f>Shift10!E229-Shift11!E229</f>
        <v>-1712057.95</v>
      </c>
      <c r="F229" s="2">
        <f t="shared" si="7"/>
        <v>-5390320.3099999996</v>
      </c>
      <c r="G229" s="2">
        <f>Shift10!M229-Shift11!M229</f>
        <v>-622030.99</v>
      </c>
      <c r="H229" s="3">
        <f t="shared" si="8"/>
        <v>-6012351.2999999998</v>
      </c>
      <c r="I229" s="175">
        <f>H229-'[1]Aid Adjust'!$H229</f>
        <v>-165660.95000000019</v>
      </c>
    </row>
    <row r="230" spans="1:9" x14ac:dyDescent="0.2">
      <c r="A230" s="5">
        <v>743</v>
      </c>
      <c r="B230" s="5">
        <v>1</v>
      </c>
      <c r="C230" s="2" t="s">
        <v>227</v>
      </c>
      <c r="D230" s="2">
        <f>Shift10!D230-Shift11!D230</f>
        <v>-123114.63</v>
      </c>
      <c r="E230" s="2">
        <f>Shift10!E230-Shift11!E230</f>
        <v>-487715.88</v>
      </c>
      <c r="F230" s="2">
        <f t="shared" si="7"/>
        <v>-610830.51</v>
      </c>
      <c r="G230" s="2">
        <f>Shift10!M230-Shift11!M230</f>
        <v>-42321.05</v>
      </c>
      <c r="H230" s="3">
        <f t="shared" si="8"/>
        <v>-653151.56000000006</v>
      </c>
      <c r="I230" s="175">
        <f>H230-'[1]Aid Adjust'!$H230</f>
        <v>-13500.190000000061</v>
      </c>
    </row>
    <row r="231" spans="1:9" x14ac:dyDescent="0.2">
      <c r="A231" s="5">
        <v>745</v>
      </c>
      <c r="B231" s="5">
        <v>1</v>
      </c>
      <c r="C231" s="2" t="s">
        <v>228</v>
      </c>
      <c r="D231" s="2">
        <f>Shift10!D231-Shift11!D231</f>
        <v>-225429.94</v>
      </c>
      <c r="E231" s="2">
        <f>Shift10!E231-Shift11!E231</f>
        <v>-203527.87000000002</v>
      </c>
      <c r="F231" s="2">
        <f t="shared" si="7"/>
        <v>-428957.81000000006</v>
      </c>
      <c r="G231" s="2">
        <f>Shift10!M231-Shift11!M231</f>
        <v>-48758.41</v>
      </c>
      <c r="H231" s="3">
        <f t="shared" si="8"/>
        <v>-477716.22000000009</v>
      </c>
      <c r="I231" s="175">
        <f>H231-'[1]Aid Adjust'!$H231</f>
        <v>-16659.890000000072</v>
      </c>
    </row>
    <row r="232" spans="1:9" x14ac:dyDescent="0.2">
      <c r="A232" s="5">
        <v>748</v>
      </c>
      <c r="B232" s="5">
        <v>1</v>
      </c>
      <c r="C232" s="2" t="s">
        <v>229</v>
      </c>
      <c r="D232" s="2">
        <f>Shift10!D232-Shift11!D232</f>
        <v>-518679.97</v>
      </c>
      <c r="E232" s="2">
        <f>Shift10!E232-Shift11!E232</f>
        <v>-317554.68000000005</v>
      </c>
      <c r="F232" s="2">
        <f t="shared" si="7"/>
        <v>-836234.65</v>
      </c>
      <c r="G232" s="2">
        <f>Shift10!M232-Shift11!M232</f>
        <v>-84020.81</v>
      </c>
      <c r="H232" s="3">
        <f t="shared" si="8"/>
        <v>-920255.46</v>
      </c>
      <c r="I232" s="175">
        <f>H232-'[1]Aid Adjust'!$H232</f>
        <v>-27869.819999999949</v>
      </c>
    </row>
    <row r="233" spans="1:9" x14ac:dyDescent="0.2">
      <c r="A233" s="5">
        <v>750</v>
      </c>
      <c r="B233" s="5">
        <v>1</v>
      </c>
      <c r="C233" s="2" t="s">
        <v>230</v>
      </c>
      <c r="D233" s="2">
        <f>Shift10!D233-Shift11!D233</f>
        <v>-487242.88</v>
      </c>
      <c r="E233" s="2">
        <f>Shift10!E233-Shift11!E233</f>
        <v>-420952.44</v>
      </c>
      <c r="F233" s="2">
        <f t="shared" si="7"/>
        <v>-908195.32000000007</v>
      </c>
      <c r="G233" s="2">
        <f>Shift10!M233-Shift11!M233</f>
        <v>-70715</v>
      </c>
      <c r="H233" s="3">
        <f t="shared" si="8"/>
        <v>-978910.32000000007</v>
      </c>
      <c r="I233" s="175">
        <f>H233-'[1]Aid Adjust'!$H233</f>
        <v>-24799.359999999986</v>
      </c>
    </row>
    <row r="234" spans="1:9" x14ac:dyDescent="0.2">
      <c r="A234" s="5">
        <v>756</v>
      </c>
      <c r="B234" s="5">
        <v>1</v>
      </c>
      <c r="C234" s="2" t="s">
        <v>231</v>
      </c>
      <c r="D234" s="2">
        <f>Shift10!D234-Shift11!D234</f>
        <v>-169116.9</v>
      </c>
      <c r="E234" s="2">
        <f>Shift10!E234-Shift11!E234</f>
        <v>-109780.26000000001</v>
      </c>
      <c r="F234" s="2">
        <f t="shared" si="7"/>
        <v>-278897.16000000003</v>
      </c>
      <c r="G234" s="2">
        <f>Shift10!M234-Shift11!M234</f>
        <v>-21848.47</v>
      </c>
      <c r="H234" s="3">
        <f t="shared" si="8"/>
        <v>-300745.63</v>
      </c>
      <c r="I234" s="175">
        <f>H234-'[1]Aid Adjust'!$H234</f>
        <v>-16429.900000000023</v>
      </c>
    </row>
    <row r="235" spans="1:9" x14ac:dyDescent="0.2">
      <c r="A235" s="5">
        <v>761</v>
      </c>
      <c r="B235" s="5">
        <v>1</v>
      </c>
      <c r="C235" s="2" t="s">
        <v>232</v>
      </c>
      <c r="D235" s="2">
        <f>Shift10!D235-Shift11!D235</f>
        <v>-979727.09</v>
      </c>
      <c r="E235" s="2">
        <f>Shift10!E235-Shift11!E235</f>
        <v>-1098470.2400000002</v>
      </c>
      <c r="F235" s="2">
        <f t="shared" si="7"/>
        <v>-2078197.33</v>
      </c>
      <c r="G235" s="2">
        <f>Shift10!M235-Shift11!M235</f>
        <v>-150770.48000000001</v>
      </c>
      <c r="H235" s="3">
        <f t="shared" si="8"/>
        <v>-2228967.81</v>
      </c>
      <c r="I235" s="175">
        <f>H235-'[1]Aid Adjust'!$H235</f>
        <v>-74311.709999999497</v>
      </c>
    </row>
    <row r="236" spans="1:9" x14ac:dyDescent="0.2">
      <c r="A236" s="5">
        <v>763</v>
      </c>
      <c r="B236" s="5">
        <v>1</v>
      </c>
      <c r="C236" s="2" t="s">
        <v>233</v>
      </c>
      <c r="D236" s="2">
        <f>Shift10!D236-Shift11!D236</f>
        <v>-109830.73</v>
      </c>
      <c r="E236" s="2">
        <f>Shift10!E236-Shift11!E236</f>
        <v>0</v>
      </c>
      <c r="F236" s="2">
        <f t="shared" si="7"/>
        <v>-109830.73</v>
      </c>
      <c r="G236" s="2">
        <f>Shift10!M236-Shift11!M236</f>
        <v>-16867.669999999998</v>
      </c>
      <c r="H236" s="3">
        <f t="shared" si="8"/>
        <v>-126698.4</v>
      </c>
      <c r="I236" s="175">
        <f>H236-'[1]Aid Adjust'!$H236</f>
        <v>-6774.6699999999837</v>
      </c>
    </row>
    <row r="237" spans="1:9" x14ac:dyDescent="0.2">
      <c r="A237" s="5">
        <v>768</v>
      </c>
      <c r="B237" s="5">
        <v>1</v>
      </c>
      <c r="C237" s="2" t="s">
        <v>234</v>
      </c>
      <c r="D237" s="2">
        <f>Shift10!D237-Shift11!D237</f>
        <v>-33460.129999999997</v>
      </c>
      <c r="E237" s="2">
        <f>Shift10!E237-Shift11!E237</f>
        <v>-54673.759999999995</v>
      </c>
      <c r="F237" s="2">
        <f t="shared" si="7"/>
        <v>-88133.889999999985</v>
      </c>
      <c r="G237" s="2">
        <f>Shift10!M237-Shift11!M237</f>
        <v>-7030.04</v>
      </c>
      <c r="H237" s="3">
        <f t="shared" si="8"/>
        <v>-95163.929999999978</v>
      </c>
      <c r="I237" s="175">
        <f>H237-'[1]Aid Adjust'!$H237</f>
        <v>-3909.5399999999936</v>
      </c>
    </row>
    <row r="238" spans="1:9" x14ac:dyDescent="0.2">
      <c r="A238" s="5">
        <v>769</v>
      </c>
      <c r="B238" s="5">
        <v>1</v>
      </c>
      <c r="C238" s="2" t="s">
        <v>235</v>
      </c>
      <c r="D238" s="2">
        <f>Shift10!D238-Shift11!D238</f>
        <v>-120161.72</v>
      </c>
      <c r="E238" s="2">
        <f>Shift10!E238-Shift11!E238</f>
        <v>-141176.35000000003</v>
      </c>
      <c r="F238" s="2">
        <f t="shared" si="7"/>
        <v>-261338.07000000004</v>
      </c>
      <c r="G238" s="2">
        <f>Shift10!M238-Shift11!M238</f>
        <v>-44888.5</v>
      </c>
      <c r="H238" s="3">
        <f t="shared" si="8"/>
        <v>-306226.57000000007</v>
      </c>
      <c r="I238" s="175">
        <f>H238-'[1]Aid Adjust'!$H238</f>
        <v>-12743.72000000003</v>
      </c>
    </row>
    <row r="239" spans="1:9" x14ac:dyDescent="0.2">
      <c r="A239" s="5">
        <v>771</v>
      </c>
      <c r="B239" s="5">
        <v>1</v>
      </c>
      <c r="C239" s="2" t="s">
        <v>236</v>
      </c>
      <c r="D239" s="2">
        <f>Shift10!D239-Shift11!D239</f>
        <v>-25531.9</v>
      </c>
      <c r="E239" s="2">
        <f>Shift10!E239-Shift11!E239</f>
        <v>-74142.73000000001</v>
      </c>
      <c r="F239" s="2">
        <f t="shared" si="7"/>
        <v>-99674.63</v>
      </c>
      <c r="G239" s="2">
        <f>Shift10!M239-Shift11!M239</f>
        <v>-12081.19</v>
      </c>
      <c r="H239" s="3">
        <f t="shared" si="8"/>
        <v>-111755.82</v>
      </c>
      <c r="I239" s="175">
        <f>H239-'[1]Aid Adjust'!$H239</f>
        <v>-5312.2599999999948</v>
      </c>
    </row>
    <row r="240" spans="1:9" x14ac:dyDescent="0.2">
      <c r="A240" s="5">
        <v>775</v>
      </c>
      <c r="B240" s="5">
        <v>1</v>
      </c>
      <c r="C240" s="2" t="s">
        <v>237</v>
      </c>
      <c r="D240" s="2">
        <f>Shift10!D240-Shift11!D240</f>
        <v>-154008.72</v>
      </c>
      <c r="E240" s="2">
        <f>Shift10!E240-Shift11!E240</f>
        <v>-40205.929999999993</v>
      </c>
      <c r="F240" s="2">
        <f t="shared" si="7"/>
        <v>-194214.65</v>
      </c>
      <c r="G240" s="2">
        <f>Shift10!M240-Shift11!M240</f>
        <v>-20982.23</v>
      </c>
      <c r="H240" s="3">
        <f t="shared" si="8"/>
        <v>-215196.88</v>
      </c>
      <c r="I240" s="175">
        <f>H240-'[1]Aid Adjust'!$H240</f>
        <v>-11152.310000000027</v>
      </c>
    </row>
    <row r="241" spans="1:9" x14ac:dyDescent="0.2">
      <c r="A241" s="5">
        <v>777</v>
      </c>
      <c r="B241" s="5">
        <v>1</v>
      </c>
      <c r="C241" s="2" t="s">
        <v>238</v>
      </c>
      <c r="D241" s="2">
        <f>Shift10!D241-Shift11!D241</f>
        <v>-199845.5</v>
      </c>
      <c r="E241" s="2">
        <f>Shift10!E241-Shift11!E241</f>
        <v>-99490.00999999998</v>
      </c>
      <c r="F241" s="2">
        <f t="shared" si="7"/>
        <v>-299335.51</v>
      </c>
      <c r="G241" s="2">
        <f>Shift10!M241-Shift11!M241</f>
        <v>-36517.279999999999</v>
      </c>
      <c r="H241" s="3">
        <f t="shared" si="8"/>
        <v>-335852.79000000004</v>
      </c>
      <c r="I241" s="175">
        <f>H241-'[1]Aid Adjust'!$H241</f>
        <v>-17764.150000000081</v>
      </c>
    </row>
    <row r="242" spans="1:9" x14ac:dyDescent="0.2">
      <c r="A242" s="5">
        <v>786</v>
      </c>
      <c r="B242" s="5">
        <v>1</v>
      </c>
      <c r="C242" s="2" t="s">
        <v>239</v>
      </c>
      <c r="D242" s="2">
        <f>Shift10!D242-Shift11!D242</f>
        <v>-73169.600000000006</v>
      </c>
      <c r="E242" s="2">
        <f>Shift10!E242-Shift11!E242</f>
        <v>-38429.980000000003</v>
      </c>
      <c r="F242" s="2">
        <f t="shared" si="7"/>
        <v>-111599.58000000002</v>
      </c>
      <c r="G242" s="2">
        <f>Shift10!M242-Shift11!M242</f>
        <v>-23580.23</v>
      </c>
      <c r="H242" s="3">
        <f t="shared" si="8"/>
        <v>-135179.81000000003</v>
      </c>
      <c r="I242" s="175">
        <f>H242-'[1]Aid Adjust'!$H242</f>
        <v>-14736.900000000023</v>
      </c>
    </row>
    <row r="243" spans="1:9" x14ac:dyDescent="0.2">
      <c r="A243" s="5">
        <v>787</v>
      </c>
      <c r="B243" s="5">
        <v>1</v>
      </c>
      <c r="C243" s="2" t="s">
        <v>240</v>
      </c>
      <c r="D243" s="2">
        <f>Shift10!D243-Shift11!D243</f>
        <v>-71467.59</v>
      </c>
      <c r="E243" s="2">
        <f>Shift10!E243-Shift11!E243</f>
        <v>0</v>
      </c>
      <c r="F243" s="2">
        <f t="shared" si="7"/>
        <v>-71467.59</v>
      </c>
      <c r="G243" s="2">
        <f>Shift10!M243-Shift11!M243</f>
        <v>-12193.74</v>
      </c>
      <c r="H243" s="3">
        <f t="shared" si="8"/>
        <v>-83661.33</v>
      </c>
      <c r="I243" s="175">
        <f>H243-'[1]Aid Adjust'!$H243</f>
        <v>-10200.490000000005</v>
      </c>
    </row>
    <row r="244" spans="1:9" x14ac:dyDescent="0.2">
      <c r="A244" s="5">
        <v>801</v>
      </c>
      <c r="B244" s="5">
        <v>1</v>
      </c>
      <c r="C244" s="2" t="s">
        <v>241</v>
      </c>
      <c r="D244" s="2">
        <f>Shift10!D244-Shift11!D244</f>
        <v>-20296.75</v>
      </c>
      <c r="E244" s="2">
        <f>Shift10!E244-Shift11!E244</f>
        <v>0</v>
      </c>
      <c r="F244" s="2">
        <f t="shared" si="7"/>
        <v>-20296.75</v>
      </c>
      <c r="G244" s="2">
        <f>Shift10!M244-Shift11!M244</f>
        <v>-6461.93</v>
      </c>
      <c r="H244" s="3">
        <f t="shared" si="8"/>
        <v>-26758.68</v>
      </c>
      <c r="I244" s="175">
        <f>H244-'[1]Aid Adjust'!$H244</f>
        <v>-3102.880000000001</v>
      </c>
    </row>
    <row r="245" spans="1:9" x14ac:dyDescent="0.2">
      <c r="A245" s="5">
        <v>803</v>
      </c>
      <c r="B245" s="5">
        <v>1</v>
      </c>
      <c r="C245" s="2" t="s">
        <v>242</v>
      </c>
      <c r="D245" s="2">
        <f>Shift10!D245-Shift11!D245</f>
        <v>-80147.63</v>
      </c>
      <c r="E245" s="2">
        <f>Shift10!E245-Shift11!E245</f>
        <v>0</v>
      </c>
      <c r="F245" s="2">
        <f t="shared" si="7"/>
        <v>-80147.63</v>
      </c>
      <c r="G245" s="2">
        <f>Shift10!M245-Shift11!M245</f>
        <v>-15372.88</v>
      </c>
      <c r="H245" s="3">
        <f t="shared" si="8"/>
        <v>-95520.510000000009</v>
      </c>
      <c r="I245" s="175">
        <f>H245-'[1]Aid Adjust'!$H245</f>
        <v>-10695.839999999997</v>
      </c>
    </row>
    <row r="246" spans="1:9" x14ac:dyDescent="0.2">
      <c r="A246" s="5">
        <v>811</v>
      </c>
      <c r="B246" s="5">
        <v>1</v>
      </c>
      <c r="C246" s="2" t="s">
        <v>243</v>
      </c>
      <c r="D246" s="2">
        <f>Shift10!D246-Shift11!D246</f>
        <v>-142632.35999999999</v>
      </c>
      <c r="E246" s="2">
        <f>Shift10!E246-Shift11!E246</f>
        <v>-370398.69999999995</v>
      </c>
      <c r="F246" s="2">
        <f t="shared" si="7"/>
        <v>-513031.05999999994</v>
      </c>
      <c r="G246" s="2">
        <f>Shift10!M246-Shift11!M246</f>
        <v>-35124.68</v>
      </c>
      <c r="H246" s="3">
        <f t="shared" si="8"/>
        <v>-548155.74</v>
      </c>
      <c r="I246" s="175">
        <f>H246-'[1]Aid Adjust'!$H246</f>
        <v>-12842.620000000112</v>
      </c>
    </row>
    <row r="247" spans="1:9" x14ac:dyDescent="0.2">
      <c r="A247" s="5">
        <v>813</v>
      </c>
      <c r="B247" s="5">
        <v>1</v>
      </c>
      <c r="C247" s="2" t="s">
        <v>244</v>
      </c>
      <c r="D247" s="2">
        <f>Shift10!D247-Shift11!D247</f>
        <v>-192688.25</v>
      </c>
      <c r="E247" s="2">
        <f>Shift10!E247-Shift11!E247</f>
        <v>-575305.9</v>
      </c>
      <c r="F247" s="2">
        <f t="shared" si="7"/>
        <v>-767994.15</v>
      </c>
      <c r="G247" s="2">
        <f>Shift10!M247-Shift11!M247</f>
        <v>-56186.95</v>
      </c>
      <c r="H247" s="3">
        <f t="shared" si="8"/>
        <v>-824181.1</v>
      </c>
      <c r="I247" s="175">
        <f>H247-'[1]Aid Adjust'!$H247</f>
        <v>-11947.859999999986</v>
      </c>
    </row>
    <row r="248" spans="1:9" x14ac:dyDescent="0.2">
      <c r="A248" s="5">
        <v>815</v>
      </c>
      <c r="B248" s="5">
        <v>2</v>
      </c>
      <c r="C248" s="2" t="s">
        <v>245</v>
      </c>
      <c r="D248" s="2">
        <f>Shift10!D248-Shift11!D248</f>
        <v>0</v>
      </c>
      <c r="E248" s="2">
        <f>Shift10!E248-Shift11!E248</f>
        <v>-10892.41</v>
      </c>
      <c r="F248" s="2">
        <f t="shared" si="7"/>
        <v>-10892.41</v>
      </c>
      <c r="G248" s="2">
        <f>Shift10!M248-Shift11!M248</f>
        <v>0</v>
      </c>
      <c r="H248" s="3">
        <f t="shared" si="8"/>
        <v>-10892.41</v>
      </c>
      <c r="I248" s="175">
        <f>H248-'[1]Aid Adjust'!$H248</f>
        <v>0</v>
      </c>
    </row>
    <row r="249" spans="1:9" x14ac:dyDescent="0.2">
      <c r="A249" s="5">
        <v>818</v>
      </c>
      <c r="B249" s="5">
        <v>1</v>
      </c>
      <c r="C249" s="2" t="s">
        <v>246</v>
      </c>
      <c r="D249" s="2">
        <f>Shift10!D249-Shift11!D249</f>
        <v>-62950.16</v>
      </c>
      <c r="E249" s="2">
        <f>Shift10!E249-Shift11!E249</f>
        <v>0</v>
      </c>
      <c r="F249" s="2">
        <f t="shared" si="7"/>
        <v>-62950.16</v>
      </c>
      <c r="G249" s="2">
        <f>Shift10!M249-Shift11!M249</f>
        <v>-5093.28</v>
      </c>
      <c r="H249" s="3">
        <f t="shared" si="8"/>
        <v>-68043.44</v>
      </c>
      <c r="I249" s="175">
        <f>H249-'[1]Aid Adjust'!$H249</f>
        <v>-6671.260000000002</v>
      </c>
    </row>
    <row r="250" spans="1:9" x14ac:dyDescent="0.2">
      <c r="A250" s="5">
        <v>820</v>
      </c>
      <c r="B250" s="5">
        <v>1</v>
      </c>
      <c r="C250" s="2" t="s">
        <v>247</v>
      </c>
      <c r="D250" s="2">
        <f>Shift10!D250-Shift11!D250</f>
        <v>-83848.649999999994</v>
      </c>
      <c r="E250" s="2">
        <f>Shift10!E250-Shift11!E250</f>
        <v>-95738.829999999987</v>
      </c>
      <c r="F250" s="2">
        <f t="shared" si="7"/>
        <v>-179587.47999999998</v>
      </c>
      <c r="G250" s="2">
        <f>Shift10!M250-Shift11!M250</f>
        <v>-16989.099999999999</v>
      </c>
      <c r="H250" s="3">
        <f t="shared" si="8"/>
        <v>-196576.58</v>
      </c>
      <c r="I250" s="175">
        <f>H250-'[1]Aid Adjust'!$H250</f>
        <v>-16637.040000000008</v>
      </c>
    </row>
    <row r="251" spans="1:9" x14ac:dyDescent="0.2">
      <c r="A251" s="5">
        <v>821</v>
      </c>
      <c r="B251" s="5">
        <v>1</v>
      </c>
      <c r="C251" s="2" t="s">
        <v>248</v>
      </c>
      <c r="D251" s="2">
        <f>Shift10!D251-Shift11!D251</f>
        <v>-289389.24</v>
      </c>
      <c r="E251" s="2">
        <f>Shift10!E251-Shift11!E251</f>
        <v>0</v>
      </c>
      <c r="F251" s="2">
        <f t="shared" si="7"/>
        <v>-289389.24</v>
      </c>
      <c r="G251" s="2">
        <f>Shift10!M251-Shift11!M251</f>
        <v>-20293.419999999998</v>
      </c>
      <c r="H251" s="3">
        <f t="shared" si="8"/>
        <v>-309682.65999999997</v>
      </c>
      <c r="I251" s="175">
        <f>H251-'[1]Aid Adjust'!$H251</f>
        <v>-18835.039999999979</v>
      </c>
    </row>
    <row r="252" spans="1:9" x14ac:dyDescent="0.2">
      <c r="A252" s="5">
        <v>829</v>
      </c>
      <c r="B252" s="5">
        <v>1</v>
      </c>
      <c r="C252" s="2" t="s">
        <v>249</v>
      </c>
      <c r="D252" s="2">
        <f>Shift10!D252-Shift11!D252</f>
        <v>-307533.5</v>
      </c>
      <c r="E252" s="2">
        <f>Shift10!E252-Shift11!E252</f>
        <v>0</v>
      </c>
      <c r="F252" s="2">
        <f t="shared" si="7"/>
        <v>-307533.5</v>
      </c>
      <c r="G252" s="2">
        <f>Shift10!M252-Shift11!M252</f>
        <v>-83924.91</v>
      </c>
      <c r="H252" s="3">
        <f t="shared" si="8"/>
        <v>-391458.41000000003</v>
      </c>
      <c r="I252" s="175">
        <f>H252-'[1]Aid Adjust'!$H252</f>
        <v>-31417.679999999993</v>
      </c>
    </row>
    <row r="253" spans="1:9" x14ac:dyDescent="0.2">
      <c r="A253" s="5">
        <v>831</v>
      </c>
      <c r="B253" s="5">
        <v>1</v>
      </c>
      <c r="C253" s="2" t="s">
        <v>250</v>
      </c>
      <c r="D253" s="2">
        <f>Shift10!D253-Shift11!D253</f>
        <v>-1818871.41</v>
      </c>
      <c r="E253" s="2">
        <f>Shift10!E253-Shift11!E253</f>
        <v>-2706551.42</v>
      </c>
      <c r="F253" s="2">
        <f t="shared" si="7"/>
        <v>-4525422.83</v>
      </c>
      <c r="G253" s="2">
        <f>Shift10!M253-Shift11!M253</f>
        <v>-424524.89</v>
      </c>
      <c r="H253" s="3">
        <f t="shared" si="8"/>
        <v>-4949947.72</v>
      </c>
      <c r="I253" s="175">
        <f>H253-'[1]Aid Adjust'!$H253</f>
        <v>-70958.070000000298</v>
      </c>
    </row>
    <row r="254" spans="1:9" x14ac:dyDescent="0.2">
      <c r="A254" s="5">
        <v>832</v>
      </c>
      <c r="B254" s="5">
        <v>1</v>
      </c>
      <c r="C254" s="2" t="s">
        <v>251</v>
      </c>
      <c r="D254" s="2">
        <f>Shift10!D254-Shift11!D254</f>
        <v>-1336550.2</v>
      </c>
      <c r="E254" s="2">
        <f>Shift10!E254-Shift11!E254</f>
        <v>-1024282.61</v>
      </c>
      <c r="F254" s="2">
        <f t="shared" si="7"/>
        <v>-2360832.81</v>
      </c>
      <c r="G254" s="2">
        <f>Shift10!M254-Shift11!M254</f>
        <v>-129293.5</v>
      </c>
      <c r="H254" s="3">
        <f t="shared" si="8"/>
        <v>-2490126.31</v>
      </c>
      <c r="I254" s="175">
        <f>H254-'[1]Aid Adjust'!$H254</f>
        <v>-17908.450000000186</v>
      </c>
    </row>
    <row r="255" spans="1:9" x14ac:dyDescent="0.2">
      <c r="A255" s="5">
        <v>833</v>
      </c>
      <c r="B255" s="5">
        <v>1</v>
      </c>
      <c r="C255" s="2" t="s">
        <v>252</v>
      </c>
      <c r="D255" s="2">
        <f>Shift10!D255-Shift11!D255</f>
        <v>-4653065.72</v>
      </c>
      <c r="E255" s="2">
        <f>Shift10!E255-Shift11!E255</f>
        <v>-5732936.8199999994</v>
      </c>
      <c r="F255" s="2">
        <f t="shared" si="7"/>
        <v>-10386002.539999999</v>
      </c>
      <c r="G255" s="2">
        <f>Shift10!M255-Shift11!M255</f>
        <v>-665102.66</v>
      </c>
      <c r="H255" s="3">
        <f t="shared" si="8"/>
        <v>-11051105.199999999</v>
      </c>
      <c r="I255" s="175">
        <f>H255-'[1]Aid Adjust'!$H255</f>
        <v>-175857.04000000097</v>
      </c>
    </row>
    <row r="256" spans="1:9" x14ac:dyDescent="0.2">
      <c r="A256" s="5">
        <v>834</v>
      </c>
      <c r="B256" s="5">
        <v>1</v>
      </c>
      <c r="C256" s="2" t="s">
        <v>253</v>
      </c>
      <c r="D256" s="2">
        <f>Shift10!D256-Shift11!D256</f>
        <v>-3561815.99</v>
      </c>
      <c r="E256" s="2">
        <f>Shift10!E256-Shift11!E256</f>
        <v>-4130952.5500000003</v>
      </c>
      <c r="F256" s="2">
        <f t="shared" si="7"/>
        <v>-7692768.540000001</v>
      </c>
      <c r="G256" s="2">
        <f>Shift10!M256-Shift11!M256</f>
        <v>-434839.27</v>
      </c>
      <c r="H256" s="3">
        <f t="shared" si="8"/>
        <v>-8127607.8100000005</v>
      </c>
      <c r="I256" s="175">
        <f>H256-'[1]Aid Adjust'!$H256</f>
        <v>-93486.050000000745</v>
      </c>
    </row>
    <row r="257" spans="1:9" x14ac:dyDescent="0.2">
      <c r="A257" s="5">
        <v>836</v>
      </c>
      <c r="B257" s="5">
        <v>1</v>
      </c>
      <c r="C257" s="2" t="s">
        <v>254</v>
      </c>
      <c r="D257" s="2">
        <f>Shift10!D257-Shift11!D257</f>
        <v>-107855.84</v>
      </c>
      <c r="E257" s="2">
        <f>Shift10!E257-Shift11!E257</f>
        <v>0</v>
      </c>
      <c r="F257" s="2">
        <f t="shared" si="7"/>
        <v>-107855.84</v>
      </c>
      <c r="G257" s="2">
        <f>Shift10!M257-Shift11!M257</f>
        <v>-13509.34</v>
      </c>
      <c r="H257" s="3">
        <f t="shared" si="8"/>
        <v>-121365.18</v>
      </c>
      <c r="I257" s="175">
        <f>H257-'[1]Aid Adjust'!$H257</f>
        <v>-7887.4499999999971</v>
      </c>
    </row>
    <row r="258" spans="1:9" x14ac:dyDescent="0.2">
      <c r="A258" s="5">
        <v>837</v>
      </c>
      <c r="B258" s="5">
        <v>1</v>
      </c>
      <c r="C258" s="2" t="s">
        <v>255</v>
      </c>
      <c r="D258" s="2">
        <f>Shift10!D258-Shift11!D258</f>
        <v>-60928.28</v>
      </c>
      <c r="E258" s="2">
        <f>Shift10!E258-Shift11!E258</f>
        <v>-27867.409999999989</v>
      </c>
      <c r="F258" s="2">
        <f t="shared" si="7"/>
        <v>-88795.689999999988</v>
      </c>
      <c r="G258" s="2">
        <f>Shift10!M258-Shift11!M258</f>
        <v>-23138.46</v>
      </c>
      <c r="H258" s="3">
        <f t="shared" si="8"/>
        <v>-111934.15</v>
      </c>
      <c r="I258" s="175">
        <f>H258-'[1]Aid Adjust'!$H258</f>
        <v>-6878.2700000000041</v>
      </c>
    </row>
    <row r="259" spans="1:9" x14ac:dyDescent="0.2">
      <c r="A259" s="5">
        <v>840</v>
      </c>
      <c r="B259" s="5">
        <v>1</v>
      </c>
      <c r="C259" s="2" t="s">
        <v>256</v>
      </c>
      <c r="D259" s="2">
        <f>Shift10!D259-Shift11!D259</f>
        <v>-258462.15</v>
      </c>
      <c r="E259" s="2">
        <f>Shift10!E259-Shift11!E259</f>
        <v>-193257.96</v>
      </c>
      <c r="F259" s="2">
        <f t="shared" si="7"/>
        <v>-451720.11</v>
      </c>
      <c r="G259" s="2">
        <f>Shift10!M259-Shift11!M259</f>
        <v>-57540.94</v>
      </c>
      <c r="H259" s="3">
        <f t="shared" si="8"/>
        <v>-509261.05</v>
      </c>
      <c r="I259" s="175">
        <f>H259-'[1]Aid Adjust'!$H259</f>
        <v>-24534.950000000012</v>
      </c>
    </row>
    <row r="260" spans="1:9" x14ac:dyDescent="0.2">
      <c r="A260" s="5">
        <v>846</v>
      </c>
      <c r="B260" s="5">
        <v>1</v>
      </c>
      <c r="C260" s="2" t="s">
        <v>257</v>
      </c>
      <c r="D260" s="2">
        <f>Shift10!D260-Shift11!D260</f>
        <v>-175339.81</v>
      </c>
      <c r="E260" s="2">
        <f>Shift10!E260-Shift11!E260</f>
        <v>-122702.63999999998</v>
      </c>
      <c r="F260" s="2">
        <f t="shared" si="7"/>
        <v>-298042.44999999995</v>
      </c>
      <c r="G260" s="2">
        <f>Shift10!M260-Shift11!M260</f>
        <v>-38125.46</v>
      </c>
      <c r="H260" s="3">
        <f t="shared" si="8"/>
        <v>-336167.91</v>
      </c>
      <c r="I260" s="175">
        <f>H260-'[1]Aid Adjust'!$H260</f>
        <v>-19039.950000000012</v>
      </c>
    </row>
    <row r="261" spans="1:9" x14ac:dyDescent="0.2">
      <c r="A261" s="5">
        <v>850</v>
      </c>
      <c r="B261" s="5">
        <v>1</v>
      </c>
      <c r="C261" s="2" t="s">
        <v>258</v>
      </c>
      <c r="D261" s="2">
        <f>Shift10!D261-Shift11!D261</f>
        <v>-94164.38</v>
      </c>
      <c r="E261" s="2">
        <f>Shift10!E261-Shift11!E261</f>
        <v>-60543.249999999985</v>
      </c>
      <c r="F261" s="2">
        <f t="shared" ref="F261:F324" si="9">D261+E261</f>
        <v>-154707.63</v>
      </c>
      <c r="G261" s="2">
        <f>Shift10!M261-Shift11!M261</f>
        <v>-9645.83</v>
      </c>
      <c r="H261" s="3">
        <f t="shared" ref="H261:H324" si="10">SUM(F261:G261)</f>
        <v>-164353.46</v>
      </c>
      <c r="I261" s="175">
        <f>H261-'[1]Aid Adjust'!$H261</f>
        <v>-5618.0299999999988</v>
      </c>
    </row>
    <row r="262" spans="1:9" x14ac:dyDescent="0.2">
      <c r="A262" s="5">
        <v>852</v>
      </c>
      <c r="B262" s="5">
        <v>1</v>
      </c>
      <c r="C262" s="2" t="s">
        <v>259</v>
      </c>
      <c r="D262" s="2">
        <f>Shift10!D262-Shift11!D262</f>
        <v>-31227.08</v>
      </c>
      <c r="E262" s="2">
        <f>Shift10!E262-Shift11!E262</f>
        <v>-65438.95</v>
      </c>
      <c r="F262" s="2">
        <f t="shared" si="9"/>
        <v>-96666.03</v>
      </c>
      <c r="G262" s="2">
        <f>Shift10!M262-Shift11!M262</f>
        <v>-11541.35</v>
      </c>
      <c r="H262" s="3">
        <f t="shared" si="10"/>
        <v>-108207.38</v>
      </c>
      <c r="I262" s="175">
        <f>H262-'[1]Aid Adjust'!$H262</f>
        <v>-1975.7900000000081</v>
      </c>
    </row>
    <row r="263" spans="1:9" x14ac:dyDescent="0.2">
      <c r="A263" s="5">
        <v>857</v>
      </c>
      <c r="B263" s="5">
        <v>1</v>
      </c>
      <c r="C263" s="2" t="s">
        <v>260</v>
      </c>
      <c r="D263" s="2">
        <f>Shift10!D263-Shift11!D263</f>
        <v>-177645.95</v>
      </c>
      <c r="E263" s="2">
        <f>Shift10!E263-Shift11!E263</f>
        <v>-208044.94</v>
      </c>
      <c r="F263" s="2">
        <f t="shared" si="9"/>
        <v>-385690.89</v>
      </c>
      <c r="G263" s="2">
        <f>Shift10!M263-Shift11!M263</f>
        <v>-24057</v>
      </c>
      <c r="H263" s="3">
        <f t="shared" si="10"/>
        <v>-409747.89</v>
      </c>
      <c r="I263" s="175">
        <f>H263-'[1]Aid Adjust'!$H263</f>
        <v>-18578.460000000021</v>
      </c>
    </row>
    <row r="264" spans="1:9" x14ac:dyDescent="0.2">
      <c r="A264" s="5">
        <v>858</v>
      </c>
      <c r="B264" s="5">
        <v>1</v>
      </c>
      <c r="C264" s="2" t="s">
        <v>261</v>
      </c>
      <c r="D264" s="2">
        <f>Shift10!D264-Shift11!D264</f>
        <v>-137133.29999999999</v>
      </c>
      <c r="E264" s="2">
        <f>Shift10!E264-Shift11!E264</f>
        <v>0</v>
      </c>
      <c r="F264" s="2">
        <f t="shared" si="9"/>
        <v>-137133.29999999999</v>
      </c>
      <c r="G264" s="2">
        <f>Shift10!M264-Shift11!M264</f>
        <v>-27716.09</v>
      </c>
      <c r="H264" s="3">
        <f t="shared" si="10"/>
        <v>-164849.38999999998</v>
      </c>
      <c r="I264" s="175">
        <f>H264-'[1]Aid Adjust'!$H264</f>
        <v>-11688.829999999987</v>
      </c>
    </row>
    <row r="265" spans="1:9" x14ac:dyDescent="0.2">
      <c r="A265" s="5">
        <v>861</v>
      </c>
      <c r="B265" s="5">
        <v>1</v>
      </c>
      <c r="C265" s="2" t="s">
        <v>262</v>
      </c>
      <c r="D265" s="2">
        <f>Shift10!D265-Shift11!D265</f>
        <v>-1035965.11</v>
      </c>
      <c r="E265" s="2">
        <f>Shift10!E265-Shift11!E265</f>
        <v>-3082010.77</v>
      </c>
      <c r="F265" s="2">
        <f t="shared" si="9"/>
        <v>-4117975.88</v>
      </c>
      <c r="G265" s="2">
        <f>Shift10!M265-Shift11!M265</f>
        <v>-231938.64</v>
      </c>
      <c r="H265" s="3">
        <f t="shared" si="10"/>
        <v>-4349914.5199999996</v>
      </c>
      <c r="I265" s="175">
        <f>H265-'[1]Aid Adjust'!$H265</f>
        <v>-117185.89999999944</v>
      </c>
    </row>
    <row r="266" spans="1:9" x14ac:dyDescent="0.2">
      <c r="A266" s="5">
        <v>876</v>
      </c>
      <c r="B266" s="5">
        <v>1</v>
      </c>
      <c r="C266" s="2" t="s">
        <v>263</v>
      </c>
      <c r="D266" s="2">
        <f>Shift10!D266-Shift11!D266</f>
        <v>-559669.27</v>
      </c>
      <c r="E266" s="2">
        <f>Shift10!E266-Shift11!E266</f>
        <v>-336802.93999999994</v>
      </c>
      <c r="F266" s="2">
        <f t="shared" si="9"/>
        <v>-896472.21</v>
      </c>
      <c r="G266" s="2">
        <f>Shift10!M266-Shift11!M266</f>
        <v>-79373.429999999993</v>
      </c>
      <c r="H266" s="3">
        <f t="shared" si="10"/>
        <v>-975845.6399999999</v>
      </c>
      <c r="I266" s="175">
        <f>H266-'[1]Aid Adjust'!$H266</f>
        <v>-27738.169999999925</v>
      </c>
    </row>
    <row r="267" spans="1:9" x14ac:dyDescent="0.2">
      <c r="A267" s="5">
        <v>877</v>
      </c>
      <c r="B267" s="5">
        <v>1</v>
      </c>
      <c r="C267" s="2" t="s">
        <v>264</v>
      </c>
      <c r="D267" s="2">
        <f>Shift10!D267-Shift11!D267</f>
        <v>-1206862.1000000001</v>
      </c>
      <c r="E267" s="2">
        <f>Shift10!E267-Shift11!E267</f>
        <v>-950918.37999999989</v>
      </c>
      <c r="F267" s="2">
        <f t="shared" si="9"/>
        <v>-2157780.48</v>
      </c>
      <c r="G267" s="2">
        <f>Shift10!M267-Shift11!M267</f>
        <v>-286942.83</v>
      </c>
      <c r="H267" s="3">
        <f t="shared" si="10"/>
        <v>-2444723.31</v>
      </c>
      <c r="I267" s="175">
        <f>H267-'[1]Aid Adjust'!$H267</f>
        <v>-63609.630000000354</v>
      </c>
    </row>
    <row r="268" spans="1:9" x14ac:dyDescent="0.2">
      <c r="A268" s="5">
        <v>879</v>
      </c>
      <c r="B268" s="5">
        <v>1</v>
      </c>
      <c r="C268" s="2" t="s">
        <v>265</v>
      </c>
      <c r="D268" s="2">
        <f>Shift10!D268-Shift11!D268</f>
        <v>-563125.68000000005</v>
      </c>
      <c r="E268" s="2">
        <f>Shift10!E268-Shift11!E268</f>
        <v>-423669.3</v>
      </c>
      <c r="F268" s="2">
        <f t="shared" si="9"/>
        <v>-986794.98</v>
      </c>
      <c r="G268" s="2">
        <f>Shift10!M268-Shift11!M268</f>
        <v>-121621.66</v>
      </c>
      <c r="H268" s="3">
        <f t="shared" si="10"/>
        <v>-1108416.6399999999</v>
      </c>
      <c r="I268" s="175">
        <f>H268-'[1]Aid Adjust'!$H268</f>
        <v>-23463.409999999916</v>
      </c>
    </row>
    <row r="269" spans="1:9" x14ac:dyDescent="0.2">
      <c r="A269" s="5">
        <v>881</v>
      </c>
      <c r="B269" s="5">
        <v>1</v>
      </c>
      <c r="C269" s="2" t="s">
        <v>266</v>
      </c>
      <c r="D269" s="2">
        <f>Shift10!D269-Shift11!D269</f>
        <v>-157706.54999999999</v>
      </c>
      <c r="E269" s="2">
        <f>Shift10!E269-Shift11!E269</f>
        <v>-201457.37999999998</v>
      </c>
      <c r="F269" s="2">
        <f t="shared" si="9"/>
        <v>-359163.92999999993</v>
      </c>
      <c r="G269" s="2">
        <f>Shift10!M269-Shift11!M269</f>
        <v>-34358.49</v>
      </c>
      <c r="H269" s="3">
        <f t="shared" si="10"/>
        <v>-393522.41999999993</v>
      </c>
      <c r="I269" s="175">
        <f>H269-'[1]Aid Adjust'!$H269</f>
        <v>-8899.2299999999232</v>
      </c>
    </row>
    <row r="270" spans="1:9" x14ac:dyDescent="0.2">
      <c r="A270" s="5">
        <v>882</v>
      </c>
      <c r="B270" s="5">
        <v>1</v>
      </c>
      <c r="C270" s="2" t="s">
        <v>267</v>
      </c>
      <c r="D270" s="2">
        <f>Shift10!D270-Shift11!D270</f>
        <v>-862560.17</v>
      </c>
      <c r="E270" s="2">
        <f>Shift10!E270-Shift11!E270</f>
        <v>-1254538.74</v>
      </c>
      <c r="F270" s="2">
        <f t="shared" si="9"/>
        <v>-2117098.91</v>
      </c>
      <c r="G270" s="2">
        <f>Shift10!M270-Shift11!M270</f>
        <v>-116316.66</v>
      </c>
      <c r="H270" s="3">
        <f t="shared" si="10"/>
        <v>-2233415.5700000003</v>
      </c>
      <c r="I270" s="175">
        <f>H270-'[1]Aid Adjust'!$H270</f>
        <v>-39134.040000000503</v>
      </c>
    </row>
    <row r="271" spans="1:9" x14ac:dyDescent="0.2">
      <c r="A271" s="5">
        <v>883</v>
      </c>
      <c r="B271" s="5">
        <v>1</v>
      </c>
      <c r="C271" s="2" t="s">
        <v>268</v>
      </c>
      <c r="D271" s="2">
        <f>Shift10!D271-Shift11!D271</f>
        <v>-266476.08</v>
      </c>
      <c r="E271" s="2">
        <f>Shift10!E271-Shift11!E271</f>
        <v>-254808.03000000003</v>
      </c>
      <c r="F271" s="2">
        <f t="shared" si="9"/>
        <v>-521284.11000000004</v>
      </c>
      <c r="G271" s="2">
        <f>Shift10!M271-Shift11!M271</f>
        <v>-62795.09</v>
      </c>
      <c r="H271" s="3">
        <f t="shared" si="10"/>
        <v>-584079.20000000007</v>
      </c>
      <c r="I271" s="175">
        <f>H271-'[1]Aid Adjust'!$H271</f>
        <v>-7401.1300000000047</v>
      </c>
    </row>
    <row r="272" spans="1:9" x14ac:dyDescent="0.2">
      <c r="A272" s="5">
        <v>885</v>
      </c>
      <c r="B272" s="5">
        <v>1</v>
      </c>
      <c r="C272" s="2" t="s">
        <v>269</v>
      </c>
      <c r="D272" s="2">
        <f>Shift10!D272-Shift11!D272</f>
        <v>-665965.89</v>
      </c>
      <c r="E272" s="2">
        <f>Shift10!E272-Shift11!E272</f>
        <v>-798746.16999999993</v>
      </c>
      <c r="F272" s="2">
        <f t="shared" si="9"/>
        <v>-1464712.06</v>
      </c>
      <c r="G272" s="2">
        <f>Shift10!M272-Shift11!M272</f>
        <v>-117130.8</v>
      </c>
      <c r="H272" s="3">
        <f t="shared" si="10"/>
        <v>-1581842.86</v>
      </c>
      <c r="I272" s="175">
        <f>H272-'[1]Aid Adjust'!$H272</f>
        <v>-31711.950000000419</v>
      </c>
    </row>
    <row r="273" spans="1:9" x14ac:dyDescent="0.2">
      <c r="A273" s="5">
        <v>891</v>
      </c>
      <c r="B273" s="5">
        <v>1</v>
      </c>
      <c r="C273" s="2" t="s">
        <v>270</v>
      </c>
      <c r="D273" s="2">
        <f>Shift10!D273-Shift11!D273</f>
        <v>-147248.19</v>
      </c>
      <c r="E273" s="2">
        <f>Shift10!E273-Shift11!E273</f>
        <v>-56046.240000000005</v>
      </c>
      <c r="F273" s="2">
        <f t="shared" si="9"/>
        <v>-203294.43</v>
      </c>
      <c r="G273" s="2">
        <f>Shift10!M273-Shift11!M273</f>
        <v>-25609.279999999999</v>
      </c>
      <c r="H273" s="3">
        <f t="shared" si="10"/>
        <v>-228903.71</v>
      </c>
      <c r="I273" s="175">
        <f>H273-'[1]Aid Adjust'!$H273</f>
        <v>-21729.410000000003</v>
      </c>
    </row>
    <row r="274" spans="1:9" x14ac:dyDescent="0.2">
      <c r="A274" s="5">
        <v>911</v>
      </c>
      <c r="B274" s="5">
        <v>1</v>
      </c>
      <c r="C274" s="2" t="s">
        <v>271</v>
      </c>
      <c r="D274" s="2">
        <f>Shift10!D274-Shift11!D274</f>
        <v>-747557.93</v>
      </c>
      <c r="E274" s="2">
        <f>Shift10!E274-Shift11!E274</f>
        <v>0</v>
      </c>
      <c r="F274" s="2">
        <f t="shared" si="9"/>
        <v>-747557.93</v>
      </c>
      <c r="G274" s="2">
        <f>Shift10!M274-Shift11!M274</f>
        <v>-194525.13</v>
      </c>
      <c r="H274" s="3">
        <f t="shared" si="10"/>
        <v>-942083.06</v>
      </c>
      <c r="I274" s="175">
        <f>H274-'[1]Aid Adjust'!$H274</f>
        <v>-68896.080000000075</v>
      </c>
    </row>
    <row r="275" spans="1:9" x14ac:dyDescent="0.2">
      <c r="A275" s="5">
        <v>912</v>
      </c>
      <c r="B275" s="5">
        <v>1</v>
      </c>
      <c r="C275" s="2" t="s">
        <v>272</v>
      </c>
      <c r="D275" s="2">
        <f>Shift10!D275-Shift11!D275</f>
        <v>-194471.76</v>
      </c>
      <c r="E275" s="2">
        <f>Shift10!E275-Shift11!E275</f>
        <v>0</v>
      </c>
      <c r="F275" s="2">
        <f t="shared" si="9"/>
        <v>-194471.76</v>
      </c>
      <c r="G275" s="2">
        <f>Shift10!M275-Shift11!M275</f>
        <v>-50150</v>
      </c>
      <c r="H275" s="3">
        <f t="shared" si="10"/>
        <v>-244621.76</v>
      </c>
      <c r="I275" s="175">
        <f>H275-'[1]Aid Adjust'!$H275</f>
        <v>-13360.450000000012</v>
      </c>
    </row>
    <row r="276" spans="1:9" x14ac:dyDescent="0.2">
      <c r="A276" s="5">
        <v>914</v>
      </c>
      <c r="B276" s="5">
        <v>1</v>
      </c>
      <c r="C276" s="2" t="s">
        <v>273</v>
      </c>
      <c r="D276" s="2">
        <f>Shift10!D276-Shift11!D276</f>
        <v>-42800.19</v>
      </c>
      <c r="E276" s="2">
        <f>Shift10!E276-Shift11!E276</f>
        <v>-83378.450000000012</v>
      </c>
      <c r="F276" s="2">
        <f t="shared" si="9"/>
        <v>-126178.64000000001</v>
      </c>
      <c r="G276" s="2">
        <f>Shift10!M276-Shift11!M276</f>
        <v>-8100.09</v>
      </c>
      <c r="H276" s="3">
        <f t="shared" si="10"/>
        <v>-134278.73000000001</v>
      </c>
      <c r="I276" s="175">
        <f>H276-'[1]Aid Adjust'!$H276</f>
        <v>-4153.8099999999977</v>
      </c>
    </row>
    <row r="277" spans="1:9" x14ac:dyDescent="0.2">
      <c r="A277" s="5">
        <v>2071</v>
      </c>
      <c r="B277" s="5">
        <v>1</v>
      </c>
      <c r="C277" s="2" t="s">
        <v>274</v>
      </c>
      <c r="D277" s="2">
        <f>Shift10!D277-Shift11!D277</f>
        <v>-216339.58</v>
      </c>
      <c r="E277" s="2">
        <f>Shift10!E277-Shift11!E277</f>
        <v>-75831.849999999977</v>
      </c>
      <c r="F277" s="2">
        <f t="shared" si="9"/>
        <v>-292171.42999999993</v>
      </c>
      <c r="G277" s="2">
        <f>Shift10!M277-Shift11!M277</f>
        <v>-39900.15</v>
      </c>
      <c r="H277" s="3">
        <f t="shared" si="10"/>
        <v>-332071.57999999996</v>
      </c>
      <c r="I277" s="175">
        <f>H277-'[1]Aid Adjust'!$H277</f>
        <v>-16514.330000000016</v>
      </c>
    </row>
    <row r="278" spans="1:9" x14ac:dyDescent="0.2">
      <c r="A278" s="5">
        <v>2125</v>
      </c>
      <c r="B278" s="5">
        <v>1</v>
      </c>
      <c r="C278" s="2" t="s">
        <v>275</v>
      </c>
      <c r="D278" s="2">
        <f>Shift10!D278-Shift11!D278</f>
        <v>-283524.8</v>
      </c>
      <c r="E278" s="2">
        <f>Shift10!E278-Shift11!E278</f>
        <v>-142116.49</v>
      </c>
      <c r="F278" s="2">
        <f t="shared" si="9"/>
        <v>-425641.29</v>
      </c>
      <c r="G278" s="2">
        <f>Shift10!M278-Shift11!M278</f>
        <v>-50155.34</v>
      </c>
      <c r="H278" s="3">
        <f t="shared" si="10"/>
        <v>-475796.63</v>
      </c>
      <c r="I278" s="175">
        <f>H278-'[1]Aid Adjust'!$H278</f>
        <v>-32303.429999999993</v>
      </c>
    </row>
    <row r="279" spans="1:9" x14ac:dyDescent="0.2">
      <c r="A279" s="5">
        <v>2134</v>
      </c>
      <c r="B279" s="5">
        <v>1</v>
      </c>
      <c r="C279" s="2" t="s">
        <v>276</v>
      </c>
      <c r="D279" s="2">
        <f>Shift10!D279-Shift11!D279</f>
        <v>-182239.04</v>
      </c>
      <c r="E279" s="2">
        <f>Shift10!E279-Shift11!E279</f>
        <v>-147435.16999999998</v>
      </c>
      <c r="F279" s="2">
        <f t="shared" si="9"/>
        <v>-329674.20999999996</v>
      </c>
      <c r="G279" s="2">
        <f>Shift10!M279-Shift11!M279</f>
        <v>-43980.58</v>
      </c>
      <c r="H279" s="3">
        <f t="shared" si="10"/>
        <v>-373654.79</v>
      </c>
      <c r="I279" s="175">
        <f>H279-'[1]Aid Adjust'!$H279</f>
        <v>-27837.070000000007</v>
      </c>
    </row>
    <row r="280" spans="1:9" x14ac:dyDescent="0.2">
      <c r="A280" s="5">
        <v>2135</v>
      </c>
      <c r="B280" s="5">
        <v>1</v>
      </c>
      <c r="C280" s="2" t="s">
        <v>277</v>
      </c>
      <c r="D280" s="2">
        <f>Shift10!D280-Shift11!D280</f>
        <v>-227727.38</v>
      </c>
      <c r="E280" s="2">
        <f>Shift10!E280-Shift11!E280</f>
        <v>-152000.32000000001</v>
      </c>
      <c r="F280" s="2">
        <f t="shared" si="9"/>
        <v>-379727.7</v>
      </c>
      <c r="G280" s="2">
        <f>Shift10!M280-Shift11!M280</f>
        <v>-41822.82</v>
      </c>
      <c r="H280" s="3">
        <f t="shared" si="10"/>
        <v>-421550.52</v>
      </c>
      <c r="I280" s="175">
        <f>H280-'[1]Aid Adjust'!$H280</f>
        <v>-31404.830000000016</v>
      </c>
    </row>
    <row r="281" spans="1:9" x14ac:dyDescent="0.2">
      <c r="A281" s="5">
        <v>2137</v>
      </c>
      <c r="B281" s="5">
        <v>1</v>
      </c>
      <c r="C281" s="2" t="s">
        <v>278</v>
      </c>
      <c r="D281" s="2">
        <f>Shift10!D281-Shift11!D281</f>
        <v>-160828.26999999999</v>
      </c>
      <c r="E281" s="2">
        <f>Shift10!E281-Shift11!E281</f>
        <v>-133479.41</v>
      </c>
      <c r="F281" s="2">
        <f t="shared" si="9"/>
        <v>-294307.68</v>
      </c>
      <c r="G281" s="2">
        <f>Shift10!M281-Shift11!M281</f>
        <v>-35835.050000000003</v>
      </c>
      <c r="H281" s="3">
        <f t="shared" si="10"/>
        <v>-330142.73</v>
      </c>
      <c r="I281" s="175">
        <f>H281-'[1]Aid Adjust'!$H281</f>
        <v>-24756.819999999949</v>
      </c>
    </row>
    <row r="282" spans="1:9" x14ac:dyDescent="0.2">
      <c r="A282" s="5">
        <v>2142</v>
      </c>
      <c r="B282" s="5">
        <v>1</v>
      </c>
      <c r="C282" s="2" t="s">
        <v>279</v>
      </c>
      <c r="D282" s="2">
        <f>Shift10!D282-Shift11!D282</f>
        <v>-520845.23</v>
      </c>
      <c r="E282" s="2">
        <f>Shift10!E282-Shift11!E282</f>
        <v>0</v>
      </c>
      <c r="F282" s="2">
        <f t="shared" si="9"/>
        <v>-520845.23</v>
      </c>
      <c r="G282" s="2">
        <f>Shift10!M282-Shift11!M282</f>
        <v>0</v>
      </c>
      <c r="H282" s="3">
        <f t="shared" si="10"/>
        <v>-520845.23</v>
      </c>
      <c r="I282" s="175">
        <f>H282-'[1]Aid Adjust'!$H282</f>
        <v>-53436.010000000009</v>
      </c>
    </row>
    <row r="283" spans="1:9" x14ac:dyDescent="0.2">
      <c r="A283" s="5">
        <v>2143</v>
      </c>
      <c r="B283" s="5">
        <v>1</v>
      </c>
      <c r="C283" s="2" t="s">
        <v>280</v>
      </c>
      <c r="D283" s="2">
        <f>Shift10!D283-Shift11!D283</f>
        <v>-200658.37</v>
      </c>
      <c r="E283" s="2">
        <f>Shift10!E283-Shift11!E283</f>
        <v>-609042.94000000006</v>
      </c>
      <c r="F283" s="2">
        <f t="shared" si="9"/>
        <v>-809701.31</v>
      </c>
      <c r="G283" s="2">
        <f>Shift10!M283-Shift11!M283</f>
        <v>-41857.22</v>
      </c>
      <c r="H283" s="3">
        <f t="shared" si="10"/>
        <v>-851558.53</v>
      </c>
      <c r="I283" s="175">
        <f>H283-'[1]Aid Adjust'!$H283</f>
        <v>-34282.5</v>
      </c>
    </row>
    <row r="284" spans="1:9" x14ac:dyDescent="0.2">
      <c r="A284" s="5">
        <v>2144</v>
      </c>
      <c r="B284" s="5">
        <v>1</v>
      </c>
      <c r="C284" s="2" t="s">
        <v>281</v>
      </c>
      <c r="D284" s="2">
        <f>Shift10!D284-Shift11!D284</f>
        <v>-826874.49</v>
      </c>
      <c r="E284" s="2">
        <f>Shift10!E284-Shift11!E284</f>
        <v>-585893.97</v>
      </c>
      <c r="F284" s="2">
        <f t="shared" si="9"/>
        <v>-1412768.46</v>
      </c>
      <c r="G284" s="2">
        <f>Shift10!M284-Shift11!M284</f>
        <v>-148896.17000000001</v>
      </c>
      <c r="H284" s="3">
        <f t="shared" si="10"/>
        <v>-1561664.63</v>
      </c>
      <c r="I284" s="175">
        <f>H284-'[1]Aid Adjust'!$H284</f>
        <v>-36135.319999999832</v>
      </c>
    </row>
    <row r="285" spans="1:9" x14ac:dyDescent="0.2">
      <c r="A285" s="5">
        <v>2149</v>
      </c>
      <c r="B285" s="5">
        <v>1</v>
      </c>
      <c r="C285" s="2" t="s">
        <v>282</v>
      </c>
      <c r="D285" s="2">
        <f>Shift10!D285-Shift11!D285</f>
        <v>-345887.18</v>
      </c>
      <c r="E285" s="2">
        <f>Shift10!E285-Shift11!E285</f>
        <v>-277215.38999999996</v>
      </c>
      <c r="F285" s="2">
        <f t="shared" si="9"/>
        <v>-623102.56999999995</v>
      </c>
      <c r="G285" s="2">
        <f>Shift10!M285-Shift11!M285</f>
        <v>-69990.8</v>
      </c>
      <c r="H285" s="3">
        <f t="shared" si="10"/>
        <v>-693093.37</v>
      </c>
      <c r="I285" s="175">
        <f>H285-'[1]Aid Adjust'!$H285</f>
        <v>-33438.790000000037</v>
      </c>
    </row>
    <row r="286" spans="1:9" x14ac:dyDescent="0.2">
      <c r="A286" s="5">
        <v>2154</v>
      </c>
      <c r="B286" s="5">
        <v>1</v>
      </c>
      <c r="C286" s="2" t="s">
        <v>283</v>
      </c>
      <c r="D286" s="2">
        <f>Shift10!D286-Shift11!D286</f>
        <v>0</v>
      </c>
      <c r="E286" s="2">
        <f>Shift10!E286-Shift11!E286</f>
        <v>-79619</v>
      </c>
      <c r="F286" s="2">
        <f t="shared" si="9"/>
        <v>-79619</v>
      </c>
      <c r="G286" s="2">
        <f>Shift10!M286-Shift11!M286</f>
        <v>0</v>
      </c>
      <c r="H286" s="3">
        <f t="shared" si="10"/>
        <v>-79619</v>
      </c>
      <c r="I286" s="175">
        <f>H286-'[1]Aid Adjust'!$H286</f>
        <v>0</v>
      </c>
    </row>
    <row r="287" spans="1:9" x14ac:dyDescent="0.2">
      <c r="A287" s="5">
        <v>2155</v>
      </c>
      <c r="B287" s="5">
        <v>1</v>
      </c>
      <c r="C287" s="2" t="s">
        <v>284</v>
      </c>
      <c r="D287" s="2">
        <f>Shift10!D287-Shift11!D287</f>
        <v>-152757.4</v>
      </c>
      <c r="E287" s="2">
        <f>Shift10!E287-Shift11!E287</f>
        <v>-253208.43</v>
      </c>
      <c r="F287" s="2">
        <f t="shared" si="9"/>
        <v>-405965.82999999996</v>
      </c>
      <c r="G287" s="2">
        <f>Shift10!M287-Shift11!M287</f>
        <v>-37153.730000000003</v>
      </c>
      <c r="H287" s="3">
        <f t="shared" si="10"/>
        <v>-443119.55999999994</v>
      </c>
      <c r="I287" s="175">
        <f>H287-'[1]Aid Adjust'!$H287</f>
        <v>-35657.389999999956</v>
      </c>
    </row>
    <row r="288" spans="1:9" x14ac:dyDescent="0.2">
      <c r="A288" s="5">
        <v>2159</v>
      </c>
      <c r="B288" s="5">
        <v>1</v>
      </c>
      <c r="C288" s="2" t="s">
        <v>285</v>
      </c>
      <c r="D288" s="2">
        <f>Shift10!D288-Shift11!D288</f>
        <v>-149413.66</v>
      </c>
      <c r="E288" s="2">
        <f>Shift10!E288-Shift11!E288</f>
        <v>-94040.76</v>
      </c>
      <c r="F288" s="2">
        <f t="shared" si="9"/>
        <v>-243454.41999999998</v>
      </c>
      <c r="G288" s="2">
        <f>Shift10!M288-Shift11!M288</f>
        <v>-27316.07</v>
      </c>
      <c r="H288" s="3">
        <f t="shared" si="10"/>
        <v>-270770.49</v>
      </c>
      <c r="I288" s="175">
        <f>H288-'[1]Aid Adjust'!$H288</f>
        <v>-18047.360000000015</v>
      </c>
    </row>
    <row r="289" spans="1:9" x14ac:dyDescent="0.2">
      <c r="A289" s="5">
        <v>2164</v>
      </c>
      <c r="B289" s="5">
        <v>1</v>
      </c>
      <c r="C289" s="2" t="s">
        <v>286</v>
      </c>
      <c r="D289" s="2">
        <f>Shift10!D289-Shift11!D289</f>
        <v>-177789.51</v>
      </c>
      <c r="E289" s="2">
        <f>Shift10!E289-Shift11!E289</f>
        <v>-96347.819999999992</v>
      </c>
      <c r="F289" s="2">
        <f t="shared" si="9"/>
        <v>-274137.33</v>
      </c>
      <c r="G289" s="2">
        <f>Shift10!M289-Shift11!M289</f>
        <v>-35107.68</v>
      </c>
      <c r="H289" s="3">
        <f t="shared" si="10"/>
        <v>-309245.01</v>
      </c>
      <c r="I289" s="175">
        <f>H289-'[1]Aid Adjust'!$H289</f>
        <v>-15164.280000000028</v>
      </c>
    </row>
    <row r="290" spans="1:9" x14ac:dyDescent="0.2">
      <c r="A290" s="5">
        <v>2165</v>
      </c>
      <c r="B290" s="5">
        <v>1</v>
      </c>
      <c r="C290" s="2" t="s">
        <v>287</v>
      </c>
      <c r="D290" s="2">
        <f>Shift10!D290-Shift11!D290</f>
        <v>-209970.91</v>
      </c>
      <c r="E290" s="2">
        <f>Shift10!E290-Shift11!E290</f>
        <v>-89893.540000000008</v>
      </c>
      <c r="F290" s="2">
        <f t="shared" si="9"/>
        <v>-299864.45</v>
      </c>
      <c r="G290" s="2">
        <f>Shift10!M290-Shift11!M290</f>
        <v>-39858.78</v>
      </c>
      <c r="H290" s="3">
        <f t="shared" si="10"/>
        <v>-339723.23</v>
      </c>
      <c r="I290" s="175">
        <f>H290-'[1]Aid Adjust'!$H290</f>
        <v>-18657.289999999979</v>
      </c>
    </row>
    <row r="291" spans="1:9" x14ac:dyDescent="0.2">
      <c r="A291" s="5">
        <v>2167</v>
      </c>
      <c r="B291" s="5">
        <v>1</v>
      </c>
      <c r="C291" s="2" t="s">
        <v>288</v>
      </c>
      <c r="D291" s="2">
        <f>Shift10!D291-Shift11!D291</f>
        <v>-154406.35999999999</v>
      </c>
      <c r="E291" s="2">
        <f>Shift10!E291-Shift11!E291</f>
        <v>-86353.06</v>
      </c>
      <c r="F291" s="2">
        <f t="shared" si="9"/>
        <v>-240759.41999999998</v>
      </c>
      <c r="G291" s="2">
        <f>Shift10!M291-Shift11!M291</f>
        <v>-16133.26</v>
      </c>
      <c r="H291" s="3">
        <f t="shared" si="10"/>
        <v>-256892.68</v>
      </c>
      <c r="I291" s="175">
        <f>H291-'[1]Aid Adjust'!$H291</f>
        <v>-9367.5899999999965</v>
      </c>
    </row>
    <row r="292" spans="1:9" x14ac:dyDescent="0.2">
      <c r="A292" s="5">
        <v>2168</v>
      </c>
      <c r="B292" s="5">
        <v>1</v>
      </c>
      <c r="C292" s="2" t="s">
        <v>289</v>
      </c>
      <c r="D292" s="2">
        <f>Shift10!D292-Shift11!D292</f>
        <v>-147383.67000000001</v>
      </c>
      <c r="E292" s="2">
        <f>Shift10!E292-Shift11!E292</f>
        <v>-65414.979999999981</v>
      </c>
      <c r="F292" s="2">
        <f t="shared" si="9"/>
        <v>-212798.65</v>
      </c>
      <c r="G292" s="2">
        <f>Shift10!M292-Shift11!M292</f>
        <v>-36126.85</v>
      </c>
      <c r="H292" s="3">
        <f t="shared" si="10"/>
        <v>-248925.5</v>
      </c>
      <c r="I292" s="175">
        <f>H292-'[1]Aid Adjust'!$H292</f>
        <v>-12404.530000000028</v>
      </c>
    </row>
    <row r="293" spans="1:9" x14ac:dyDescent="0.2">
      <c r="A293" s="5">
        <v>2169</v>
      </c>
      <c r="B293" s="5">
        <v>1</v>
      </c>
      <c r="C293" s="2" t="s">
        <v>290</v>
      </c>
      <c r="D293" s="2">
        <f>Shift10!D293-Shift11!D293</f>
        <v>-180597.98</v>
      </c>
      <c r="E293" s="2">
        <f>Shift10!E293-Shift11!E293</f>
        <v>-294733.78999999998</v>
      </c>
      <c r="F293" s="2">
        <f t="shared" si="9"/>
        <v>-475331.77</v>
      </c>
      <c r="G293" s="2">
        <f>Shift10!M293-Shift11!M293</f>
        <v>-35673.86</v>
      </c>
      <c r="H293" s="3">
        <f t="shared" si="10"/>
        <v>-511005.63</v>
      </c>
      <c r="I293" s="175">
        <f>H293-'[1]Aid Adjust'!$H293</f>
        <v>-26944.920000000042</v>
      </c>
    </row>
    <row r="294" spans="1:9" x14ac:dyDescent="0.2">
      <c r="A294" s="5">
        <v>2170</v>
      </c>
      <c r="B294" s="5">
        <v>1</v>
      </c>
      <c r="C294" s="2" t="s">
        <v>291</v>
      </c>
      <c r="D294" s="2">
        <f>Shift10!D294-Shift11!D294</f>
        <v>-281763.92</v>
      </c>
      <c r="E294" s="2">
        <f>Shift10!E294-Shift11!E294</f>
        <v>-167895.15999999997</v>
      </c>
      <c r="F294" s="2">
        <f t="shared" si="9"/>
        <v>-449659.07999999996</v>
      </c>
      <c r="G294" s="2">
        <f>Shift10!M294-Shift11!M294</f>
        <v>-53672.53</v>
      </c>
      <c r="H294" s="3">
        <f t="shared" si="10"/>
        <v>-503331.61</v>
      </c>
      <c r="I294" s="175">
        <f>H294-'[1]Aid Adjust'!$H294</f>
        <v>-3244.6300000000047</v>
      </c>
    </row>
    <row r="295" spans="1:9" x14ac:dyDescent="0.2">
      <c r="A295" s="5">
        <v>2171</v>
      </c>
      <c r="B295" s="5">
        <v>1</v>
      </c>
      <c r="C295" s="2" t="s">
        <v>292</v>
      </c>
      <c r="D295" s="2">
        <f>Shift10!D295-Shift11!D295</f>
        <v>-77637.58</v>
      </c>
      <c r="E295" s="2">
        <f>Shift10!E295-Shift11!E295</f>
        <v>0</v>
      </c>
      <c r="F295" s="2">
        <f t="shared" si="9"/>
        <v>-77637.58</v>
      </c>
      <c r="G295" s="2">
        <f>Shift10!M295-Shift11!M295</f>
        <v>-15428.13</v>
      </c>
      <c r="H295" s="3">
        <f t="shared" si="10"/>
        <v>-93065.71</v>
      </c>
      <c r="I295" s="175">
        <f>H295-'[1]Aid Adjust'!$H295</f>
        <v>-4024.0099999999948</v>
      </c>
    </row>
    <row r="296" spans="1:9" x14ac:dyDescent="0.2">
      <c r="A296" s="5">
        <v>2172</v>
      </c>
      <c r="B296" s="5">
        <v>1</v>
      </c>
      <c r="C296" s="2" t="s">
        <v>293</v>
      </c>
      <c r="D296" s="2">
        <f>Shift10!D296-Shift11!D296</f>
        <v>-189153.21</v>
      </c>
      <c r="E296" s="2">
        <f>Shift10!E296-Shift11!E296</f>
        <v>-208483.22999999998</v>
      </c>
      <c r="F296" s="2">
        <f t="shared" si="9"/>
        <v>-397636.43999999994</v>
      </c>
      <c r="G296" s="2">
        <f>Shift10!M296-Shift11!M296</f>
        <v>-55661.09</v>
      </c>
      <c r="H296" s="3">
        <f t="shared" si="10"/>
        <v>-453297.52999999991</v>
      </c>
      <c r="I296" s="175">
        <f>H296-'[1]Aid Adjust'!$H296</f>
        <v>-16265.379999999888</v>
      </c>
    </row>
    <row r="297" spans="1:9" x14ac:dyDescent="0.2">
      <c r="A297" s="5">
        <v>2174</v>
      </c>
      <c r="B297" s="5">
        <v>1</v>
      </c>
      <c r="C297" s="2" t="s">
        <v>294</v>
      </c>
      <c r="D297" s="2">
        <f>Shift10!D297-Shift11!D297</f>
        <v>-177697.78</v>
      </c>
      <c r="E297" s="2">
        <f>Shift10!E297-Shift11!E297</f>
        <v>-560.97</v>
      </c>
      <c r="F297" s="2">
        <f t="shared" si="9"/>
        <v>-178258.75</v>
      </c>
      <c r="G297" s="2">
        <f>Shift10!M297-Shift11!M297</f>
        <v>-53058.559999999998</v>
      </c>
      <c r="H297" s="3">
        <f t="shared" si="10"/>
        <v>-231317.31</v>
      </c>
      <c r="I297" s="175">
        <f>H297-'[1]Aid Adjust'!$H297</f>
        <v>-10040.25999999998</v>
      </c>
    </row>
    <row r="298" spans="1:9" x14ac:dyDescent="0.2">
      <c r="A298" s="5">
        <v>2176</v>
      </c>
      <c r="B298" s="5">
        <v>1</v>
      </c>
      <c r="C298" s="2" t="s">
        <v>295</v>
      </c>
      <c r="D298" s="2">
        <f>Shift10!D298-Shift11!D298</f>
        <v>-109655.18</v>
      </c>
      <c r="E298" s="2">
        <f>Shift10!E298-Shift11!E298</f>
        <v>-21324.859999999986</v>
      </c>
      <c r="F298" s="2">
        <f t="shared" si="9"/>
        <v>-130980.03999999998</v>
      </c>
      <c r="G298" s="2">
        <f>Shift10!M298-Shift11!M298</f>
        <v>-25942.68</v>
      </c>
      <c r="H298" s="3">
        <f t="shared" si="10"/>
        <v>-156922.71999999997</v>
      </c>
      <c r="I298" s="175">
        <f>H298-'[1]Aid Adjust'!$H298</f>
        <v>-12049.619999999966</v>
      </c>
    </row>
    <row r="299" spans="1:9" x14ac:dyDescent="0.2">
      <c r="A299" s="5">
        <v>2180</v>
      </c>
      <c r="B299" s="5">
        <v>1</v>
      </c>
      <c r="C299" s="2" t="s">
        <v>296</v>
      </c>
      <c r="D299" s="2">
        <f>Shift10!D299-Shift11!D299</f>
        <v>-186251.49</v>
      </c>
      <c r="E299" s="2">
        <f>Shift10!E299-Shift11!E299</f>
        <v>-305243.71000000002</v>
      </c>
      <c r="F299" s="2">
        <f t="shared" si="9"/>
        <v>-491495.2</v>
      </c>
      <c r="G299" s="2">
        <f>Shift10!M299-Shift11!M299</f>
        <v>-30751.51</v>
      </c>
      <c r="H299" s="3">
        <f t="shared" si="10"/>
        <v>-522246.71</v>
      </c>
      <c r="I299" s="175">
        <f>H299-'[1]Aid Adjust'!$H299</f>
        <v>-15014.440000000002</v>
      </c>
    </row>
    <row r="300" spans="1:9" x14ac:dyDescent="0.2">
      <c r="A300" s="5">
        <v>2184</v>
      </c>
      <c r="B300" s="5">
        <v>1</v>
      </c>
      <c r="C300" s="2" t="s">
        <v>297</v>
      </c>
      <c r="D300" s="2">
        <f>Shift10!D300-Shift11!D300</f>
        <v>-233670.87</v>
      </c>
      <c r="E300" s="2">
        <f>Shift10!E300-Shift11!E300</f>
        <v>-394888.53</v>
      </c>
      <c r="F300" s="2">
        <f t="shared" si="9"/>
        <v>-628559.4</v>
      </c>
      <c r="G300" s="2">
        <f>Shift10!M300-Shift11!M300</f>
        <v>-40475.49</v>
      </c>
      <c r="H300" s="3">
        <f t="shared" si="10"/>
        <v>-669034.89</v>
      </c>
      <c r="I300" s="175">
        <f>H300-'[1]Aid Adjust'!$H300</f>
        <v>-24652.949999999953</v>
      </c>
    </row>
    <row r="301" spans="1:9" x14ac:dyDescent="0.2">
      <c r="A301" s="5">
        <v>2190</v>
      </c>
      <c r="B301" s="5">
        <v>1</v>
      </c>
      <c r="C301" s="2" t="s">
        <v>298</v>
      </c>
      <c r="D301" s="2">
        <f>Shift10!D301-Shift11!D301</f>
        <v>-86898.27</v>
      </c>
      <c r="E301" s="2">
        <f>Shift10!E301-Shift11!E301</f>
        <v>-260242.25</v>
      </c>
      <c r="F301" s="2">
        <f t="shared" si="9"/>
        <v>-347140.52</v>
      </c>
      <c r="G301" s="2">
        <f>Shift10!M301-Shift11!M301</f>
        <v>-81976.539999999994</v>
      </c>
      <c r="H301" s="3">
        <f t="shared" si="10"/>
        <v>-429117.06</v>
      </c>
      <c r="I301" s="175">
        <f>H301-'[1]Aid Adjust'!$H301</f>
        <v>-12527.360000000044</v>
      </c>
    </row>
    <row r="302" spans="1:9" x14ac:dyDescent="0.2">
      <c r="A302" s="5">
        <v>2198</v>
      </c>
      <c r="B302" s="5">
        <v>1</v>
      </c>
      <c r="C302" s="2" t="s">
        <v>299</v>
      </c>
      <c r="D302" s="2">
        <f>Shift10!D302-Shift11!D302</f>
        <v>-122647.6</v>
      </c>
      <c r="E302" s="2">
        <f>Shift10!E302-Shift11!E302</f>
        <v>-225345.31</v>
      </c>
      <c r="F302" s="2">
        <f t="shared" si="9"/>
        <v>-347992.91000000003</v>
      </c>
      <c r="G302" s="2">
        <f>Shift10!M302-Shift11!M302</f>
        <v>-35233.949999999997</v>
      </c>
      <c r="H302" s="3">
        <f t="shared" si="10"/>
        <v>-383226.86000000004</v>
      </c>
      <c r="I302" s="175">
        <f>H302-'[1]Aid Adjust'!$H302</f>
        <v>-22506.980000000098</v>
      </c>
    </row>
    <row r="303" spans="1:9" x14ac:dyDescent="0.2">
      <c r="A303" s="5">
        <v>2215</v>
      </c>
      <c r="B303" s="5">
        <v>1</v>
      </c>
      <c r="C303" s="2" t="s">
        <v>300</v>
      </c>
      <c r="D303" s="2">
        <f>Shift10!D303-Shift11!D303</f>
        <v>-43785.08</v>
      </c>
      <c r="E303" s="2">
        <f>Shift10!E303-Shift11!E303</f>
        <v>-119962.65</v>
      </c>
      <c r="F303" s="2">
        <f t="shared" si="9"/>
        <v>-163747.72999999998</v>
      </c>
      <c r="G303" s="2">
        <f>Shift10!M303-Shift11!M303</f>
        <v>-10544.43</v>
      </c>
      <c r="H303" s="3">
        <f t="shared" si="10"/>
        <v>-174292.15999999997</v>
      </c>
      <c r="I303" s="175">
        <f>H303-'[1]Aid Adjust'!$H303</f>
        <v>-9023.4999999999709</v>
      </c>
    </row>
    <row r="304" spans="1:9" x14ac:dyDescent="0.2">
      <c r="A304" s="5">
        <v>2310</v>
      </c>
      <c r="B304" s="5">
        <v>1</v>
      </c>
      <c r="C304" s="2" t="s">
        <v>301</v>
      </c>
      <c r="D304" s="2">
        <f>Shift10!D304-Shift11!D304</f>
        <v>-314001.28000000003</v>
      </c>
      <c r="E304" s="2">
        <f>Shift10!E304-Shift11!E304</f>
        <v>-191156.91</v>
      </c>
      <c r="F304" s="2">
        <f t="shared" si="9"/>
        <v>-505158.19000000006</v>
      </c>
      <c r="G304" s="2">
        <f>Shift10!M304-Shift11!M304</f>
        <v>-46812.7</v>
      </c>
      <c r="H304" s="3">
        <f t="shared" si="10"/>
        <v>-551970.89</v>
      </c>
      <c r="I304" s="175">
        <f>H304-'[1]Aid Adjust'!$H304</f>
        <v>-40873.260000000068</v>
      </c>
    </row>
    <row r="305" spans="1:9" x14ac:dyDescent="0.2">
      <c r="A305" s="5">
        <v>2311</v>
      </c>
      <c r="B305" s="5">
        <v>1</v>
      </c>
      <c r="C305" s="2" t="s">
        <v>302</v>
      </c>
      <c r="D305" s="2">
        <f>Shift10!D305-Shift11!D305</f>
        <v>-41955.56</v>
      </c>
      <c r="E305" s="2">
        <f>Shift10!E305-Shift11!E305</f>
        <v>-75689.070000000007</v>
      </c>
      <c r="F305" s="2">
        <f t="shared" si="9"/>
        <v>-117644.63</v>
      </c>
      <c r="G305" s="2">
        <f>Shift10!M305-Shift11!M305</f>
        <v>-19735</v>
      </c>
      <c r="H305" s="3">
        <f t="shared" si="10"/>
        <v>-137379.63</v>
      </c>
      <c r="I305" s="175">
        <f>H305-'[1]Aid Adjust'!$H305</f>
        <v>-5084.9599999999919</v>
      </c>
    </row>
    <row r="306" spans="1:9" x14ac:dyDescent="0.2">
      <c r="A306" s="5">
        <v>2342</v>
      </c>
      <c r="B306" s="5">
        <v>1</v>
      </c>
      <c r="C306" s="2" t="s">
        <v>303</v>
      </c>
      <c r="D306" s="2">
        <f>Shift10!D306-Shift11!D306</f>
        <v>-232476.1</v>
      </c>
      <c r="E306" s="2">
        <f>Shift10!E306-Shift11!E306</f>
        <v>-347567.31000000006</v>
      </c>
      <c r="F306" s="2">
        <f t="shared" si="9"/>
        <v>-580043.41</v>
      </c>
      <c r="G306" s="2">
        <f>Shift10!M306-Shift11!M306</f>
        <v>-37199.410000000003</v>
      </c>
      <c r="H306" s="3">
        <f t="shared" si="10"/>
        <v>-617242.82000000007</v>
      </c>
      <c r="I306" s="175">
        <f>H306-'[1]Aid Adjust'!$H306</f>
        <v>-18854.380000000005</v>
      </c>
    </row>
    <row r="307" spans="1:9" x14ac:dyDescent="0.2">
      <c r="A307" s="5">
        <v>2358</v>
      </c>
      <c r="B307" s="5">
        <v>1</v>
      </c>
      <c r="C307" s="2" t="s">
        <v>304</v>
      </c>
      <c r="D307" s="2">
        <f>Shift10!D307-Shift11!D307</f>
        <v>-52346.65</v>
      </c>
      <c r="E307" s="2">
        <f>Shift10!E307-Shift11!E307</f>
        <v>-16007.61</v>
      </c>
      <c r="F307" s="2">
        <f t="shared" si="9"/>
        <v>-68354.260000000009</v>
      </c>
      <c r="G307" s="2">
        <f>Shift10!M307-Shift11!M307</f>
        <v>-9610.7000000000007</v>
      </c>
      <c r="H307" s="3">
        <f t="shared" si="10"/>
        <v>-77964.960000000006</v>
      </c>
      <c r="I307" s="175">
        <f>H307-'[1]Aid Adjust'!$H307</f>
        <v>-3245.4900000000052</v>
      </c>
    </row>
    <row r="308" spans="1:9" x14ac:dyDescent="0.2">
      <c r="A308" s="5">
        <v>2364</v>
      </c>
      <c r="B308" s="5">
        <v>1</v>
      </c>
      <c r="C308" s="2" t="s">
        <v>305</v>
      </c>
      <c r="D308" s="2">
        <f>Shift10!D308-Shift11!D308</f>
        <v>-85161.23</v>
      </c>
      <c r="E308" s="2">
        <f>Shift10!E308-Shift11!E308</f>
        <v>-171892.58</v>
      </c>
      <c r="F308" s="2">
        <f t="shared" si="9"/>
        <v>-257053.81</v>
      </c>
      <c r="G308" s="2">
        <f>Shift10!M308-Shift11!M308</f>
        <v>-28346.65</v>
      </c>
      <c r="H308" s="3">
        <f t="shared" si="10"/>
        <v>-285400.46000000002</v>
      </c>
      <c r="I308" s="175">
        <f>H308-'[1]Aid Adjust'!$H308</f>
        <v>-8535.8800000000629</v>
      </c>
    </row>
    <row r="309" spans="1:9" x14ac:dyDescent="0.2">
      <c r="A309" s="5">
        <v>2365</v>
      </c>
      <c r="B309" s="5">
        <v>1</v>
      </c>
      <c r="C309" s="2" t="s">
        <v>306</v>
      </c>
      <c r="D309" s="2">
        <f>Shift10!D309-Shift11!D309</f>
        <v>-287537.88</v>
      </c>
      <c r="E309" s="2">
        <f>Shift10!E309-Shift11!E309</f>
        <v>-1477.5</v>
      </c>
      <c r="F309" s="2">
        <f t="shared" si="9"/>
        <v>-289015.38</v>
      </c>
      <c r="G309" s="2">
        <f>Shift10!M309-Shift11!M309</f>
        <v>-49365.43</v>
      </c>
      <c r="H309" s="3">
        <f t="shared" si="10"/>
        <v>-338380.81</v>
      </c>
      <c r="I309" s="175">
        <f>H309-'[1]Aid Adjust'!$H309</f>
        <v>-31005.319999999949</v>
      </c>
    </row>
    <row r="310" spans="1:9" x14ac:dyDescent="0.2">
      <c r="A310" s="5">
        <v>2396</v>
      </c>
      <c r="B310" s="5">
        <v>1</v>
      </c>
      <c r="C310" s="2" t="s">
        <v>307</v>
      </c>
      <c r="D310" s="2">
        <f>Shift10!D310-Shift11!D310</f>
        <v>-260784.5</v>
      </c>
      <c r="E310" s="2">
        <f>Shift10!E310-Shift11!E310</f>
        <v>-320608.13</v>
      </c>
      <c r="F310" s="2">
        <f t="shared" si="9"/>
        <v>-581392.63</v>
      </c>
      <c r="G310" s="2">
        <f>Shift10!M310-Shift11!M310</f>
        <v>-67205.05</v>
      </c>
      <c r="H310" s="3">
        <f t="shared" si="10"/>
        <v>-648597.68000000005</v>
      </c>
      <c r="I310" s="175">
        <f>H310-'[1]Aid Adjust'!$H310</f>
        <v>-23467.640000000014</v>
      </c>
    </row>
    <row r="311" spans="1:9" x14ac:dyDescent="0.2">
      <c r="A311" s="5">
        <v>2397</v>
      </c>
      <c r="B311" s="5">
        <v>1</v>
      </c>
      <c r="C311" s="2" t="s">
        <v>308</v>
      </c>
      <c r="D311" s="2">
        <f>Shift10!D311-Shift11!D311</f>
        <v>-329312</v>
      </c>
      <c r="E311" s="2">
        <f>Shift10!E311-Shift11!E311</f>
        <v>-84727.23000000001</v>
      </c>
      <c r="F311" s="2">
        <f t="shared" si="9"/>
        <v>-414039.23</v>
      </c>
      <c r="G311" s="2">
        <f>Shift10!M311-Shift11!M311</f>
        <v>-47241.55</v>
      </c>
      <c r="H311" s="3">
        <f t="shared" si="10"/>
        <v>-461280.77999999997</v>
      </c>
      <c r="I311" s="175">
        <f>H311-'[1]Aid Adjust'!$H311</f>
        <v>-28129.02999999997</v>
      </c>
    </row>
    <row r="312" spans="1:9" x14ac:dyDescent="0.2">
      <c r="A312" s="5">
        <v>2448</v>
      </c>
      <c r="B312" s="5">
        <v>1</v>
      </c>
      <c r="C312" s="2" t="s">
        <v>309</v>
      </c>
      <c r="D312" s="2">
        <f>Shift10!D312-Shift11!D312</f>
        <v>-238347.38</v>
      </c>
      <c r="E312" s="2">
        <f>Shift10!E312-Shift11!E312</f>
        <v>-224108.59000000003</v>
      </c>
      <c r="F312" s="2">
        <f t="shared" si="9"/>
        <v>-462455.97000000003</v>
      </c>
      <c r="G312" s="2">
        <f>Shift10!M312-Shift11!M312</f>
        <v>-35504.93</v>
      </c>
      <c r="H312" s="3">
        <f t="shared" si="10"/>
        <v>-497960.9</v>
      </c>
      <c r="I312" s="175">
        <f>H312-'[1]Aid Adjust'!$H312</f>
        <v>-21970.070000000007</v>
      </c>
    </row>
    <row r="313" spans="1:9" x14ac:dyDescent="0.2">
      <c r="A313" s="5">
        <v>2527</v>
      </c>
      <c r="B313" s="5">
        <v>1</v>
      </c>
      <c r="C313" s="2" t="s">
        <v>310</v>
      </c>
      <c r="D313" s="2">
        <f>Shift10!D313-Shift11!D313</f>
        <v>-94121.37</v>
      </c>
      <c r="E313" s="2">
        <f>Shift10!E313-Shift11!E313</f>
        <v>-57832.249999999993</v>
      </c>
      <c r="F313" s="2">
        <f t="shared" si="9"/>
        <v>-151953.62</v>
      </c>
      <c r="G313" s="2">
        <f>Shift10!M313-Shift11!M313</f>
        <v>-9300.2099999999991</v>
      </c>
      <c r="H313" s="3">
        <f t="shared" si="10"/>
        <v>-161253.82999999999</v>
      </c>
      <c r="I313" s="175">
        <f>H313-'[1]Aid Adjust'!$H313</f>
        <v>-7283.1300000000047</v>
      </c>
    </row>
    <row r="314" spans="1:9" x14ac:dyDescent="0.2">
      <c r="A314" s="5">
        <v>2534</v>
      </c>
      <c r="B314" s="5">
        <v>1</v>
      </c>
      <c r="C314" s="2" t="s">
        <v>311</v>
      </c>
      <c r="D314" s="2">
        <f>Shift10!D314-Shift11!D314</f>
        <v>-215990.7</v>
      </c>
      <c r="E314" s="2">
        <f>Shift10!E314-Shift11!E314</f>
        <v>-86318.07</v>
      </c>
      <c r="F314" s="2">
        <f t="shared" si="9"/>
        <v>-302308.77</v>
      </c>
      <c r="G314" s="2">
        <f>Shift10!M314-Shift11!M314</f>
        <v>-33123.769999999997</v>
      </c>
      <c r="H314" s="3">
        <f t="shared" si="10"/>
        <v>-335432.54000000004</v>
      </c>
      <c r="I314" s="175">
        <f>H314-'[1]Aid Adjust'!$H314</f>
        <v>-21876.239999999991</v>
      </c>
    </row>
    <row r="315" spans="1:9" x14ac:dyDescent="0.2">
      <c r="A315" s="5">
        <v>2536</v>
      </c>
      <c r="B315" s="5">
        <v>1</v>
      </c>
      <c r="C315" s="2" t="s">
        <v>312</v>
      </c>
      <c r="D315" s="2">
        <f>Shift10!D315-Shift11!D315</f>
        <v>-79516.259999999995</v>
      </c>
      <c r="E315" s="2">
        <f>Shift10!E315-Shift11!E315</f>
        <v>-110155.1</v>
      </c>
      <c r="F315" s="2">
        <f t="shared" si="9"/>
        <v>-189671.36</v>
      </c>
      <c r="G315" s="2">
        <f>Shift10!M315-Shift11!M315</f>
        <v>-17219.78</v>
      </c>
      <c r="H315" s="3">
        <f t="shared" si="10"/>
        <v>-206891.13999999998</v>
      </c>
      <c r="I315" s="175">
        <f>H315-'[1]Aid Adjust'!$H315</f>
        <v>-7743.2499999999709</v>
      </c>
    </row>
    <row r="316" spans="1:9" x14ac:dyDescent="0.2">
      <c r="A316" s="5">
        <v>2580</v>
      </c>
      <c r="B316" s="5">
        <v>1</v>
      </c>
      <c r="C316" s="2" t="s">
        <v>313</v>
      </c>
      <c r="D316" s="2">
        <f>Shift10!D316-Shift11!D316</f>
        <v>-139324.63</v>
      </c>
      <c r="E316" s="2">
        <f>Shift10!E316-Shift11!E316</f>
        <v>0</v>
      </c>
      <c r="F316" s="2">
        <f t="shared" si="9"/>
        <v>-139324.63</v>
      </c>
      <c r="G316" s="2">
        <f>Shift10!M316-Shift11!M316</f>
        <v>-39868.35</v>
      </c>
      <c r="H316" s="3">
        <f t="shared" si="10"/>
        <v>-179192.98</v>
      </c>
      <c r="I316" s="175">
        <f>H316-'[1]Aid Adjust'!$H316</f>
        <v>-12507.529999999999</v>
      </c>
    </row>
    <row r="317" spans="1:9" x14ac:dyDescent="0.2">
      <c r="A317" s="5">
        <v>2609</v>
      </c>
      <c r="B317" s="5">
        <v>1</v>
      </c>
      <c r="C317" s="2" t="s">
        <v>314</v>
      </c>
      <c r="D317" s="2">
        <f>Shift10!D317-Shift11!D317</f>
        <v>-100748.61</v>
      </c>
      <c r="E317" s="2">
        <f>Shift10!E317-Shift11!E317</f>
        <v>-112936.73000000001</v>
      </c>
      <c r="F317" s="2">
        <f t="shared" si="9"/>
        <v>-213685.34000000003</v>
      </c>
      <c r="G317" s="2">
        <f>Shift10!M317-Shift11!M317</f>
        <v>-962.8</v>
      </c>
      <c r="H317" s="3">
        <f t="shared" si="10"/>
        <v>-214648.14</v>
      </c>
      <c r="I317" s="175">
        <f>H317-'[1]Aid Adjust'!$H317</f>
        <v>-7834.1000000000058</v>
      </c>
    </row>
    <row r="318" spans="1:9" x14ac:dyDescent="0.2">
      <c r="A318" s="5">
        <v>2683</v>
      </c>
      <c r="B318" s="5">
        <v>1</v>
      </c>
      <c r="C318" s="2" t="s">
        <v>315</v>
      </c>
      <c r="D318" s="2">
        <f>Shift10!D318-Shift11!D318</f>
        <v>-77034.850000000006</v>
      </c>
      <c r="E318" s="2">
        <f>Shift10!E318-Shift11!E318</f>
        <v>0</v>
      </c>
      <c r="F318" s="2">
        <f t="shared" si="9"/>
        <v>-77034.850000000006</v>
      </c>
      <c r="G318" s="2">
        <f>Shift10!M318-Shift11!M318</f>
        <v>-12315.24</v>
      </c>
      <c r="H318" s="3">
        <f t="shared" si="10"/>
        <v>-89350.090000000011</v>
      </c>
      <c r="I318" s="175">
        <f>H318-'[1]Aid Adjust'!$H318</f>
        <v>-10219.710000000021</v>
      </c>
    </row>
    <row r="319" spans="1:9" x14ac:dyDescent="0.2">
      <c r="A319" s="5">
        <v>2687</v>
      </c>
      <c r="B319" s="5">
        <v>1</v>
      </c>
      <c r="C319" s="2" t="s">
        <v>316</v>
      </c>
      <c r="D319" s="2">
        <f>Shift10!D319-Shift11!D319</f>
        <v>-227439.06</v>
      </c>
      <c r="E319" s="2">
        <f>Shift10!E319-Shift11!E319</f>
        <v>-277679.15999999997</v>
      </c>
      <c r="F319" s="2">
        <f t="shared" si="9"/>
        <v>-505118.22</v>
      </c>
      <c r="G319" s="2">
        <f>Shift10!M319-Shift11!M319</f>
        <v>-53404.76</v>
      </c>
      <c r="H319" s="3">
        <f t="shared" si="10"/>
        <v>-558522.98</v>
      </c>
      <c r="I319" s="175">
        <f>H319-'[1]Aid Adjust'!$H319</f>
        <v>-17919.560000000056</v>
      </c>
    </row>
    <row r="320" spans="1:9" x14ac:dyDescent="0.2">
      <c r="A320" s="5">
        <v>2689</v>
      </c>
      <c r="B320" s="5">
        <v>1</v>
      </c>
      <c r="C320" s="2" t="s">
        <v>317</v>
      </c>
      <c r="D320" s="2">
        <f>Shift10!D320-Shift11!D320</f>
        <v>-214992.05</v>
      </c>
      <c r="E320" s="2">
        <f>Shift10!E320-Shift11!E320</f>
        <v>-335992.29000000004</v>
      </c>
      <c r="F320" s="2">
        <f t="shared" si="9"/>
        <v>-550984.34000000008</v>
      </c>
      <c r="G320" s="2">
        <f>Shift10!M320-Shift11!M320</f>
        <v>-44364.97</v>
      </c>
      <c r="H320" s="3">
        <f t="shared" si="10"/>
        <v>-595349.31000000006</v>
      </c>
      <c r="I320" s="175">
        <f>H320-'[1]Aid Adjust'!$H320</f>
        <v>-23713.930000000051</v>
      </c>
    </row>
    <row r="321" spans="1:9" x14ac:dyDescent="0.2">
      <c r="A321" s="5">
        <v>2711</v>
      </c>
      <c r="B321" s="5">
        <v>1</v>
      </c>
      <c r="C321" s="2" t="s">
        <v>318</v>
      </c>
      <c r="D321" s="2">
        <f>Shift10!D321-Shift11!D321</f>
        <v>0</v>
      </c>
      <c r="E321" s="2">
        <f>Shift10!E321-Shift11!E321</f>
        <v>0</v>
      </c>
      <c r="F321" s="2">
        <f t="shared" si="9"/>
        <v>0</v>
      </c>
      <c r="G321" s="2">
        <f>Shift10!M321-Shift11!M321</f>
        <v>0</v>
      </c>
      <c r="H321" s="3">
        <f t="shared" si="10"/>
        <v>0</v>
      </c>
      <c r="I321" s="175">
        <f>H321-'[1]Aid Adjust'!$H321</f>
        <v>0</v>
      </c>
    </row>
    <row r="322" spans="1:9" x14ac:dyDescent="0.2">
      <c r="A322" s="5">
        <v>2752</v>
      </c>
      <c r="B322" s="5">
        <v>1</v>
      </c>
      <c r="C322" s="2" t="s">
        <v>319</v>
      </c>
      <c r="D322" s="2">
        <f>Shift10!D322-Shift11!D322</f>
        <v>-684809.41</v>
      </c>
      <c r="E322" s="2">
        <f>Shift10!E322-Shift11!E322</f>
        <v>-301592.37</v>
      </c>
      <c r="F322" s="2">
        <f t="shared" si="9"/>
        <v>-986401.78</v>
      </c>
      <c r="G322" s="2">
        <f>Shift10!M322-Shift11!M322</f>
        <v>-70534.91</v>
      </c>
      <c r="H322" s="3">
        <f t="shared" si="10"/>
        <v>-1056936.69</v>
      </c>
      <c r="I322" s="175">
        <f>H322-'[1]Aid Adjust'!$H322</f>
        <v>-54580.109999999986</v>
      </c>
    </row>
    <row r="323" spans="1:9" x14ac:dyDescent="0.2">
      <c r="A323" s="5">
        <v>2753</v>
      </c>
      <c r="B323" s="5">
        <v>1</v>
      </c>
      <c r="C323" s="2" t="s">
        <v>320</v>
      </c>
      <c r="D323" s="2">
        <f>Shift10!D323-Shift11!D323</f>
        <v>-236184.76</v>
      </c>
      <c r="E323" s="2">
        <f>Shift10!E323-Shift11!E323</f>
        <v>-224368.69</v>
      </c>
      <c r="F323" s="2">
        <f t="shared" si="9"/>
        <v>-460553.45</v>
      </c>
      <c r="G323" s="2">
        <f>Shift10!M323-Shift11!M323</f>
        <v>-39612.57</v>
      </c>
      <c r="H323" s="3">
        <f t="shared" si="10"/>
        <v>-500166.02</v>
      </c>
      <c r="I323" s="175">
        <f>H323-'[1]Aid Adjust'!$H323</f>
        <v>-37073.540000000037</v>
      </c>
    </row>
    <row r="324" spans="1:9" x14ac:dyDescent="0.2">
      <c r="A324" s="5">
        <v>2754</v>
      </c>
      <c r="B324" s="5">
        <v>1</v>
      </c>
      <c r="C324" s="2" t="s">
        <v>321</v>
      </c>
      <c r="D324" s="2">
        <f>Shift10!D324-Shift11!D324</f>
        <v>-114056.15</v>
      </c>
      <c r="E324" s="2">
        <f>Shift10!E324-Shift11!E324</f>
        <v>0</v>
      </c>
      <c r="F324" s="2">
        <f t="shared" si="9"/>
        <v>-114056.15</v>
      </c>
      <c r="G324" s="2">
        <f>Shift10!M324-Shift11!M324</f>
        <v>-20860.580000000002</v>
      </c>
      <c r="H324" s="3">
        <f t="shared" si="10"/>
        <v>-134916.72999999998</v>
      </c>
      <c r="I324" s="175">
        <f>H324-'[1]Aid Adjust'!$H324</f>
        <v>-14756.729999999981</v>
      </c>
    </row>
    <row r="325" spans="1:9" x14ac:dyDescent="0.2">
      <c r="A325" s="5">
        <v>2759</v>
      </c>
      <c r="B325" s="5">
        <v>1</v>
      </c>
      <c r="C325" s="2" t="s">
        <v>322</v>
      </c>
      <c r="D325" s="2">
        <f>Shift10!D325-Shift11!D325</f>
        <v>-59016.38</v>
      </c>
      <c r="E325" s="2">
        <f>Shift10!E325-Shift11!E325</f>
        <v>-72934.31</v>
      </c>
      <c r="F325" s="2">
        <f t="shared" ref="F325:F342" si="11">D325+E325</f>
        <v>-131950.69</v>
      </c>
      <c r="G325" s="2">
        <f>Shift10!M325-Shift11!M325</f>
        <v>-11185.29</v>
      </c>
      <c r="H325" s="3">
        <f t="shared" ref="H325:H342" si="12">SUM(F325:G325)</f>
        <v>-143135.98000000001</v>
      </c>
      <c r="I325" s="175">
        <f>H325-'[1]Aid Adjust'!$H325</f>
        <v>-26492.720000000001</v>
      </c>
    </row>
    <row r="326" spans="1:9" x14ac:dyDescent="0.2">
      <c r="A326" s="5">
        <v>2805</v>
      </c>
      <c r="B326" s="5">
        <v>1</v>
      </c>
      <c r="C326" s="2" t="s">
        <v>323</v>
      </c>
      <c r="D326" s="2">
        <f>Shift10!D326-Shift11!D326</f>
        <v>-232809.09</v>
      </c>
      <c r="E326" s="2">
        <f>Shift10!E326-Shift11!E326</f>
        <v>-363227.68000000005</v>
      </c>
      <c r="F326" s="2">
        <f t="shared" si="11"/>
        <v>-596036.77</v>
      </c>
      <c r="G326" s="2">
        <f>Shift10!M326-Shift11!M326</f>
        <v>-63359.33</v>
      </c>
      <c r="H326" s="3">
        <f t="shared" si="12"/>
        <v>-659396.1</v>
      </c>
      <c r="I326" s="175">
        <f>H326-'[1]Aid Adjust'!$H326</f>
        <v>-22851.79999999993</v>
      </c>
    </row>
    <row r="327" spans="1:9" x14ac:dyDescent="0.2">
      <c r="A327" s="5">
        <v>2835</v>
      </c>
      <c r="B327" s="5">
        <v>1</v>
      </c>
      <c r="C327" s="2" t="s">
        <v>324</v>
      </c>
      <c r="D327" s="2">
        <f>Shift10!D327-Shift11!D327</f>
        <v>-112469.9</v>
      </c>
      <c r="E327" s="2">
        <f>Shift10!E327-Shift11!E327</f>
        <v>0</v>
      </c>
      <c r="F327" s="2">
        <f t="shared" si="11"/>
        <v>-112469.9</v>
      </c>
      <c r="G327" s="2">
        <f>Shift10!M327-Shift11!M327</f>
        <v>-29594.97</v>
      </c>
      <c r="H327" s="3">
        <f t="shared" si="12"/>
        <v>-142064.87</v>
      </c>
      <c r="I327" s="175">
        <f>H327-'[1]Aid Adjust'!$H327</f>
        <v>-11436.190000000002</v>
      </c>
    </row>
    <row r="328" spans="1:9" x14ac:dyDescent="0.2">
      <c r="A328" s="5">
        <v>2853</v>
      </c>
      <c r="B328" s="5">
        <v>1</v>
      </c>
      <c r="C328" s="2" t="s">
        <v>325</v>
      </c>
      <c r="D328" s="2">
        <f>Shift10!D328-Shift11!D328</f>
        <v>-232875.89</v>
      </c>
      <c r="E328" s="2">
        <f>Shift10!E328-Shift11!E328</f>
        <v>-284244.13</v>
      </c>
      <c r="F328" s="2">
        <f t="shared" si="11"/>
        <v>-517120.02</v>
      </c>
      <c r="G328" s="2">
        <f>Shift10!M328-Shift11!M328</f>
        <v>-59970.55</v>
      </c>
      <c r="H328" s="3">
        <f t="shared" si="12"/>
        <v>-577090.57000000007</v>
      </c>
      <c r="I328" s="175">
        <f>H328-'[1]Aid Adjust'!$H328</f>
        <v>-38865.710000000079</v>
      </c>
    </row>
    <row r="329" spans="1:9" x14ac:dyDescent="0.2">
      <c r="A329" s="5">
        <v>2854</v>
      </c>
      <c r="B329" s="5">
        <v>1</v>
      </c>
      <c r="C329" s="2" t="s">
        <v>326</v>
      </c>
      <c r="D329" s="2">
        <f>Shift10!D329-Shift11!D329</f>
        <v>-82061.820000000007</v>
      </c>
      <c r="E329" s="2">
        <f>Shift10!E329-Shift11!E329</f>
        <v>-42685.81</v>
      </c>
      <c r="F329" s="2">
        <f t="shared" si="11"/>
        <v>-124747.63</v>
      </c>
      <c r="G329" s="2">
        <f>Shift10!M329-Shift11!M329</f>
        <v>-15944</v>
      </c>
      <c r="H329" s="3">
        <f t="shared" si="12"/>
        <v>-140691.63</v>
      </c>
      <c r="I329" s="175">
        <f>H329-'[1]Aid Adjust'!$H329</f>
        <v>-8845.0100000000093</v>
      </c>
    </row>
    <row r="330" spans="1:9" x14ac:dyDescent="0.2">
      <c r="A330" s="5">
        <v>2856</v>
      </c>
      <c r="B330" s="5">
        <v>1</v>
      </c>
      <c r="C330" s="2" t="s">
        <v>327</v>
      </c>
      <c r="D330" s="2">
        <f>Shift10!D330-Shift11!D330</f>
        <v>-106937.24</v>
      </c>
      <c r="E330" s="2">
        <f>Shift10!E330-Shift11!E330</f>
        <v>0</v>
      </c>
      <c r="F330" s="2">
        <f t="shared" si="11"/>
        <v>-106937.24</v>
      </c>
      <c r="G330" s="2">
        <f>Shift10!M330-Shift11!M330</f>
        <v>-22977.59</v>
      </c>
      <c r="H330" s="3">
        <f t="shared" si="12"/>
        <v>-129914.83</v>
      </c>
      <c r="I330" s="175">
        <f>H330-'[1]Aid Adjust'!$H330</f>
        <v>-9874.7799999999988</v>
      </c>
    </row>
    <row r="331" spans="1:9" x14ac:dyDescent="0.2">
      <c r="A331" s="5">
        <v>2859</v>
      </c>
      <c r="B331" s="5">
        <v>1</v>
      </c>
      <c r="C331" s="2" t="s">
        <v>328</v>
      </c>
      <c r="D331" s="2">
        <f>Shift10!D331-Shift11!D331</f>
        <v>-351533.67</v>
      </c>
      <c r="E331" s="2">
        <f>Shift10!E331-Shift11!E331</f>
        <v>-416611.36</v>
      </c>
      <c r="F331" s="2">
        <f t="shared" si="11"/>
        <v>-768145.03</v>
      </c>
      <c r="G331" s="2">
        <f>Shift10!M331-Shift11!M331</f>
        <v>-81906.59</v>
      </c>
      <c r="H331" s="3">
        <f t="shared" si="12"/>
        <v>-850051.62</v>
      </c>
      <c r="I331" s="175">
        <f>H331-'[1]Aid Adjust'!$H331</f>
        <v>-42954.830000000075</v>
      </c>
    </row>
    <row r="332" spans="1:9" x14ac:dyDescent="0.2">
      <c r="A332" s="5">
        <v>2860</v>
      </c>
      <c r="B332" s="5">
        <v>1</v>
      </c>
      <c r="C332" s="2" t="s">
        <v>329</v>
      </c>
      <c r="D332" s="2">
        <f>Shift10!D332-Shift11!D332</f>
        <v>-266143.57</v>
      </c>
      <c r="E332" s="2">
        <f>Shift10!E332-Shift11!E332</f>
        <v>-68685.950000000012</v>
      </c>
      <c r="F332" s="2">
        <f t="shared" si="11"/>
        <v>-334829.52</v>
      </c>
      <c r="G332" s="2">
        <f>Shift10!M332-Shift11!M332</f>
        <v>-62328.45</v>
      </c>
      <c r="H332" s="3">
        <f t="shared" si="12"/>
        <v>-397157.97000000003</v>
      </c>
      <c r="I332" s="175">
        <f>H332-'[1]Aid Adjust'!$H332</f>
        <v>-45864.56</v>
      </c>
    </row>
    <row r="333" spans="1:9" x14ac:dyDescent="0.2">
      <c r="A333" s="5">
        <v>2884</v>
      </c>
      <c r="B333" s="5">
        <v>1</v>
      </c>
      <c r="C333" s="2" t="s">
        <v>330</v>
      </c>
      <c r="D333" s="2">
        <f>Shift10!D333-Shift11!D333</f>
        <v>-128706.34</v>
      </c>
      <c r="E333" s="2">
        <f>Shift10!E333-Shift11!E333</f>
        <v>-211537</v>
      </c>
      <c r="F333" s="2">
        <f t="shared" si="11"/>
        <v>-340243.33999999997</v>
      </c>
      <c r="G333" s="2">
        <f>Shift10!M333-Shift11!M333</f>
        <v>-10012.09</v>
      </c>
      <c r="H333" s="3">
        <f t="shared" si="12"/>
        <v>-350255.43</v>
      </c>
      <c r="I333" s="175">
        <f>H333-'[1]Aid Adjust'!$H333</f>
        <v>-14225.770000000019</v>
      </c>
    </row>
    <row r="334" spans="1:9" x14ac:dyDescent="0.2">
      <c r="A334" s="5">
        <v>2886</v>
      </c>
      <c r="B334" s="5">
        <v>1</v>
      </c>
      <c r="C334" s="2" t="s">
        <v>331</v>
      </c>
      <c r="D334" s="2">
        <f>Shift10!D334-Shift11!D334</f>
        <v>-103952.06</v>
      </c>
      <c r="E334" s="2">
        <f>Shift10!E334-Shift11!E334</f>
        <v>0</v>
      </c>
      <c r="F334" s="2">
        <f t="shared" si="11"/>
        <v>-103952.06</v>
      </c>
      <c r="G334" s="2">
        <f>Shift10!M334-Shift11!M334</f>
        <v>-11368.9</v>
      </c>
      <c r="H334" s="3">
        <f t="shared" si="12"/>
        <v>-115320.95999999999</v>
      </c>
      <c r="I334" s="175">
        <f>H334-'[1]Aid Adjust'!$H334</f>
        <v>-10487.989999999991</v>
      </c>
    </row>
    <row r="335" spans="1:9" x14ac:dyDescent="0.2">
      <c r="A335" s="5">
        <v>2888</v>
      </c>
      <c r="B335" s="5">
        <v>1</v>
      </c>
      <c r="C335" s="2" t="s">
        <v>332</v>
      </c>
      <c r="D335" s="2">
        <f>Shift10!D335-Shift11!D335</f>
        <v>-76817.240000000005</v>
      </c>
      <c r="E335" s="2">
        <f>Shift10!E335-Shift11!E335</f>
        <v>-73244.789999999994</v>
      </c>
      <c r="F335" s="2">
        <f t="shared" si="11"/>
        <v>-150062.03</v>
      </c>
      <c r="G335" s="2">
        <f>Shift10!M335-Shift11!M335</f>
        <v>-16532.71</v>
      </c>
      <c r="H335" s="3">
        <f t="shared" si="12"/>
        <v>-166594.74</v>
      </c>
      <c r="I335" s="175">
        <f>H335-'[1]Aid Adjust'!$H335</f>
        <v>-7538.3500000000058</v>
      </c>
    </row>
    <row r="336" spans="1:9" x14ac:dyDescent="0.2">
      <c r="A336" s="5">
        <v>2889</v>
      </c>
      <c r="B336" s="5">
        <v>1</v>
      </c>
      <c r="C336" s="2" t="s">
        <v>333</v>
      </c>
      <c r="D336" s="2">
        <f>Shift10!D336-Shift11!D336</f>
        <v>-144443.6</v>
      </c>
      <c r="E336" s="2">
        <f>Shift10!E336-Shift11!E336</f>
        <v>-203862.16999999998</v>
      </c>
      <c r="F336" s="2">
        <f t="shared" si="11"/>
        <v>-348305.77</v>
      </c>
      <c r="G336" s="2">
        <f>Shift10!M336-Shift11!M336</f>
        <v>-33842.11</v>
      </c>
      <c r="H336" s="3">
        <f t="shared" si="12"/>
        <v>-382147.88</v>
      </c>
      <c r="I336" s="175">
        <f>H336-'[1]Aid Adjust'!$H336</f>
        <v>-2268.1000000000349</v>
      </c>
    </row>
    <row r="337" spans="1:9" x14ac:dyDescent="0.2">
      <c r="A337" s="5">
        <v>2890</v>
      </c>
      <c r="B337" s="5">
        <v>1</v>
      </c>
      <c r="C337" s="2" t="s">
        <v>334</v>
      </c>
      <c r="D337" s="2">
        <f>Shift10!D337-Shift11!D337</f>
        <v>-127469.88</v>
      </c>
      <c r="E337" s="2">
        <f>Shift10!E337-Shift11!E337</f>
        <v>-303792.56</v>
      </c>
      <c r="F337" s="2">
        <f t="shared" si="11"/>
        <v>-431262.44</v>
      </c>
      <c r="G337" s="2">
        <f>Shift10!M337-Shift11!M337</f>
        <v>-31495.97</v>
      </c>
      <c r="H337" s="3">
        <f t="shared" si="12"/>
        <v>-462758.41000000003</v>
      </c>
      <c r="I337" s="175">
        <f>H337-'[1]Aid Adjust'!$H337</f>
        <v>-14720.98000000004</v>
      </c>
    </row>
    <row r="338" spans="1:9" x14ac:dyDescent="0.2">
      <c r="A338" s="5">
        <v>2895</v>
      </c>
      <c r="B338" s="5">
        <v>1</v>
      </c>
      <c r="C338" s="2" t="s">
        <v>335</v>
      </c>
      <c r="D338" s="2">
        <f>Shift10!D338-Shift11!D338</f>
        <v>-265200.26</v>
      </c>
      <c r="E338" s="2">
        <f>Shift10!E338-Shift11!E338</f>
        <v>-424148.58</v>
      </c>
      <c r="F338" s="2">
        <f t="shared" si="11"/>
        <v>-689348.84000000008</v>
      </c>
      <c r="G338" s="2">
        <f>Shift10!M338-Shift11!M338</f>
        <v>-58524.61</v>
      </c>
      <c r="H338" s="3">
        <f t="shared" si="12"/>
        <v>-747873.45000000007</v>
      </c>
      <c r="I338" s="175">
        <f>H338-'[1]Aid Adjust'!$H338</f>
        <v>-30827.860000000102</v>
      </c>
    </row>
    <row r="339" spans="1:9" x14ac:dyDescent="0.2">
      <c r="A339" s="5">
        <v>2897</v>
      </c>
      <c r="B339" s="5">
        <v>1</v>
      </c>
      <c r="C339" s="2" t="s">
        <v>336</v>
      </c>
      <c r="D339" s="2">
        <f>Shift10!D339-Shift11!D339</f>
        <v>-178463.91</v>
      </c>
      <c r="E339" s="2">
        <f>Shift10!E339-Shift11!E339</f>
        <v>-181353.33</v>
      </c>
      <c r="F339" s="2">
        <f t="shared" si="11"/>
        <v>-359817.24</v>
      </c>
      <c r="G339" s="2">
        <f>Shift10!M339-Shift11!M339</f>
        <v>-52856.39</v>
      </c>
      <c r="H339" s="3">
        <f t="shared" si="12"/>
        <v>-412673.63</v>
      </c>
      <c r="I339" s="175">
        <f>H339-'[1]Aid Adjust'!$H339</f>
        <v>-12770.929999999993</v>
      </c>
    </row>
    <row r="340" spans="1:9" x14ac:dyDescent="0.2">
      <c r="A340" s="5">
        <v>2898</v>
      </c>
      <c r="B340" s="5">
        <v>1</v>
      </c>
      <c r="C340" s="2" t="s">
        <v>337</v>
      </c>
      <c r="D340" s="2">
        <f>Shift10!D340-Shift11!D340</f>
        <v>-120860.32</v>
      </c>
      <c r="E340" s="2">
        <f>Shift10!E340-Shift11!E340</f>
        <v>0</v>
      </c>
      <c r="F340" s="2">
        <f t="shared" si="11"/>
        <v>-120860.32</v>
      </c>
      <c r="G340" s="2">
        <f>Shift10!M340-Shift11!M340</f>
        <v>-18963.23</v>
      </c>
      <c r="H340" s="3">
        <f t="shared" si="12"/>
        <v>-139823.55000000002</v>
      </c>
      <c r="I340" s="175">
        <f>H340-'[1]Aid Adjust'!$H340</f>
        <v>-12474.510000000024</v>
      </c>
    </row>
    <row r="341" spans="1:9" x14ac:dyDescent="0.2">
      <c r="A341" s="5">
        <v>2899</v>
      </c>
      <c r="B341" s="5">
        <v>1</v>
      </c>
      <c r="C341" s="2" t="s">
        <v>503</v>
      </c>
      <c r="D341" s="2">
        <f>Shift10!D341-Shift11!D341</f>
        <v>-258778.19</v>
      </c>
      <c r="E341" s="2">
        <f>Shift10!E341-Shift11!E341</f>
        <v>-123705.32</v>
      </c>
      <c r="F341" s="2">
        <f t="shared" si="11"/>
        <v>-382483.51</v>
      </c>
      <c r="G341" s="2">
        <f>Shift10!M341-Shift11!M341</f>
        <v>-36888.86</v>
      </c>
      <c r="H341" s="3">
        <f t="shared" si="12"/>
        <v>-419372.37</v>
      </c>
      <c r="I341" s="175">
        <f>H341-'[1]Aid Adjust'!$H341</f>
        <v>-21649.049999999988</v>
      </c>
    </row>
    <row r="342" spans="1:9" x14ac:dyDescent="0.2">
      <c r="A342" s="5">
        <v>2902</v>
      </c>
      <c r="B342" s="5">
        <v>1</v>
      </c>
      <c r="C342" s="2" t="s">
        <v>502</v>
      </c>
      <c r="D342" s="2">
        <f>Shift10!D342-Shift11!D342</f>
        <v>-112044.65</v>
      </c>
      <c r="E342" s="2">
        <f>Shift10!E342-Shift11!E342</f>
        <v>-53091.349999999991</v>
      </c>
      <c r="F342" s="2">
        <f t="shared" si="11"/>
        <v>-165136</v>
      </c>
      <c r="G342" s="2">
        <f>Shift10!M342-Shift11!M342</f>
        <v>-45451.69</v>
      </c>
      <c r="H342" s="3">
        <f t="shared" si="12"/>
        <v>-210587.69</v>
      </c>
      <c r="I342" s="175">
        <f>H342-'[1]Aid Adjust'!$H342</f>
        <v>-26649.989999999991</v>
      </c>
    </row>
    <row r="343" spans="1:9" x14ac:dyDescent="0.2">
      <c r="A343" s="5">
        <v>2903</v>
      </c>
      <c r="B343" s="5">
        <v>1</v>
      </c>
      <c r="C343" s="2" t="s">
        <v>649</v>
      </c>
      <c r="D343" s="2">
        <f>Shift10!D343-Shift11!D343</f>
        <v>-243054.55</v>
      </c>
      <c r="E343" s="2">
        <f>Shift10!E343-Shift11!E343</f>
        <v>-98420.67</v>
      </c>
      <c r="F343" s="2">
        <f>D343+E343</f>
        <v>-341475.22</v>
      </c>
      <c r="G343" s="2">
        <f>Shift10!M343-Shift11!M343</f>
        <v>-24320.31</v>
      </c>
      <c r="H343" s="3">
        <f>SUM(F343:G343)</f>
        <v>-365795.52999999997</v>
      </c>
      <c r="I343" s="175">
        <f>H343-'[1]Aid Adjust'!$H343</f>
        <v>-85813.589999999967</v>
      </c>
    </row>
    <row r="344" spans="1:9" x14ac:dyDescent="0.2">
      <c r="A344" s="5">
        <v>2904</v>
      </c>
      <c r="B344" s="5">
        <v>1</v>
      </c>
      <c r="C344" s="2" t="s">
        <v>650</v>
      </c>
      <c r="D344" s="2">
        <f>Shift10!D344-Shift11!D344</f>
        <v>-203485.14</v>
      </c>
      <c r="E344" s="2">
        <f>Shift10!E344-Shift11!E344</f>
        <v>-159309.16999999998</v>
      </c>
      <c r="F344" s="2">
        <f>D344+E344</f>
        <v>-362794.31</v>
      </c>
      <c r="G344" s="2">
        <f>Shift10!M344-Shift11!M344</f>
        <v>-35965.46</v>
      </c>
      <c r="H344" s="3">
        <f>SUM(F344:G344)</f>
        <v>-398759.77</v>
      </c>
      <c r="I344" s="175">
        <f>H344-'[1]Aid Adjust'!$H344</f>
        <v>-26946.650000000023</v>
      </c>
    </row>
  </sheetData>
  <phoneticPr fontId="0" type="noConversion"/>
  <printOptions gridLines="1"/>
  <pageMargins left="0.5" right="0.5" top="0.5" bottom="0.5" header="0.5" footer="0.5"/>
  <pageSetup scale="95" fitToHeight="0" orientation="portrait" r:id="rId1"/>
  <headerFooter alignWithMargins="0">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44"/>
  <sheetViews>
    <sheetView workbookViewId="0">
      <pane xSplit="3" ySplit="7" topLeftCell="D8" activePane="bottomRight" state="frozen"/>
      <selection pane="topRight" activeCell="D1" sqref="D1"/>
      <selection pane="bottomLeft" activeCell="A8" sqref="A8"/>
      <selection pane="bottomRight" activeCell="A8" sqref="A8"/>
    </sheetView>
  </sheetViews>
  <sheetFormatPr defaultRowHeight="11.25" x14ac:dyDescent="0.2"/>
  <cols>
    <col min="1" max="2" width="6.83203125" style="18" customWidth="1"/>
    <col min="3" max="3" width="20.83203125" style="3" customWidth="1"/>
    <col min="4" max="6" width="14.83203125" style="3" customWidth="1"/>
    <col min="7" max="14" width="13.83203125" style="3" customWidth="1"/>
    <col min="15" max="17" width="14.83203125" style="3" customWidth="1"/>
    <col min="18" max="16384" width="9.33203125" style="3"/>
  </cols>
  <sheetData>
    <row r="1" spans="1:17" x14ac:dyDescent="0.2">
      <c r="A1" s="22" t="str">
        <f>Instructions!P1&amp;" Gross Shift"</f>
        <v>Pay 2011 Gross Shift</v>
      </c>
      <c r="Q1" s="148">
        <f>Report!I1</f>
        <v>40795</v>
      </c>
    </row>
    <row r="3" spans="1:17" x14ac:dyDescent="0.2">
      <c r="A3" s="18" t="s">
        <v>465</v>
      </c>
      <c r="B3" s="151">
        <v>0.48599999999999999</v>
      </c>
    </row>
    <row r="4" spans="1:17" s="9" customFormat="1" ht="22.5" x14ac:dyDescent="0.2">
      <c r="A4" s="156"/>
      <c r="B4" s="156"/>
      <c r="D4" s="9" t="s">
        <v>361</v>
      </c>
      <c r="E4" s="9" t="s">
        <v>362</v>
      </c>
      <c r="F4" s="9" t="s">
        <v>363</v>
      </c>
      <c r="G4" s="9" t="s">
        <v>360</v>
      </c>
      <c r="H4" s="9" t="s">
        <v>464</v>
      </c>
      <c r="I4" s="153" t="s">
        <v>364</v>
      </c>
      <c r="J4" s="9" t="s">
        <v>365</v>
      </c>
      <c r="K4" s="9" t="s">
        <v>366</v>
      </c>
      <c r="L4" s="9" t="s">
        <v>498</v>
      </c>
      <c r="M4" s="9" t="s">
        <v>358</v>
      </c>
      <c r="N4" s="9" t="s">
        <v>499</v>
      </c>
      <c r="O4" s="9" t="s">
        <v>500</v>
      </c>
      <c r="P4" s="9" t="s">
        <v>644</v>
      </c>
      <c r="Q4" s="9" t="s">
        <v>645</v>
      </c>
    </row>
    <row r="6" spans="1:17" x14ac:dyDescent="0.2">
      <c r="C6" s="3" t="s">
        <v>347</v>
      </c>
      <c r="D6" s="3">
        <f>SUM(D8:D344)</f>
        <v>247348012.89999998</v>
      </c>
      <c r="E6" s="3">
        <f t="shared" ref="E6:Q6" si="0">SUM(E8:E344)</f>
        <v>245503404.36999995</v>
      </c>
      <c r="F6" s="3">
        <f t="shared" si="0"/>
        <v>114228540.45999998</v>
      </c>
      <c r="G6" s="3">
        <f t="shared" si="0"/>
        <v>4282529.1899999995</v>
      </c>
      <c r="H6" s="3">
        <f t="shared" si="0"/>
        <v>14684640.439999999</v>
      </c>
      <c r="I6" s="3">
        <f t="shared" si="0"/>
        <v>28020390.760000002</v>
      </c>
      <c r="J6" s="3">
        <f t="shared" si="0"/>
        <v>-172020.46</v>
      </c>
      <c r="K6" s="3">
        <f t="shared" si="0"/>
        <v>14230410.400000008</v>
      </c>
      <c r="L6" s="3">
        <f t="shared" si="0"/>
        <v>0</v>
      </c>
      <c r="M6" s="3">
        <f t="shared" si="0"/>
        <v>35601748.930000007</v>
      </c>
      <c r="N6" s="3">
        <f t="shared" si="0"/>
        <v>0</v>
      </c>
      <c r="O6" s="3">
        <f t="shared" si="0"/>
        <v>703727656.99000037</v>
      </c>
      <c r="P6" s="3">
        <f t="shared" si="0"/>
        <v>668125908.05999959</v>
      </c>
      <c r="Q6" s="3">
        <f t="shared" si="0"/>
        <v>35601748.930000007</v>
      </c>
    </row>
    <row r="8" spans="1:17" x14ac:dyDescent="0.2">
      <c r="A8" s="18">
        <v>1</v>
      </c>
      <c r="B8" s="18">
        <v>1</v>
      </c>
      <c r="C8" s="3" t="s">
        <v>6</v>
      </c>
      <c r="D8" s="3">
        <f>ROUND(Data!AC8*$B$3,2)</f>
        <v>416627.8</v>
      </c>
      <c r="E8" s="3">
        <f>MAX(0,Data!AF8-Data!Y8)</f>
        <v>0</v>
      </c>
      <c r="F8" s="3">
        <f>Data!Y8</f>
        <v>141143.88</v>
      </c>
      <c r="G8" s="3">
        <f>Data!X8</f>
        <v>0</v>
      </c>
      <c r="H8" s="3">
        <f>Data!K8+Data!R8</f>
        <v>25634.829999999998</v>
      </c>
      <c r="I8" s="3">
        <f>Data!I8+Data!L8+Data!M8+Data!N8+Data!O8+Data!S8</f>
        <v>0</v>
      </c>
      <c r="J8" s="3">
        <f>Data!Q8</f>
        <v>0</v>
      </c>
      <c r="K8" s="3">
        <f>Data!J8+Data!P8</f>
        <v>3404.09</v>
      </c>
      <c r="L8" s="3">
        <f>Data!T8</f>
        <v>0</v>
      </c>
      <c r="M8" s="3">
        <f>ROUND(Data!AD8*$B$3,2)</f>
        <v>2504.5700000000002</v>
      </c>
      <c r="N8" s="3">
        <f>Data!U8</f>
        <v>0</v>
      </c>
      <c r="O8" s="3">
        <f>SUM(D8:N8)</f>
        <v>589315.16999999981</v>
      </c>
      <c r="P8" s="3">
        <f>SUM(D8:L8)</f>
        <v>586810.59999999986</v>
      </c>
      <c r="Q8" s="3">
        <f>SUM(M8:N8)</f>
        <v>2504.5700000000002</v>
      </c>
    </row>
    <row r="9" spans="1:17" x14ac:dyDescent="0.2">
      <c r="A9" s="18">
        <v>1.2</v>
      </c>
      <c r="B9" s="18">
        <v>3</v>
      </c>
      <c r="C9" s="3" t="s">
        <v>7</v>
      </c>
      <c r="D9" s="3">
        <f>ROUND(Data!AC9*$B$3,2)</f>
        <v>14582222.49</v>
      </c>
      <c r="E9" s="3">
        <f>MAX(0,Data!AF9-Data!Y9)</f>
        <v>21821401.640000001</v>
      </c>
      <c r="F9" s="3">
        <f>Data!Y9</f>
        <v>10049626.5</v>
      </c>
      <c r="G9" s="3">
        <f>Data!X9</f>
        <v>1205612.71</v>
      </c>
      <c r="H9" s="3">
        <f>Data!K9+Data!R9</f>
        <v>529738.02</v>
      </c>
      <c r="I9" s="3">
        <f>Data!I9+Data!L9+Data!M9+Data!N9+Data!O9+Data!S9</f>
        <v>8867688.2599999998</v>
      </c>
      <c r="J9" s="3">
        <f>Data!Q9</f>
        <v>0</v>
      </c>
      <c r="K9" s="3">
        <f>Data!J9+Data!P9</f>
        <v>1757181.65</v>
      </c>
      <c r="L9" s="3">
        <f>Data!T9</f>
        <v>0</v>
      </c>
      <c r="M9" s="3">
        <f>ROUND(Data!AD9*$B$3,2)</f>
        <v>1994567.95</v>
      </c>
      <c r="N9" s="3">
        <f>Data!U9</f>
        <v>0</v>
      </c>
      <c r="O9" s="3">
        <f t="shared" ref="O9:O71" si="1">SUM(D9:N9)</f>
        <v>60808039.220000006</v>
      </c>
      <c r="P9" s="3">
        <f t="shared" ref="P9:P71" si="2">SUM(D9:L9)</f>
        <v>58813471.270000003</v>
      </c>
      <c r="Q9" s="3">
        <f t="shared" ref="Q9:Q71" si="3">SUM(M9:N9)</f>
        <v>1994567.95</v>
      </c>
    </row>
    <row r="10" spans="1:17" x14ac:dyDescent="0.2">
      <c r="A10" s="18">
        <v>2</v>
      </c>
      <c r="B10" s="18">
        <v>1</v>
      </c>
      <c r="C10" s="3" t="s">
        <v>8</v>
      </c>
      <c r="D10" s="3">
        <f>ROUND(Data!AC10*$B$3,2)</f>
        <v>47119.75</v>
      </c>
      <c r="E10" s="3">
        <f>MAX(0,Data!AF10-Data!Y10)</f>
        <v>0</v>
      </c>
      <c r="F10" s="3">
        <f>Data!Y10</f>
        <v>0</v>
      </c>
      <c r="G10" s="3">
        <f>Data!X10</f>
        <v>0</v>
      </c>
      <c r="H10" s="3">
        <f>Data!K10+Data!R10</f>
        <v>10000</v>
      </c>
      <c r="I10" s="3">
        <f>Data!I10+Data!L10+Data!M10+Data!N10+Data!O10+Data!S10</f>
        <v>0</v>
      </c>
      <c r="J10" s="3">
        <f>Data!Q10</f>
        <v>0</v>
      </c>
      <c r="K10" s="3">
        <f>Data!J10+Data!P10</f>
        <v>4391.84</v>
      </c>
      <c r="L10" s="3">
        <f>Data!T10</f>
        <v>0</v>
      </c>
      <c r="M10" s="3">
        <f>ROUND(Data!AD10*$B$3,2)</f>
        <v>9191.86</v>
      </c>
      <c r="N10" s="3">
        <f>Data!U10</f>
        <v>0</v>
      </c>
      <c r="O10" s="3">
        <f t="shared" si="1"/>
        <v>70703.45</v>
      </c>
      <c r="P10" s="3">
        <f t="shared" si="2"/>
        <v>61511.59</v>
      </c>
      <c r="Q10" s="3">
        <f t="shared" si="3"/>
        <v>9191.86</v>
      </c>
    </row>
    <row r="11" spans="1:17" x14ac:dyDescent="0.2">
      <c r="A11" s="18">
        <v>4</v>
      </c>
      <c r="B11" s="18">
        <v>1</v>
      </c>
      <c r="C11" s="3" t="s">
        <v>9</v>
      </c>
      <c r="D11" s="3">
        <f>ROUND(Data!AC11*$B$3,2)</f>
        <v>172561.5</v>
      </c>
      <c r="E11" s="3">
        <f>MAX(0,Data!AF11-Data!Y11)</f>
        <v>0</v>
      </c>
      <c r="F11" s="3">
        <f>Data!Y11</f>
        <v>51784.65</v>
      </c>
      <c r="G11" s="3">
        <f>Data!X11</f>
        <v>0</v>
      </c>
      <c r="H11" s="3">
        <f>Data!K11+Data!R11</f>
        <v>10000</v>
      </c>
      <c r="I11" s="3">
        <f>Data!I11+Data!L11+Data!M11+Data!N11+Data!O11+Data!S11</f>
        <v>0</v>
      </c>
      <c r="J11" s="3">
        <f>Data!Q11</f>
        <v>0</v>
      </c>
      <c r="K11" s="3">
        <f>Data!J11+Data!P11</f>
        <v>20099.8</v>
      </c>
      <c r="L11" s="3">
        <f>Data!T11</f>
        <v>0</v>
      </c>
      <c r="M11" s="3">
        <f>ROUND(Data!AD11*$B$3,2)</f>
        <v>25328.41</v>
      </c>
      <c r="N11" s="3">
        <f>Data!U11</f>
        <v>0</v>
      </c>
      <c r="O11" s="3">
        <f t="shared" si="1"/>
        <v>279774.36</v>
      </c>
      <c r="P11" s="3">
        <f t="shared" si="2"/>
        <v>254445.94999999998</v>
      </c>
      <c r="Q11" s="3">
        <f t="shared" si="3"/>
        <v>25328.41</v>
      </c>
    </row>
    <row r="12" spans="1:17" x14ac:dyDescent="0.2">
      <c r="A12" s="18">
        <v>6</v>
      </c>
      <c r="B12" s="18">
        <v>3</v>
      </c>
      <c r="C12" s="3" t="s">
        <v>10</v>
      </c>
      <c r="D12" s="3">
        <f>ROUND(Data!AC12*$B$3,2)</f>
        <v>1300935.33</v>
      </c>
      <c r="E12" s="3">
        <f>MAX(0,Data!AF12-Data!Y12)</f>
        <v>1196068.43</v>
      </c>
      <c r="F12" s="3">
        <f>Data!Y12</f>
        <v>360711.07</v>
      </c>
      <c r="G12" s="3">
        <f>Data!X12</f>
        <v>0</v>
      </c>
      <c r="H12" s="3">
        <f>Data!K12+Data!R12</f>
        <v>60380</v>
      </c>
      <c r="I12" s="3">
        <f>Data!I12+Data!L12+Data!M12+Data!N12+Data!O12+Data!S12</f>
        <v>0</v>
      </c>
      <c r="J12" s="3">
        <f>Data!Q12</f>
        <v>0</v>
      </c>
      <c r="K12" s="3">
        <f>Data!J12+Data!P12</f>
        <v>31382.34</v>
      </c>
      <c r="L12" s="3">
        <f>Data!T12</f>
        <v>0</v>
      </c>
      <c r="M12" s="3">
        <f>ROUND(Data!AD12*$B$3,2)</f>
        <v>146893.99</v>
      </c>
      <c r="N12" s="3">
        <f>Data!U12</f>
        <v>0</v>
      </c>
      <c r="O12" s="3">
        <f t="shared" si="1"/>
        <v>3096371.1599999992</v>
      </c>
      <c r="P12" s="3">
        <f t="shared" si="2"/>
        <v>2949477.1699999995</v>
      </c>
      <c r="Q12" s="3">
        <f t="shared" si="3"/>
        <v>146893.99</v>
      </c>
    </row>
    <row r="13" spans="1:17" x14ac:dyDescent="0.2">
      <c r="A13" s="18">
        <v>11</v>
      </c>
      <c r="B13" s="18">
        <v>1</v>
      </c>
      <c r="C13" s="3" t="s">
        <v>11</v>
      </c>
      <c r="D13" s="3">
        <f>ROUND(Data!AC13*$B$3,2)</f>
        <v>11892198.52</v>
      </c>
      <c r="E13" s="3">
        <f>MAX(0,Data!AF13-Data!Y13)</f>
        <v>21005183.710000001</v>
      </c>
      <c r="F13" s="3">
        <f>Data!Y13</f>
        <v>3515884.7</v>
      </c>
      <c r="G13" s="3">
        <f>Data!X13</f>
        <v>197692.1</v>
      </c>
      <c r="H13" s="3">
        <f>Data!K13+Data!R13</f>
        <v>803790.4</v>
      </c>
      <c r="I13" s="3">
        <f>Data!I13+Data!L13+Data!M13+Data!N13+Data!O13+Data!S13</f>
        <v>0</v>
      </c>
      <c r="J13" s="3">
        <f>Data!Q13</f>
        <v>0</v>
      </c>
      <c r="K13" s="3">
        <f>Data!J13+Data!P13</f>
        <v>635663.96</v>
      </c>
      <c r="L13" s="3">
        <f>Data!T13</f>
        <v>0</v>
      </c>
      <c r="M13" s="3">
        <f>ROUND(Data!AD13*$B$3,2)</f>
        <v>1584570.55</v>
      </c>
      <c r="N13" s="3">
        <f>Data!U13</f>
        <v>0</v>
      </c>
      <c r="O13" s="3">
        <f t="shared" si="1"/>
        <v>39634983.939999998</v>
      </c>
      <c r="P13" s="3">
        <f t="shared" si="2"/>
        <v>38050413.390000001</v>
      </c>
      <c r="Q13" s="3">
        <f t="shared" si="3"/>
        <v>1584570.55</v>
      </c>
    </row>
    <row r="14" spans="1:17" x14ac:dyDescent="0.2">
      <c r="A14" s="18">
        <v>12</v>
      </c>
      <c r="B14" s="18">
        <v>1</v>
      </c>
      <c r="C14" s="3" t="s">
        <v>12</v>
      </c>
      <c r="D14" s="3">
        <f>ROUND(Data!AC14*$B$3,2)</f>
        <v>1569454.14</v>
      </c>
      <c r="E14" s="3">
        <f>MAX(0,Data!AF14-Data!Y14)</f>
        <v>1744179.29</v>
      </c>
      <c r="F14" s="3">
        <f>Data!Y14</f>
        <v>320094.52</v>
      </c>
      <c r="G14" s="3">
        <f>Data!X14</f>
        <v>16533.75</v>
      </c>
      <c r="H14" s="3">
        <f>Data!K14+Data!R14</f>
        <v>98681.4</v>
      </c>
      <c r="I14" s="3">
        <f>Data!I14+Data!L14+Data!M14+Data!N14+Data!O14+Data!S14</f>
        <v>0</v>
      </c>
      <c r="J14" s="3">
        <f>Data!Q14</f>
        <v>0</v>
      </c>
      <c r="K14" s="3">
        <f>Data!J14+Data!P14</f>
        <v>131350.46</v>
      </c>
      <c r="L14" s="3">
        <f>Data!T14</f>
        <v>0</v>
      </c>
      <c r="M14" s="3">
        <f>ROUND(Data!AD14*$B$3,2)</f>
        <v>225346.88</v>
      </c>
      <c r="N14" s="3">
        <f>Data!U14</f>
        <v>0</v>
      </c>
      <c r="O14" s="3">
        <f t="shared" si="1"/>
        <v>4105640.4399999995</v>
      </c>
      <c r="P14" s="3">
        <f t="shared" si="2"/>
        <v>3880293.5599999996</v>
      </c>
      <c r="Q14" s="3">
        <f t="shared" si="3"/>
        <v>225346.88</v>
      </c>
    </row>
    <row r="15" spans="1:17" x14ac:dyDescent="0.2">
      <c r="A15" s="18">
        <v>13</v>
      </c>
      <c r="B15" s="18">
        <v>1</v>
      </c>
      <c r="C15" s="3" t="s">
        <v>13</v>
      </c>
      <c r="D15" s="3">
        <f>ROUND(Data!AC15*$B$3,2)</f>
        <v>956603.97</v>
      </c>
      <c r="E15" s="3">
        <f>MAX(0,Data!AF15-Data!Y15)</f>
        <v>749319.29</v>
      </c>
      <c r="F15" s="3">
        <f>Data!Y15</f>
        <v>848958.71</v>
      </c>
      <c r="G15" s="3">
        <f>Data!X15</f>
        <v>0</v>
      </c>
      <c r="H15" s="3">
        <f>Data!K15+Data!R15</f>
        <v>52152</v>
      </c>
      <c r="I15" s="3">
        <f>Data!I15+Data!L15+Data!M15+Data!N15+Data!O15+Data!S15</f>
        <v>0</v>
      </c>
      <c r="J15" s="3">
        <f>Data!Q15</f>
        <v>0</v>
      </c>
      <c r="K15" s="3">
        <f>Data!J15+Data!P15</f>
        <v>39764.67</v>
      </c>
      <c r="L15" s="3">
        <f>Data!T15</f>
        <v>0</v>
      </c>
      <c r="M15" s="3">
        <f>ROUND(Data!AD15*$B$3,2)</f>
        <v>139529.13</v>
      </c>
      <c r="N15" s="3">
        <f>Data!U15</f>
        <v>0</v>
      </c>
      <c r="O15" s="3">
        <f t="shared" si="1"/>
        <v>2786327.7699999996</v>
      </c>
      <c r="P15" s="3">
        <f t="shared" si="2"/>
        <v>2646798.6399999997</v>
      </c>
      <c r="Q15" s="3">
        <f t="shared" si="3"/>
        <v>139529.13</v>
      </c>
    </row>
    <row r="16" spans="1:17" x14ac:dyDescent="0.2">
      <c r="A16" s="18">
        <v>14</v>
      </c>
      <c r="B16" s="18">
        <v>1</v>
      </c>
      <c r="C16" s="3" t="s">
        <v>14</v>
      </c>
      <c r="D16" s="3">
        <f>ROUND(Data!AC16*$B$3,2)</f>
        <v>1232060.3700000001</v>
      </c>
      <c r="E16" s="3">
        <f>MAX(0,Data!AF16-Data!Y16)</f>
        <v>917735.14999999991</v>
      </c>
      <c r="F16" s="3">
        <f>Data!Y16</f>
        <v>468605.33</v>
      </c>
      <c r="G16" s="3">
        <f>Data!X16</f>
        <v>0</v>
      </c>
      <c r="H16" s="3">
        <f>Data!K16+Data!R16</f>
        <v>58793.07</v>
      </c>
      <c r="I16" s="3">
        <f>Data!I16+Data!L16+Data!M16+Data!N16+Data!O16+Data!S16</f>
        <v>0</v>
      </c>
      <c r="J16" s="3">
        <f>Data!Q16</f>
        <v>0</v>
      </c>
      <c r="K16" s="3">
        <f>Data!J16+Data!P16</f>
        <v>81860.44</v>
      </c>
      <c r="L16" s="3">
        <f>Data!T16</f>
        <v>0</v>
      </c>
      <c r="M16" s="3">
        <f>ROUND(Data!AD16*$B$3,2)</f>
        <v>219361.65</v>
      </c>
      <c r="N16" s="3">
        <f>Data!U16</f>
        <v>0</v>
      </c>
      <c r="O16" s="3">
        <f t="shared" si="1"/>
        <v>2978416.01</v>
      </c>
      <c r="P16" s="3">
        <f t="shared" si="2"/>
        <v>2759054.36</v>
      </c>
      <c r="Q16" s="3">
        <f t="shared" si="3"/>
        <v>219361.65</v>
      </c>
    </row>
    <row r="17" spans="1:17" x14ac:dyDescent="0.2">
      <c r="A17" s="18">
        <v>15</v>
      </c>
      <c r="B17" s="18">
        <v>1</v>
      </c>
      <c r="C17" s="3" t="s">
        <v>15</v>
      </c>
      <c r="D17" s="3">
        <f>ROUND(Data!AC17*$B$3,2)</f>
        <v>1408196.89</v>
      </c>
      <c r="E17" s="3">
        <f>MAX(0,Data!AF17-Data!Y17)</f>
        <v>718737.90999999992</v>
      </c>
      <c r="F17" s="3">
        <f>Data!Y17</f>
        <v>288492.78999999998</v>
      </c>
      <c r="G17" s="3">
        <f>Data!X17</f>
        <v>0</v>
      </c>
      <c r="H17" s="3">
        <f>Data!K17+Data!R17</f>
        <v>106376</v>
      </c>
      <c r="I17" s="3">
        <f>Data!I17+Data!L17+Data!M17+Data!N17+Data!O17+Data!S17</f>
        <v>0</v>
      </c>
      <c r="J17" s="3">
        <f>Data!Q17</f>
        <v>0</v>
      </c>
      <c r="K17" s="3">
        <f>Data!J17+Data!P17</f>
        <v>113910.39999999999</v>
      </c>
      <c r="L17" s="3">
        <f>Data!T17</f>
        <v>0</v>
      </c>
      <c r="M17" s="3">
        <f>ROUND(Data!AD17*$B$3,2)</f>
        <v>194944.64000000001</v>
      </c>
      <c r="N17" s="3">
        <f>Data!U17</f>
        <v>0</v>
      </c>
      <c r="O17" s="3">
        <f t="shared" si="1"/>
        <v>2830658.63</v>
      </c>
      <c r="P17" s="3">
        <f t="shared" si="2"/>
        <v>2635713.9899999998</v>
      </c>
      <c r="Q17" s="3">
        <f t="shared" si="3"/>
        <v>194944.64000000001</v>
      </c>
    </row>
    <row r="18" spans="1:17" x14ac:dyDescent="0.2">
      <c r="A18" s="18">
        <v>16</v>
      </c>
      <c r="B18" s="18">
        <v>1</v>
      </c>
      <c r="C18" s="3" t="s">
        <v>16</v>
      </c>
      <c r="D18" s="3">
        <f>ROUND(Data!AC18*$B$3,2)</f>
        <v>1924985.47</v>
      </c>
      <c r="E18" s="3">
        <f>MAX(0,Data!AF18-Data!Y18)</f>
        <v>1416754.79</v>
      </c>
      <c r="F18" s="3">
        <f>Data!Y18</f>
        <v>804793.86</v>
      </c>
      <c r="G18" s="3">
        <f>Data!X18</f>
        <v>73286.44</v>
      </c>
      <c r="H18" s="3">
        <f>Data!K18+Data!R18</f>
        <v>68475.460000000006</v>
      </c>
      <c r="I18" s="3">
        <f>Data!I18+Data!L18+Data!M18+Data!N18+Data!O18+Data!S18</f>
        <v>0</v>
      </c>
      <c r="J18" s="3">
        <f>Data!Q18</f>
        <v>0</v>
      </c>
      <c r="K18" s="3">
        <f>Data!J18+Data!P18</f>
        <v>50745.490000000005</v>
      </c>
      <c r="L18" s="3">
        <f>Data!T18</f>
        <v>0</v>
      </c>
      <c r="M18" s="3">
        <f>ROUND(Data!AD18*$B$3,2)</f>
        <v>206222.85</v>
      </c>
      <c r="N18" s="3">
        <f>Data!U18</f>
        <v>0</v>
      </c>
      <c r="O18" s="3">
        <f t="shared" si="1"/>
        <v>4545264.3599999994</v>
      </c>
      <c r="P18" s="3">
        <f t="shared" si="2"/>
        <v>4339041.51</v>
      </c>
      <c r="Q18" s="3">
        <f t="shared" si="3"/>
        <v>206222.85</v>
      </c>
    </row>
    <row r="19" spans="1:17" x14ac:dyDescent="0.2">
      <c r="A19" s="18">
        <v>22</v>
      </c>
      <c r="B19" s="18">
        <v>1</v>
      </c>
      <c r="C19" s="3" t="s">
        <v>17</v>
      </c>
      <c r="D19" s="3">
        <f>ROUND(Data!AC19*$B$3,2)</f>
        <v>699396.81</v>
      </c>
      <c r="E19" s="3">
        <f>MAX(0,Data!AF19-Data!Y19)</f>
        <v>523861.91000000003</v>
      </c>
      <c r="F19" s="3">
        <f>Data!Y19</f>
        <v>133298.49</v>
      </c>
      <c r="G19" s="3">
        <f>Data!X19</f>
        <v>0</v>
      </c>
      <c r="H19" s="3">
        <f>Data!K19+Data!R19</f>
        <v>48230.37</v>
      </c>
      <c r="I19" s="3">
        <f>Data!I19+Data!L19+Data!M19+Data!N19+Data!O19+Data!S19</f>
        <v>0</v>
      </c>
      <c r="J19" s="3">
        <f>Data!Q19</f>
        <v>0</v>
      </c>
      <c r="K19" s="3">
        <f>Data!J19+Data!P19</f>
        <v>16233.03</v>
      </c>
      <c r="L19" s="3">
        <f>Data!T19</f>
        <v>0</v>
      </c>
      <c r="M19" s="3">
        <f>ROUND(Data!AD19*$B$3,2)</f>
        <v>96544.98</v>
      </c>
      <c r="N19" s="3">
        <f>Data!U19</f>
        <v>0</v>
      </c>
      <c r="O19" s="3">
        <f t="shared" si="1"/>
        <v>1517565.5900000003</v>
      </c>
      <c r="P19" s="3">
        <f t="shared" si="2"/>
        <v>1421020.6100000003</v>
      </c>
      <c r="Q19" s="3">
        <f t="shared" si="3"/>
        <v>96544.98</v>
      </c>
    </row>
    <row r="20" spans="1:17" x14ac:dyDescent="0.2">
      <c r="A20" s="18">
        <v>23</v>
      </c>
      <c r="B20" s="18">
        <v>1</v>
      </c>
      <c r="C20" s="3" t="s">
        <v>18</v>
      </c>
      <c r="D20" s="3">
        <f>ROUND(Data!AC20*$B$3,2)</f>
        <v>181276.24</v>
      </c>
      <c r="E20" s="3">
        <f>MAX(0,Data!AF20-Data!Y20)</f>
        <v>473991.82</v>
      </c>
      <c r="F20" s="3">
        <f>Data!Y20</f>
        <v>0</v>
      </c>
      <c r="G20" s="3">
        <f>Data!X20</f>
        <v>0</v>
      </c>
      <c r="H20" s="3">
        <f>Data!K20+Data!R20</f>
        <v>24222.38</v>
      </c>
      <c r="I20" s="3">
        <f>Data!I20+Data!L20+Data!M20+Data!N20+Data!O20+Data!S20</f>
        <v>0</v>
      </c>
      <c r="J20" s="3">
        <f>Data!Q20</f>
        <v>0</v>
      </c>
      <c r="K20" s="3">
        <f>Data!J20+Data!P20</f>
        <v>10000</v>
      </c>
      <c r="L20" s="3">
        <f>Data!T20</f>
        <v>0</v>
      </c>
      <c r="M20" s="3">
        <f>ROUND(Data!AD20*$B$3,2)</f>
        <v>40453.61</v>
      </c>
      <c r="N20" s="3">
        <f>Data!U20</f>
        <v>0</v>
      </c>
      <c r="O20" s="3">
        <f t="shared" si="1"/>
        <v>729944.05</v>
      </c>
      <c r="P20" s="3">
        <f t="shared" si="2"/>
        <v>689490.44000000006</v>
      </c>
      <c r="Q20" s="3">
        <f t="shared" si="3"/>
        <v>40453.61</v>
      </c>
    </row>
    <row r="21" spans="1:17" x14ac:dyDescent="0.2">
      <c r="A21" s="18">
        <v>25</v>
      </c>
      <c r="B21" s="18">
        <v>1</v>
      </c>
      <c r="C21" s="3" t="s">
        <v>348</v>
      </c>
      <c r="D21" s="3">
        <f>ROUND(Data!AC21*$B$3,2)</f>
        <v>0</v>
      </c>
      <c r="E21" s="3">
        <f>MAX(0,Data!AF21-Data!Y21)</f>
        <v>0</v>
      </c>
      <c r="F21" s="3">
        <f>Data!Y21</f>
        <v>0</v>
      </c>
      <c r="G21" s="3">
        <f>Data!X21</f>
        <v>0</v>
      </c>
      <c r="H21" s="3">
        <f>Data!K21+Data!R21</f>
        <v>0</v>
      </c>
      <c r="I21" s="3">
        <f>Data!I21+Data!L21+Data!M21+Data!N21+Data!O21+Data!S21</f>
        <v>0</v>
      </c>
      <c r="J21" s="3">
        <f>Data!Q21</f>
        <v>0</v>
      </c>
      <c r="K21" s="3">
        <f>Data!J21+Data!P21</f>
        <v>0</v>
      </c>
      <c r="L21" s="3">
        <f>Data!T21</f>
        <v>0</v>
      </c>
      <c r="M21" s="3">
        <f>ROUND(Data!AD21*$B$3,2)</f>
        <v>0</v>
      </c>
      <c r="N21" s="3">
        <f>Data!U21</f>
        <v>0</v>
      </c>
      <c r="O21" s="3">
        <f t="shared" si="1"/>
        <v>0</v>
      </c>
      <c r="P21" s="3">
        <f t="shared" si="2"/>
        <v>0</v>
      </c>
      <c r="Q21" s="3">
        <f t="shared" si="3"/>
        <v>0</v>
      </c>
    </row>
    <row r="22" spans="1:17" x14ac:dyDescent="0.2">
      <c r="A22" s="18">
        <v>31</v>
      </c>
      <c r="B22" s="18">
        <v>1</v>
      </c>
      <c r="C22" s="3" t="s">
        <v>19</v>
      </c>
      <c r="D22" s="3">
        <f>ROUND(Data!AC22*$B$3,2)</f>
        <v>963051.19</v>
      </c>
      <c r="E22" s="3">
        <f>MAX(0,Data!AF22-Data!Y22)</f>
        <v>897943.40999999992</v>
      </c>
      <c r="F22" s="3">
        <f>Data!Y22</f>
        <v>195530.98</v>
      </c>
      <c r="G22" s="3">
        <f>Data!X22</f>
        <v>0</v>
      </c>
      <c r="H22" s="3">
        <f>Data!K22+Data!R22</f>
        <v>95528.71</v>
      </c>
      <c r="I22" s="3">
        <f>Data!I22+Data!L22+Data!M22+Data!N22+Data!O22+Data!S22</f>
        <v>0</v>
      </c>
      <c r="J22" s="3">
        <f>Data!Q22</f>
        <v>0</v>
      </c>
      <c r="K22" s="3">
        <f>Data!J22+Data!P22</f>
        <v>34695.910000000003</v>
      </c>
      <c r="L22" s="3">
        <f>Data!T22</f>
        <v>0</v>
      </c>
      <c r="M22" s="3">
        <f>ROUND(Data!AD22*$B$3,2)</f>
        <v>175146.08</v>
      </c>
      <c r="N22" s="3">
        <f>Data!U22</f>
        <v>0</v>
      </c>
      <c r="O22" s="3">
        <f t="shared" si="1"/>
        <v>2361896.2800000003</v>
      </c>
      <c r="P22" s="3">
        <f t="shared" si="2"/>
        <v>2186750.2000000002</v>
      </c>
      <c r="Q22" s="3">
        <f t="shared" si="3"/>
        <v>175146.08</v>
      </c>
    </row>
    <row r="23" spans="1:17" x14ac:dyDescent="0.2">
      <c r="A23" s="18">
        <v>32</v>
      </c>
      <c r="B23" s="18">
        <v>1</v>
      </c>
      <c r="C23" s="3" t="s">
        <v>20</v>
      </c>
      <c r="D23" s="3">
        <f>ROUND(Data!AC23*$B$3,2)</f>
        <v>141069.07999999999</v>
      </c>
      <c r="E23" s="3">
        <f>MAX(0,Data!AF23-Data!Y23)</f>
        <v>185.76</v>
      </c>
      <c r="F23" s="3">
        <f>Data!Y23</f>
        <v>0</v>
      </c>
      <c r="G23" s="3">
        <f>Data!X23</f>
        <v>0</v>
      </c>
      <c r="H23" s="3">
        <f>Data!K23+Data!R23</f>
        <v>18345.52</v>
      </c>
      <c r="I23" s="3">
        <f>Data!I23+Data!L23+Data!M23+Data!N23+Data!O23+Data!S23</f>
        <v>0</v>
      </c>
      <c r="J23" s="3">
        <f>Data!Q23</f>
        <v>0</v>
      </c>
      <c r="K23" s="3">
        <f>Data!J23+Data!P23</f>
        <v>-1405.9</v>
      </c>
      <c r="L23" s="3">
        <f>Data!T23</f>
        <v>0</v>
      </c>
      <c r="M23" s="3">
        <f>ROUND(Data!AD23*$B$3,2)</f>
        <v>17072.07</v>
      </c>
      <c r="N23" s="3">
        <f>Data!U23</f>
        <v>0</v>
      </c>
      <c r="O23" s="3">
        <f t="shared" si="1"/>
        <v>175266.53</v>
      </c>
      <c r="P23" s="3">
        <f t="shared" si="2"/>
        <v>158194.46</v>
      </c>
      <c r="Q23" s="3">
        <f t="shared" si="3"/>
        <v>17072.07</v>
      </c>
    </row>
    <row r="24" spans="1:17" x14ac:dyDescent="0.2">
      <c r="A24" s="18">
        <v>36</v>
      </c>
      <c r="B24" s="18">
        <v>1</v>
      </c>
      <c r="C24" s="3" t="s">
        <v>21</v>
      </c>
      <c r="D24" s="3">
        <f>ROUND(Data!AC24*$B$3,2)</f>
        <v>14617.32</v>
      </c>
      <c r="E24" s="3">
        <f>MAX(0,Data!AF24-Data!Y24)</f>
        <v>0</v>
      </c>
      <c r="F24" s="3">
        <f>Data!Y24</f>
        <v>0</v>
      </c>
      <c r="G24" s="3">
        <f>Data!X24</f>
        <v>0</v>
      </c>
      <c r="H24" s="3">
        <f>Data!K24+Data!R24</f>
        <v>0</v>
      </c>
      <c r="I24" s="3">
        <f>Data!I24+Data!L24+Data!M24+Data!N24+Data!O24+Data!S24</f>
        <v>0</v>
      </c>
      <c r="J24" s="3">
        <f>Data!Q24</f>
        <v>0</v>
      </c>
      <c r="K24" s="3">
        <f>Data!J24+Data!P24</f>
        <v>0</v>
      </c>
      <c r="L24" s="3">
        <f>Data!T24</f>
        <v>0</v>
      </c>
      <c r="M24" s="3">
        <f>ROUND(Data!AD24*$B$3,2)</f>
        <v>6083.69</v>
      </c>
      <c r="N24" s="3">
        <f>Data!U24</f>
        <v>0</v>
      </c>
      <c r="O24" s="3">
        <f t="shared" si="1"/>
        <v>20701.009999999998</v>
      </c>
      <c r="P24" s="3">
        <f t="shared" si="2"/>
        <v>14617.32</v>
      </c>
      <c r="Q24" s="3">
        <f t="shared" si="3"/>
        <v>6083.69</v>
      </c>
    </row>
    <row r="25" spans="1:17" x14ac:dyDescent="0.2">
      <c r="A25" s="18">
        <v>38</v>
      </c>
      <c r="B25" s="18">
        <v>1</v>
      </c>
      <c r="C25" s="3" t="s">
        <v>22</v>
      </c>
      <c r="D25" s="3">
        <f>ROUND(Data!AC25*$B$3,2)</f>
        <v>1608.58</v>
      </c>
      <c r="E25" s="3">
        <f>MAX(0,Data!AF25-Data!Y25)</f>
        <v>852.56</v>
      </c>
      <c r="F25" s="3">
        <f>Data!Y25</f>
        <v>149.12</v>
      </c>
      <c r="G25" s="3">
        <f>Data!X25</f>
        <v>0</v>
      </c>
      <c r="H25" s="3">
        <f>Data!K25+Data!R25</f>
        <v>-428.58</v>
      </c>
      <c r="I25" s="3">
        <f>Data!I25+Data!L25+Data!M25+Data!N25+Data!O25+Data!S25</f>
        <v>0</v>
      </c>
      <c r="J25" s="3">
        <f>Data!Q25</f>
        <v>0</v>
      </c>
      <c r="K25" s="3">
        <f>Data!J25+Data!P25</f>
        <v>0</v>
      </c>
      <c r="L25" s="3">
        <f>Data!T25</f>
        <v>0</v>
      </c>
      <c r="M25" s="3">
        <f>ROUND(Data!AD25*$B$3,2)</f>
        <v>58.28</v>
      </c>
      <c r="N25" s="3">
        <f>Data!U25</f>
        <v>0</v>
      </c>
      <c r="O25" s="3">
        <f t="shared" si="1"/>
        <v>2239.96</v>
      </c>
      <c r="P25" s="3">
        <f t="shared" si="2"/>
        <v>2181.6799999999998</v>
      </c>
      <c r="Q25" s="3">
        <f t="shared" si="3"/>
        <v>58.28</v>
      </c>
    </row>
    <row r="26" spans="1:17" x14ac:dyDescent="0.2">
      <c r="A26" s="18">
        <v>47</v>
      </c>
      <c r="B26" s="18">
        <v>1</v>
      </c>
      <c r="C26" s="3" t="s">
        <v>23</v>
      </c>
      <c r="D26" s="3">
        <f>ROUND(Data!AC26*$B$3,2)</f>
        <v>617889.24</v>
      </c>
      <c r="E26" s="3">
        <f>MAX(0,Data!AF26-Data!Y26)</f>
        <v>0</v>
      </c>
      <c r="F26" s="3">
        <f>Data!Y26</f>
        <v>133802</v>
      </c>
      <c r="G26" s="3">
        <f>Data!X26</f>
        <v>0</v>
      </c>
      <c r="H26" s="3">
        <f>Data!K26+Data!R26</f>
        <v>70901.600000000006</v>
      </c>
      <c r="I26" s="3">
        <f>Data!I26+Data!L26+Data!M26+Data!N26+Data!O26+Data!S26</f>
        <v>0</v>
      </c>
      <c r="J26" s="3">
        <f>Data!Q26</f>
        <v>0</v>
      </c>
      <c r="K26" s="3">
        <f>Data!J26+Data!P26</f>
        <v>39344.68</v>
      </c>
      <c r="L26" s="3">
        <f>Data!T26</f>
        <v>0</v>
      </c>
      <c r="M26" s="3">
        <f>ROUND(Data!AD26*$B$3,2)</f>
        <v>127806.94</v>
      </c>
      <c r="N26" s="3">
        <f>Data!U26</f>
        <v>0</v>
      </c>
      <c r="O26" s="3">
        <f t="shared" si="1"/>
        <v>989744.46</v>
      </c>
      <c r="P26" s="3">
        <f t="shared" si="2"/>
        <v>861937.52</v>
      </c>
      <c r="Q26" s="3">
        <f t="shared" si="3"/>
        <v>127806.94</v>
      </c>
    </row>
    <row r="27" spans="1:17" x14ac:dyDescent="0.2">
      <c r="A27" s="18">
        <v>51</v>
      </c>
      <c r="B27" s="18">
        <v>1</v>
      </c>
      <c r="C27" s="3" t="s">
        <v>24</v>
      </c>
      <c r="D27" s="3">
        <f>ROUND(Data!AC27*$B$3,2)</f>
        <v>243183.75</v>
      </c>
      <c r="E27" s="3">
        <f>MAX(0,Data!AF27-Data!Y27)</f>
        <v>92224.540000000008</v>
      </c>
      <c r="F27" s="3">
        <f>Data!Y27</f>
        <v>32144.54</v>
      </c>
      <c r="G27" s="3">
        <f>Data!X27</f>
        <v>0</v>
      </c>
      <c r="H27" s="3">
        <f>Data!K27+Data!R27</f>
        <v>30344</v>
      </c>
      <c r="I27" s="3">
        <f>Data!I27+Data!L27+Data!M27+Data!N27+Data!O27+Data!S27</f>
        <v>0</v>
      </c>
      <c r="J27" s="3">
        <f>Data!Q27</f>
        <v>0</v>
      </c>
      <c r="K27" s="3">
        <f>Data!J27+Data!P27</f>
        <v>20349.97</v>
      </c>
      <c r="L27" s="3">
        <f>Data!T27</f>
        <v>0</v>
      </c>
      <c r="M27" s="3">
        <f>ROUND(Data!AD27*$B$3,2)</f>
        <v>47834.29</v>
      </c>
      <c r="N27" s="3">
        <f>Data!U27</f>
        <v>0</v>
      </c>
      <c r="O27" s="3">
        <f t="shared" si="1"/>
        <v>466081.09</v>
      </c>
      <c r="P27" s="3">
        <f t="shared" si="2"/>
        <v>418246.80000000005</v>
      </c>
      <c r="Q27" s="3">
        <f t="shared" si="3"/>
        <v>47834.29</v>
      </c>
    </row>
    <row r="28" spans="1:17" x14ac:dyDescent="0.2">
      <c r="A28" s="18">
        <v>75</v>
      </c>
      <c r="B28" s="18">
        <v>1</v>
      </c>
      <c r="C28" s="3" t="s">
        <v>25</v>
      </c>
      <c r="D28" s="3">
        <f>ROUND(Data!AC28*$B$3,2)</f>
        <v>130976.09</v>
      </c>
      <c r="E28" s="3">
        <f>MAX(0,Data!AF28-Data!Y28)</f>
        <v>45883.96</v>
      </c>
      <c r="F28" s="3">
        <f>Data!Y28</f>
        <v>59511.62</v>
      </c>
      <c r="G28" s="3">
        <f>Data!X28</f>
        <v>0</v>
      </c>
      <c r="H28" s="3">
        <f>Data!K28+Data!R28</f>
        <v>11904</v>
      </c>
      <c r="I28" s="3">
        <f>Data!I28+Data!L28+Data!M28+Data!N28+Data!O28+Data!S28</f>
        <v>0</v>
      </c>
      <c r="J28" s="3">
        <f>Data!Q28</f>
        <v>0</v>
      </c>
      <c r="K28" s="3">
        <f>Data!J28+Data!P28</f>
        <v>5032.7</v>
      </c>
      <c r="L28" s="3">
        <f>Data!T28</f>
        <v>0</v>
      </c>
      <c r="M28" s="3">
        <f>ROUND(Data!AD28*$B$3,2)</f>
        <v>14942.9</v>
      </c>
      <c r="N28" s="3">
        <f>Data!U28</f>
        <v>0</v>
      </c>
      <c r="O28" s="3">
        <f t="shared" si="1"/>
        <v>268251.27</v>
      </c>
      <c r="P28" s="3">
        <f t="shared" si="2"/>
        <v>253308.37</v>
      </c>
      <c r="Q28" s="3">
        <f t="shared" si="3"/>
        <v>14942.9</v>
      </c>
    </row>
    <row r="29" spans="1:17" x14ac:dyDescent="0.2">
      <c r="A29" s="18">
        <v>77</v>
      </c>
      <c r="B29" s="18">
        <v>1</v>
      </c>
      <c r="C29" s="3" t="s">
        <v>26</v>
      </c>
      <c r="D29" s="3">
        <f>ROUND(Data!AC29*$B$3,2)</f>
        <v>2212651.62</v>
      </c>
      <c r="E29" s="3">
        <f>MAX(0,Data!AF29-Data!Y29)</f>
        <v>1900291.06</v>
      </c>
      <c r="F29" s="3">
        <f>Data!Y29</f>
        <v>751973.08</v>
      </c>
      <c r="G29" s="3">
        <f>Data!X29</f>
        <v>0</v>
      </c>
      <c r="H29" s="3">
        <f>Data!K29+Data!R29</f>
        <v>131813.87000000002</v>
      </c>
      <c r="I29" s="3">
        <f>Data!I29+Data!L29+Data!M29+Data!N29+Data!O29+Data!S29</f>
        <v>0</v>
      </c>
      <c r="J29" s="3">
        <f>Data!Q29</f>
        <v>0</v>
      </c>
      <c r="K29" s="3">
        <f>Data!J29+Data!P29</f>
        <v>58592.41</v>
      </c>
      <c r="L29" s="3">
        <f>Data!T29</f>
        <v>0</v>
      </c>
      <c r="M29" s="3">
        <f>ROUND(Data!AD29*$B$3,2)</f>
        <v>325186.45</v>
      </c>
      <c r="N29" s="3">
        <f>Data!U29</f>
        <v>0</v>
      </c>
      <c r="O29" s="3">
        <f t="shared" si="1"/>
        <v>5380508.4900000002</v>
      </c>
      <c r="P29" s="3">
        <f t="shared" si="2"/>
        <v>5055322.04</v>
      </c>
      <c r="Q29" s="3">
        <f t="shared" si="3"/>
        <v>325186.45</v>
      </c>
    </row>
    <row r="30" spans="1:17" x14ac:dyDescent="0.2">
      <c r="A30" s="18">
        <v>81</v>
      </c>
      <c r="B30" s="18">
        <v>1</v>
      </c>
      <c r="C30" s="3" t="s">
        <v>27</v>
      </c>
      <c r="D30" s="3">
        <f>ROUND(Data!AC30*$B$3,2)</f>
        <v>68174.759999999995</v>
      </c>
      <c r="E30" s="3">
        <f>MAX(0,Data!AF30-Data!Y30)</f>
        <v>9560.8000000000029</v>
      </c>
      <c r="F30" s="3">
        <f>Data!Y30</f>
        <v>65568.179999999993</v>
      </c>
      <c r="G30" s="3">
        <f>Data!X30</f>
        <v>0</v>
      </c>
      <c r="H30" s="3">
        <f>Data!K30+Data!R30</f>
        <v>10000</v>
      </c>
      <c r="I30" s="3">
        <f>Data!I30+Data!L30+Data!M30+Data!N30+Data!O30+Data!S30</f>
        <v>0</v>
      </c>
      <c r="J30" s="3">
        <f>Data!Q30</f>
        <v>0</v>
      </c>
      <c r="K30" s="3">
        <f>Data!J30+Data!P30</f>
        <v>2150.0500000000002</v>
      </c>
      <c r="L30" s="3">
        <f>Data!T30</f>
        <v>0</v>
      </c>
      <c r="M30" s="3">
        <f>ROUND(Data!AD30*$B$3,2)</f>
        <v>11990.73</v>
      </c>
      <c r="N30" s="3">
        <f>Data!U30</f>
        <v>0</v>
      </c>
      <c r="O30" s="3">
        <f t="shared" si="1"/>
        <v>167444.51999999999</v>
      </c>
      <c r="P30" s="3">
        <f t="shared" si="2"/>
        <v>155453.78999999998</v>
      </c>
      <c r="Q30" s="3">
        <f t="shared" si="3"/>
        <v>11990.73</v>
      </c>
    </row>
    <row r="31" spans="1:17" x14ac:dyDescent="0.2">
      <c r="A31" s="18">
        <v>84</v>
      </c>
      <c r="B31" s="18">
        <v>1</v>
      </c>
      <c r="C31" s="3" t="s">
        <v>28</v>
      </c>
      <c r="D31" s="3">
        <f>ROUND(Data!AC31*$B$3,2)</f>
        <v>150671.51999999999</v>
      </c>
      <c r="E31" s="3">
        <f>MAX(0,Data!AF31-Data!Y31)</f>
        <v>0</v>
      </c>
      <c r="F31" s="3">
        <f>Data!Y31</f>
        <v>64890.080000000002</v>
      </c>
      <c r="G31" s="3">
        <f>Data!X31</f>
        <v>0</v>
      </c>
      <c r="H31" s="3">
        <f>Data!K31+Data!R31</f>
        <v>15879.66</v>
      </c>
      <c r="I31" s="3">
        <f>Data!I31+Data!L31+Data!M31+Data!N31+Data!O31+Data!S31</f>
        <v>0</v>
      </c>
      <c r="J31" s="3">
        <f>Data!Q31</f>
        <v>0</v>
      </c>
      <c r="K31" s="3">
        <f>Data!J31+Data!P31</f>
        <v>5970.18</v>
      </c>
      <c r="L31" s="3">
        <f>Data!T31</f>
        <v>0</v>
      </c>
      <c r="M31" s="3">
        <f>ROUND(Data!AD31*$B$3,2)</f>
        <v>35011.9</v>
      </c>
      <c r="N31" s="3">
        <f>Data!U31</f>
        <v>0</v>
      </c>
      <c r="O31" s="3">
        <f t="shared" si="1"/>
        <v>272423.33999999997</v>
      </c>
      <c r="P31" s="3">
        <f t="shared" si="2"/>
        <v>237411.43999999997</v>
      </c>
      <c r="Q31" s="3">
        <f t="shared" si="3"/>
        <v>35011.9</v>
      </c>
    </row>
    <row r="32" spans="1:17" x14ac:dyDescent="0.2">
      <c r="A32" s="18">
        <v>85</v>
      </c>
      <c r="B32" s="18">
        <v>1</v>
      </c>
      <c r="C32" s="3" t="s">
        <v>29</v>
      </c>
      <c r="D32" s="3">
        <f>ROUND(Data!AC32*$B$3,2)</f>
        <v>108435.61</v>
      </c>
      <c r="E32" s="3">
        <f>MAX(0,Data!AF32-Data!Y32)</f>
        <v>76581.679999999993</v>
      </c>
      <c r="F32" s="3">
        <f>Data!Y32</f>
        <v>0</v>
      </c>
      <c r="G32" s="3">
        <f>Data!X32</f>
        <v>0</v>
      </c>
      <c r="H32" s="3">
        <f>Data!K32+Data!R32</f>
        <v>20777.87</v>
      </c>
      <c r="I32" s="3">
        <f>Data!I32+Data!L32+Data!M32+Data!N32+Data!O32+Data!S32</f>
        <v>0</v>
      </c>
      <c r="J32" s="3">
        <f>Data!Q32</f>
        <v>0</v>
      </c>
      <c r="K32" s="3">
        <f>Data!J32+Data!P32</f>
        <v>4774.54</v>
      </c>
      <c r="L32" s="3">
        <f>Data!T32</f>
        <v>0</v>
      </c>
      <c r="M32" s="3">
        <f>ROUND(Data!AD32*$B$3,2)</f>
        <v>16413.759999999998</v>
      </c>
      <c r="N32" s="3">
        <f>Data!U32</f>
        <v>0</v>
      </c>
      <c r="O32" s="3">
        <f t="shared" si="1"/>
        <v>226983.46</v>
      </c>
      <c r="P32" s="3">
        <f t="shared" si="2"/>
        <v>210569.69999999998</v>
      </c>
      <c r="Q32" s="3">
        <f t="shared" si="3"/>
        <v>16413.759999999998</v>
      </c>
    </row>
    <row r="33" spans="1:17" x14ac:dyDescent="0.2">
      <c r="A33" s="18">
        <v>88</v>
      </c>
      <c r="B33" s="18">
        <v>1</v>
      </c>
      <c r="C33" s="3" t="s">
        <v>30</v>
      </c>
      <c r="D33" s="3">
        <f>ROUND(Data!AC33*$B$3,2)</f>
        <v>621965.79</v>
      </c>
      <c r="E33" s="3">
        <f>MAX(0,Data!AF33-Data!Y33)</f>
        <v>728788.7</v>
      </c>
      <c r="F33" s="3">
        <f>Data!Y33</f>
        <v>135266</v>
      </c>
      <c r="G33" s="3">
        <f>Data!X33</f>
        <v>97377.63</v>
      </c>
      <c r="H33" s="3">
        <f>Data!K33+Data!R33</f>
        <v>52316.14</v>
      </c>
      <c r="I33" s="3">
        <f>Data!I33+Data!L33+Data!M33+Data!N33+Data!O33+Data!S33</f>
        <v>0</v>
      </c>
      <c r="J33" s="3">
        <f>Data!Q33</f>
        <v>0</v>
      </c>
      <c r="K33" s="3">
        <f>Data!J33+Data!P33</f>
        <v>11412.06</v>
      </c>
      <c r="L33" s="3">
        <f>Data!T33</f>
        <v>0</v>
      </c>
      <c r="M33" s="3">
        <f>ROUND(Data!AD33*$B$3,2)</f>
        <v>99158.68</v>
      </c>
      <c r="N33" s="3">
        <f>Data!U33</f>
        <v>0</v>
      </c>
      <c r="O33" s="3">
        <f t="shared" si="1"/>
        <v>1746285</v>
      </c>
      <c r="P33" s="3">
        <f t="shared" si="2"/>
        <v>1647126.32</v>
      </c>
      <c r="Q33" s="3">
        <f t="shared" si="3"/>
        <v>99158.68</v>
      </c>
    </row>
    <row r="34" spans="1:17" x14ac:dyDescent="0.2">
      <c r="A34" s="18">
        <v>91</v>
      </c>
      <c r="B34" s="18">
        <v>1</v>
      </c>
      <c r="C34" s="3" t="s">
        <v>31</v>
      </c>
      <c r="D34" s="3">
        <f>ROUND(Data!AC34*$B$3,2)</f>
        <v>120337.2</v>
      </c>
      <c r="E34" s="3">
        <f>MAX(0,Data!AF34-Data!Y34)</f>
        <v>25498.71</v>
      </c>
      <c r="F34" s="3">
        <f>Data!Y34</f>
        <v>19807.54</v>
      </c>
      <c r="G34" s="3">
        <f>Data!X34</f>
        <v>0</v>
      </c>
      <c r="H34" s="3">
        <f>Data!K34+Data!R34</f>
        <v>11178.4</v>
      </c>
      <c r="I34" s="3">
        <f>Data!I34+Data!L34+Data!M34+Data!N34+Data!O34+Data!S34</f>
        <v>0</v>
      </c>
      <c r="J34" s="3">
        <f>Data!Q34</f>
        <v>0</v>
      </c>
      <c r="K34" s="3">
        <f>Data!J34+Data!P34</f>
        <v>15482.43</v>
      </c>
      <c r="L34" s="3">
        <f>Data!T34</f>
        <v>0</v>
      </c>
      <c r="M34" s="3">
        <f>ROUND(Data!AD34*$B$3,2)</f>
        <v>24432.86</v>
      </c>
      <c r="N34" s="3">
        <f>Data!U34</f>
        <v>0</v>
      </c>
      <c r="O34" s="3">
        <f t="shared" si="1"/>
        <v>216737.14</v>
      </c>
      <c r="P34" s="3">
        <f t="shared" si="2"/>
        <v>192304.28</v>
      </c>
      <c r="Q34" s="3">
        <f t="shared" si="3"/>
        <v>24432.86</v>
      </c>
    </row>
    <row r="35" spans="1:17" x14ac:dyDescent="0.2">
      <c r="A35" s="18">
        <v>93</v>
      </c>
      <c r="B35" s="18">
        <v>1</v>
      </c>
      <c r="C35" s="3" t="s">
        <v>32</v>
      </c>
      <c r="D35" s="3">
        <f>ROUND(Data!AC35*$B$3,2)</f>
        <v>93134.57</v>
      </c>
      <c r="E35" s="3">
        <f>MAX(0,Data!AF35-Data!Y35)</f>
        <v>340850.52999999997</v>
      </c>
      <c r="F35" s="3">
        <f>Data!Y35</f>
        <v>27479.15</v>
      </c>
      <c r="G35" s="3">
        <f>Data!X35</f>
        <v>0</v>
      </c>
      <c r="H35" s="3">
        <f>Data!K35+Data!R35</f>
        <v>10000</v>
      </c>
      <c r="I35" s="3">
        <f>Data!I35+Data!L35+Data!M35+Data!N35+Data!O35+Data!S35</f>
        <v>0</v>
      </c>
      <c r="J35" s="3">
        <f>Data!Q35</f>
        <v>0</v>
      </c>
      <c r="K35" s="3">
        <f>Data!J35+Data!P35</f>
        <v>4403.2299999999996</v>
      </c>
      <c r="L35" s="3">
        <f>Data!T35</f>
        <v>0</v>
      </c>
      <c r="M35" s="3">
        <f>ROUND(Data!AD35*$B$3,2)</f>
        <v>19006.11</v>
      </c>
      <c r="N35" s="3">
        <f>Data!U35</f>
        <v>0</v>
      </c>
      <c r="O35" s="3">
        <f t="shared" si="1"/>
        <v>494873.58999999997</v>
      </c>
      <c r="P35" s="3">
        <f t="shared" si="2"/>
        <v>475867.48</v>
      </c>
      <c r="Q35" s="3">
        <f t="shared" si="3"/>
        <v>19006.11</v>
      </c>
    </row>
    <row r="36" spans="1:17" x14ac:dyDescent="0.2">
      <c r="A36" s="18">
        <v>94</v>
      </c>
      <c r="B36" s="18">
        <v>1</v>
      </c>
      <c r="C36" s="3" t="s">
        <v>33</v>
      </c>
      <c r="D36" s="3">
        <f>ROUND(Data!AC36*$B$3,2)</f>
        <v>315664.90000000002</v>
      </c>
      <c r="E36" s="3">
        <f>MAX(0,Data!AF36-Data!Y36)</f>
        <v>0</v>
      </c>
      <c r="F36" s="3">
        <f>Data!Y36</f>
        <v>91861.41</v>
      </c>
      <c r="G36" s="3">
        <f>Data!X36</f>
        <v>0</v>
      </c>
      <c r="H36" s="3">
        <f>Data!K36+Data!R36</f>
        <v>34548.25</v>
      </c>
      <c r="I36" s="3">
        <f>Data!I36+Data!L36+Data!M36+Data!N36+Data!O36+Data!S36</f>
        <v>22044</v>
      </c>
      <c r="J36" s="3">
        <f>Data!Q36</f>
        <v>0</v>
      </c>
      <c r="K36" s="3">
        <f>Data!J36+Data!P36</f>
        <v>17497.939999999999</v>
      </c>
      <c r="L36" s="3">
        <f>Data!T36</f>
        <v>0</v>
      </c>
      <c r="M36" s="3">
        <f>ROUND(Data!AD36*$B$3,2)</f>
        <v>119697.56</v>
      </c>
      <c r="N36" s="3">
        <f>Data!U36</f>
        <v>0</v>
      </c>
      <c r="O36" s="3">
        <f t="shared" si="1"/>
        <v>601314.06000000006</v>
      </c>
      <c r="P36" s="3">
        <f t="shared" si="2"/>
        <v>481616.50000000006</v>
      </c>
      <c r="Q36" s="3">
        <f t="shared" si="3"/>
        <v>119697.56</v>
      </c>
    </row>
    <row r="37" spans="1:17" x14ac:dyDescent="0.2">
      <c r="A37" s="18">
        <v>95</v>
      </c>
      <c r="B37" s="18">
        <v>1</v>
      </c>
      <c r="C37" s="3" t="s">
        <v>34</v>
      </c>
      <c r="D37" s="3">
        <f>ROUND(Data!AC37*$B$3,2)</f>
        <v>51425.97</v>
      </c>
      <c r="E37" s="3">
        <f>MAX(0,Data!AF37-Data!Y37)</f>
        <v>0</v>
      </c>
      <c r="F37" s="3">
        <f>Data!Y37</f>
        <v>0</v>
      </c>
      <c r="G37" s="3">
        <f>Data!X37</f>
        <v>0</v>
      </c>
      <c r="H37" s="3">
        <f>Data!K37+Data!R37</f>
        <v>10000</v>
      </c>
      <c r="I37" s="3">
        <f>Data!I37+Data!L37+Data!M37+Data!N37+Data!O37+Data!S37</f>
        <v>0</v>
      </c>
      <c r="J37" s="3">
        <f>Data!Q37</f>
        <v>0</v>
      </c>
      <c r="K37" s="3">
        <f>Data!J37+Data!P37</f>
        <v>3170.54</v>
      </c>
      <c r="L37" s="3">
        <f>Data!T37</f>
        <v>0</v>
      </c>
      <c r="M37" s="3">
        <f>ROUND(Data!AD37*$B$3,2)</f>
        <v>10289.59</v>
      </c>
      <c r="N37" s="3">
        <f>Data!U37</f>
        <v>0</v>
      </c>
      <c r="O37" s="3">
        <f t="shared" si="1"/>
        <v>74886.100000000006</v>
      </c>
      <c r="P37" s="3">
        <f t="shared" si="2"/>
        <v>64596.51</v>
      </c>
      <c r="Q37" s="3">
        <f t="shared" si="3"/>
        <v>10289.59</v>
      </c>
    </row>
    <row r="38" spans="1:17" x14ac:dyDescent="0.2">
      <c r="A38" s="18">
        <v>97</v>
      </c>
      <c r="B38" s="18">
        <v>1</v>
      </c>
      <c r="C38" s="3" t="s">
        <v>35</v>
      </c>
      <c r="D38" s="3">
        <f>ROUND(Data!AC38*$B$3,2)</f>
        <v>176665.08</v>
      </c>
      <c r="E38" s="3">
        <f>MAX(0,Data!AF38-Data!Y38)</f>
        <v>44174.3</v>
      </c>
      <c r="F38" s="3">
        <f>Data!Y38</f>
        <v>31851.86</v>
      </c>
      <c r="G38" s="3">
        <f>Data!X38</f>
        <v>0</v>
      </c>
      <c r="H38" s="3">
        <f>Data!K38+Data!R38</f>
        <v>5792</v>
      </c>
      <c r="I38" s="3">
        <f>Data!I38+Data!L38+Data!M38+Data!N38+Data!O38+Data!S38</f>
        <v>0</v>
      </c>
      <c r="J38" s="3">
        <f>Data!Q38</f>
        <v>0</v>
      </c>
      <c r="K38" s="3">
        <f>Data!J38+Data!P38</f>
        <v>18527.7</v>
      </c>
      <c r="L38" s="3">
        <f>Data!T38</f>
        <v>0</v>
      </c>
      <c r="M38" s="3">
        <f>ROUND(Data!AD38*$B$3,2)</f>
        <v>29268.74</v>
      </c>
      <c r="N38" s="3">
        <f>Data!U38</f>
        <v>0</v>
      </c>
      <c r="O38" s="3">
        <f t="shared" si="1"/>
        <v>306279.67999999999</v>
      </c>
      <c r="P38" s="3">
        <f t="shared" si="2"/>
        <v>277010.94</v>
      </c>
      <c r="Q38" s="3">
        <f t="shared" si="3"/>
        <v>29268.74</v>
      </c>
    </row>
    <row r="39" spans="1:17" x14ac:dyDescent="0.2">
      <c r="A39" s="18">
        <v>99</v>
      </c>
      <c r="B39" s="18">
        <v>1</v>
      </c>
      <c r="C39" s="3" t="s">
        <v>36</v>
      </c>
      <c r="D39" s="3">
        <f>ROUND(Data!AC39*$B$3,2)</f>
        <v>199793.29</v>
      </c>
      <c r="E39" s="3">
        <f>MAX(0,Data!AF39-Data!Y39)</f>
        <v>0</v>
      </c>
      <c r="F39" s="3">
        <f>Data!Y39</f>
        <v>29606.959999999999</v>
      </c>
      <c r="G39" s="3">
        <f>Data!X39</f>
        <v>11758.5</v>
      </c>
      <c r="H39" s="3">
        <f>Data!K39+Data!R39</f>
        <v>21931.200000000001</v>
      </c>
      <c r="I39" s="3">
        <f>Data!I39+Data!L39+Data!M39+Data!N39+Data!O39+Data!S39</f>
        <v>0</v>
      </c>
      <c r="J39" s="3">
        <f>Data!Q39</f>
        <v>0</v>
      </c>
      <c r="K39" s="3">
        <f>Data!J39+Data!P39</f>
        <v>-261.98999999999978</v>
      </c>
      <c r="L39" s="3">
        <f>Data!T39</f>
        <v>0</v>
      </c>
      <c r="M39" s="3">
        <f>ROUND(Data!AD39*$B$3,2)</f>
        <v>27121.93</v>
      </c>
      <c r="N39" s="3">
        <f>Data!U39</f>
        <v>0</v>
      </c>
      <c r="O39" s="3">
        <f t="shared" si="1"/>
        <v>289949.89</v>
      </c>
      <c r="P39" s="3">
        <f t="shared" si="2"/>
        <v>262827.96000000002</v>
      </c>
      <c r="Q39" s="3">
        <f t="shared" si="3"/>
        <v>27121.93</v>
      </c>
    </row>
    <row r="40" spans="1:17" x14ac:dyDescent="0.2">
      <c r="A40" s="18">
        <v>100</v>
      </c>
      <c r="B40" s="18">
        <v>1</v>
      </c>
      <c r="C40" s="3" t="s">
        <v>37</v>
      </c>
      <c r="D40" s="3">
        <f>ROUND(Data!AC40*$B$3,2)</f>
        <v>68850.039999999994</v>
      </c>
      <c r="E40" s="3">
        <f>MAX(0,Data!AF40-Data!Y40)</f>
        <v>77315.88</v>
      </c>
      <c r="F40" s="3">
        <f>Data!Y40</f>
        <v>14322.89</v>
      </c>
      <c r="G40" s="3">
        <f>Data!X40</f>
        <v>10979.92</v>
      </c>
      <c r="H40" s="3">
        <f>Data!K40+Data!R40</f>
        <v>10000</v>
      </c>
      <c r="I40" s="3">
        <f>Data!I40+Data!L40+Data!M40+Data!N40+Data!O40+Data!S40</f>
        <v>0</v>
      </c>
      <c r="J40" s="3">
        <f>Data!Q40</f>
        <v>0</v>
      </c>
      <c r="K40" s="3">
        <f>Data!J40+Data!P40</f>
        <v>16799.739999999998</v>
      </c>
      <c r="L40" s="3">
        <f>Data!T40</f>
        <v>0</v>
      </c>
      <c r="M40" s="3">
        <f>ROUND(Data!AD40*$B$3,2)</f>
        <v>10808.41</v>
      </c>
      <c r="N40" s="3">
        <f>Data!U40</f>
        <v>0</v>
      </c>
      <c r="O40" s="3">
        <f t="shared" si="1"/>
        <v>209076.88</v>
      </c>
      <c r="P40" s="3">
        <f t="shared" si="2"/>
        <v>198268.47</v>
      </c>
      <c r="Q40" s="3">
        <f t="shared" si="3"/>
        <v>10808.41</v>
      </c>
    </row>
    <row r="41" spans="1:17" x14ac:dyDescent="0.2">
      <c r="A41" s="18">
        <v>108</v>
      </c>
      <c r="B41" s="18">
        <v>1</v>
      </c>
      <c r="C41" s="3" t="s">
        <v>38</v>
      </c>
      <c r="D41" s="3">
        <f>ROUND(Data!AC41*$B$3,2)</f>
        <v>311899.44</v>
      </c>
      <c r="E41" s="3">
        <f>MAX(0,Data!AF41-Data!Y41)</f>
        <v>245677.36</v>
      </c>
      <c r="F41" s="3">
        <f>Data!Y41</f>
        <v>63073.58</v>
      </c>
      <c r="G41" s="3">
        <f>Data!X41</f>
        <v>0</v>
      </c>
      <c r="H41" s="3">
        <f>Data!K41+Data!R41</f>
        <v>23427.89</v>
      </c>
      <c r="I41" s="3">
        <f>Data!I41+Data!L41+Data!M41+Data!N41+Data!O41+Data!S41</f>
        <v>0</v>
      </c>
      <c r="J41" s="3">
        <f>Data!Q41</f>
        <v>0</v>
      </c>
      <c r="K41" s="3">
        <f>Data!J41+Data!P41</f>
        <v>1928.33</v>
      </c>
      <c r="L41" s="3">
        <f>Data!T41</f>
        <v>0</v>
      </c>
      <c r="M41" s="3">
        <f>ROUND(Data!AD41*$B$3,2)</f>
        <v>91543.96</v>
      </c>
      <c r="N41" s="3">
        <f>Data!U41</f>
        <v>0</v>
      </c>
      <c r="O41" s="3">
        <f t="shared" si="1"/>
        <v>737550.55999999994</v>
      </c>
      <c r="P41" s="3">
        <f t="shared" si="2"/>
        <v>646006.6</v>
      </c>
      <c r="Q41" s="3">
        <f t="shared" si="3"/>
        <v>91543.96</v>
      </c>
    </row>
    <row r="42" spans="1:17" x14ac:dyDescent="0.2">
      <c r="A42" s="18">
        <v>110</v>
      </c>
      <c r="B42" s="18">
        <v>1</v>
      </c>
      <c r="C42" s="3" t="s">
        <v>39</v>
      </c>
      <c r="D42" s="3">
        <f>ROUND(Data!AC42*$B$3,2)</f>
        <v>911585.76</v>
      </c>
      <c r="E42" s="3">
        <f>MAX(0,Data!AF42-Data!Y42)</f>
        <v>1135011.05</v>
      </c>
      <c r="F42" s="3">
        <f>Data!Y42</f>
        <v>263386.8</v>
      </c>
      <c r="G42" s="3">
        <f>Data!X42</f>
        <v>47580.01</v>
      </c>
      <c r="H42" s="3">
        <f>Data!K42+Data!R42</f>
        <v>48941.130000000005</v>
      </c>
      <c r="I42" s="3">
        <f>Data!I42+Data!L42+Data!M42+Data!N42+Data!O42+Data!S42</f>
        <v>0</v>
      </c>
      <c r="J42" s="3">
        <f>Data!Q42</f>
        <v>0</v>
      </c>
      <c r="K42" s="3">
        <f>Data!J42+Data!P42</f>
        <v>28146.98</v>
      </c>
      <c r="L42" s="3">
        <f>Data!T42</f>
        <v>0</v>
      </c>
      <c r="M42" s="3">
        <f>ROUND(Data!AD42*$B$3,2)</f>
        <v>145364.23000000001</v>
      </c>
      <c r="N42" s="3">
        <f>Data!U42</f>
        <v>0</v>
      </c>
      <c r="O42" s="3">
        <f t="shared" si="1"/>
        <v>2580015.9599999995</v>
      </c>
      <c r="P42" s="3">
        <f t="shared" si="2"/>
        <v>2434651.7299999995</v>
      </c>
      <c r="Q42" s="3">
        <f t="shared" si="3"/>
        <v>145364.23000000001</v>
      </c>
    </row>
    <row r="43" spans="1:17" x14ac:dyDescent="0.2">
      <c r="A43" s="18">
        <v>111</v>
      </c>
      <c r="B43" s="18">
        <v>1</v>
      </c>
      <c r="C43" s="3" t="s">
        <v>40</v>
      </c>
      <c r="D43" s="3">
        <f>ROUND(Data!AC43*$B$3,2)</f>
        <v>403891.43</v>
      </c>
      <c r="E43" s="3">
        <f>MAX(0,Data!AF43-Data!Y43)</f>
        <v>167425.21000000002</v>
      </c>
      <c r="F43" s="3">
        <f>Data!Y43</f>
        <v>53287.46</v>
      </c>
      <c r="G43" s="3">
        <f>Data!X43</f>
        <v>14098.14</v>
      </c>
      <c r="H43" s="3">
        <f>Data!K43+Data!R43</f>
        <v>30775.200000000001</v>
      </c>
      <c r="I43" s="3">
        <f>Data!I43+Data!L43+Data!M43+Data!N43+Data!O43+Data!S43</f>
        <v>0</v>
      </c>
      <c r="J43" s="3">
        <f>Data!Q43</f>
        <v>0</v>
      </c>
      <c r="K43" s="3">
        <f>Data!J43+Data!P43</f>
        <v>31835.67</v>
      </c>
      <c r="L43" s="3">
        <f>Data!T43</f>
        <v>0</v>
      </c>
      <c r="M43" s="3">
        <f>ROUND(Data!AD43*$B$3,2)</f>
        <v>102405.88</v>
      </c>
      <c r="N43" s="3">
        <f>Data!U43</f>
        <v>0</v>
      </c>
      <c r="O43" s="3">
        <f t="shared" si="1"/>
        <v>803718.99</v>
      </c>
      <c r="P43" s="3">
        <f t="shared" si="2"/>
        <v>701313.11</v>
      </c>
      <c r="Q43" s="3">
        <f t="shared" si="3"/>
        <v>102405.88</v>
      </c>
    </row>
    <row r="44" spans="1:17" x14ac:dyDescent="0.2">
      <c r="A44" s="18">
        <v>112</v>
      </c>
      <c r="B44" s="18">
        <v>1</v>
      </c>
      <c r="C44" s="3" t="s">
        <v>41</v>
      </c>
      <c r="D44" s="3">
        <f>ROUND(Data!AC44*$B$3,2)</f>
        <v>2586601.1800000002</v>
      </c>
      <c r="E44" s="3">
        <f>MAX(0,Data!AF44-Data!Y44)</f>
        <v>4041867.5700000003</v>
      </c>
      <c r="F44" s="3">
        <f>Data!Y44</f>
        <v>1809944.64</v>
      </c>
      <c r="G44" s="3">
        <f>Data!X44</f>
        <v>41804.71</v>
      </c>
      <c r="H44" s="3">
        <f>Data!K44+Data!R44</f>
        <v>142423.28</v>
      </c>
      <c r="I44" s="3">
        <f>Data!I44+Data!L44+Data!M44+Data!N44+Data!O44+Data!S44</f>
        <v>0</v>
      </c>
      <c r="J44" s="3">
        <f>Data!Q44</f>
        <v>0</v>
      </c>
      <c r="K44" s="3">
        <f>Data!J44+Data!P44</f>
        <v>77910.73</v>
      </c>
      <c r="L44" s="3">
        <f>Data!T44</f>
        <v>0</v>
      </c>
      <c r="M44" s="3">
        <f>ROUND(Data!AD44*$B$3,2)</f>
        <v>405714.51</v>
      </c>
      <c r="N44" s="3">
        <f>Data!U44</f>
        <v>0</v>
      </c>
      <c r="O44" s="3">
        <f t="shared" si="1"/>
        <v>9106266.620000001</v>
      </c>
      <c r="P44" s="3">
        <f t="shared" si="2"/>
        <v>8700552.1100000013</v>
      </c>
      <c r="Q44" s="3">
        <f t="shared" si="3"/>
        <v>405714.51</v>
      </c>
    </row>
    <row r="45" spans="1:17" x14ac:dyDescent="0.2">
      <c r="A45" s="18">
        <v>113</v>
      </c>
      <c r="B45" s="18">
        <v>1</v>
      </c>
      <c r="C45" s="3" t="s">
        <v>42</v>
      </c>
      <c r="D45" s="3">
        <f>ROUND(Data!AC45*$B$3,2)</f>
        <v>270343.69</v>
      </c>
      <c r="E45" s="3">
        <f>MAX(0,Data!AF45-Data!Y45)</f>
        <v>0</v>
      </c>
      <c r="F45" s="3">
        <f>Data!Y45</f>
        <v>0</v>
      </c>
      <c r="G45" s="3">
        <f>Data!X45</f>
        <v>0</v>
      </c>
      <c r="H45" s="3">
        <f>Data!K45+Data!R45</f>
        <v>4840.7899999999991</v>
      </c>
      <c r="I45" s="3">
        <f>Data!I45+Data!L45+Data!M45+Data!N45+Data!O45+Data!S45</f>
        <v>0</v>
      </c>
      <c r="J45" s="3">
        <f>Data!Q45</f>
        <v>0</v>
      </c>
      <c r="K45" s="3">
        <f>Data!J45+Data!P45</f>
        <v>16601.96</v>
      </c>
      <c r="L45" s="3">
        <f>Data!T45</f>
        <v>0</v>
      </c>
      <c r="M45" s="3">
        <f>ROUND(Data!AD45*$B$3,2)</f>
        <v>41737.14</v>
      </c>
      <c r="N45" s="3">
        <f>Data!U45</f>
        <v>0</v>
      </c>
      <c r="O45" s="3">
        <f t="shared" si="1"/>
        <v>333523.58</v>
      </c>
      <c r="P45" s="3">
        <f t="shared" si="2"/>
        <v>291786.44</v>
      </c>
      <c r="Q45" s="3">
        <f t="shared" si="3"/>
        <v>41737.14</v>
      </c>
    </row>
    <row r="46" spans="1:17" x14ac:dyDescent="0.2">
      <c r="A46" s="18">
        <v>115</v>
      </c>
      <c r="B46" s="18">
        <v>1</v>
      </c>
      <c r="C46" s="3" t="s">
        <v>43</v>
      </c>
      <c r="D46" s="3">
        <f>ROUND(Data!AC46*$B$3,2)</f>
        <v>202854.86</v>
      </c>
      <c r="E46" s="3">
        <f>MAX(0,Data!AF46-Data!Y46)</f>
        <v>0</v>
      </c>
      <c r="F46" s="3">
        <f>Data!Y46</f>
        <v>0</v>
      </c>
      <c r="G46" s="3">
        <f>Data!X46</f>
        <v>0</v>
      </c>
      <c r="H46" s="3">
        <f>Data!K46+Data!R46</f>
        <v>12757.030000000002</v>
      </c>
      <c r="I46" s="3">
        <f>Data!I46+Data!L46+Data!M46+Data!N46+Data!O46+Data!S46</f>
        <v>0</v>
      </c>
      <c r="J46" s="3">
        <f>Data!Q46</f>
        <v>0</v>
      </c>
      <c r="K46" s="3">
        <f>Data!J46+Data!P46</f>
        <v>2350</v>
      </c>
      <c r="L46" s="3">
        <f>Data!T46</f>
        <v>0</v>
      </c>
      <c r="M46" s="3">
        <f>ROUND(Data!AD46*$B$3,2)</f>
        <v>22163.4</v>
      </c>
      <c r="N46" s="3">
        <f>Data!U46</f>
        <v>0</v>
      </c>
      <c r="O46" s="3">
        <f t="shared" si="1"/>
        <v>240125.28999999998</v>
      </c>
      <c r="P46" s="3">
        <f t="shared" si="2"/>
        <v>217961.88999999998</v>
      </c>
      <c r="Q46" s="3">
        <f t="shared" si="3"/>
        <v>22163.4</v>
      </c>
    </row>
    <row r="47" spans="1:17" x14ac:dyDescent="0.2">
      <c r="A47" s="18">
        <v>116</v>
      </c>
      <c r="B47" s="18">
        <v>1</v>
      </c>
      <c r="C47" s="3" t="s">
        <v>44</v>
      </c>
      <c r="D47" s="3">
        <f>ROUND(Data!AC47*$B$3,2)</f>
        <v>311278.58</v>
      </c>
      <c r="E47" s="3">
        <f>MAX(0,Data!AF47-Data!Y47)</f>
        <v>0</v>
      </c>
      <c r="F47" s="3">
        <f>Data!Y47</f>
        <v>0</v>
      </c>
      <c r="G47" s="3">
        <f>Data!X47</f>
        <v>0</v>
      </c>
      <c r="H47" s="3">
        <f>Data!K47+Data!R47</f>
        <v>15353.6</v>
      </c>
      <c r="I47" s="3">
        <f>Data!I47+Data!L47+Data!M47+Data!N47+Data!O47+Data!S47</f>
        <v>0</v>
      </c>
      <c r="J47" s="3">
        <f>Data!Q47</f>
        <v>0</v>
      </c>
      <c r="K47" s="3">
        <f>Data!J47+Data!P47</f>
        <v>8592.91</v>
      </c>
      <c r="L47" s="3">
        <f>Data!T47</f>
        <v>0</v>
      </c>
      <c r="M47" s="3">
        <f>ROUND(Data!AD47*$B$3,2)</f>
        <v>54711.15</v>
      </c>
      <c r="N47" s="3">
        <f>Data!U47</f>
        <v>0</v>
      </c>
      <c r="O47" s="3">
        <f t="shared" si="1"/>
        <v>389936.24</v>
      </c>
      <c r="P47" s="3">
        <f t="shared" si="2"/>
        <v>335225.08999999997</v>
      </c>
      <c r="Q47" s="3">
        <f t="shared" si="3"/>
        <v>54711.15</v>
      </c>
    </row>
    <row r="48" spans="1:17" x14ac:dyDescent="0.2">
      <c r="A48" s="18">
        <v>118</v>
      </c>
      <c r="B48" s="18">
        <v>1</v>
      </c>
      <c r="C48" s="3" t="s">
        <v>45</v>
      </c>
      <c r="D48" s="3">
        <f>ROUND(Data!AC48*$B$3,2)</f>
        <v>137063.67000000001</v>
      </c>
      <c r="E48" s="3">
        <f>MAX(0,Data!AF48-Data!Y48)</f>
        <v>42155.270000000004</v>
      </c>
      <c r="F48" s="3">
        <f>Data!Y48</f>
        <v>71477.7</v>
      </c>
      <c r="G48" s="3">
        <f>Data!X48</f>
        <v>0</v>
      </c>
      <c r="H48" s="3">
        <f>Data!K48+Data!R48</f>
        <v>11326.05</v>
      </c>
      <c r="I48" s="3">
        <f>Data!I48+Data!L48+Data!M48+Data!N48+Data!O48+Data!S48</f>
        <v>0</v>
      </c>
      <c r="J48" s="3">
        <f>Data!Q48</f>
        <v>0</v>
      </c>
      <c r="K48" s="3">
        <f>Data!J48+Data!P48</f>
        <v>38969.83</v>
      </c>
      <c r="L48" s="3">
        <f>Data!T48</f>
        <v>0</v>
      </c>
      <c r="M48" s="3">
        <f>ROUND(Data!AD48*$B$3,2)</f>
        <v>32310.73</v>
      </c>
      <c r="N48" s="3">
        <f>Data!U48</f>
        <v>0</v>
      </c>
      <c r="O48" s="3">
        <f t="shared" si="1"/>
        <v>333303.25</v>
      </c>
      <c r="P48" s="3">
        <f t="shared" si="2"/>
        <v>300992.52</v>
      </c>
      <c r="Q48" s="3">
        <f t="shared" si="3"/>
        <v>32310.73</v>
      </c>
    </row>
    <row r="49" spans="1:17" x14ac:dyDescent="0.2">
      <c r="A49" s="18">
        <v>129</v>
      </c>
      <c r="B49" s="18">
        <v>1</v>
      </c>
      <c r="C49" s="3" t="s">
        <v>46</v>
      </c>
      <c r="D49" s="3">
        <f>ROUND(Data!AC49*$B$3,2)</f>
        <v>187146.05</v>
      </c>
      <c r="E49" s="3">
        <f>MAX(0,Data!AF49-Data!Y49)</f>
        <v>90913.97</v>
      </c>
      <c r="F49" s="3">
        <f>Data!Y49</f>
        <v>76642.47</v>
      </c>
      <c r="G49" s="3">
        <f>Data!X49</f>
        <v>0</v>
      </c>
      <c r="H49" s="3">
        <f>Data!K49+Data!R49</f>
        <v>79989.17</v>
      </c>
      <c r="I49" s="3">
        <f>Data!I49+Data!L49+Data!M49+Data!N49+Data!O49+Data!S49</f>
        <v>0</v>
      </c>
      <c r="J49" s="3">
        <f>Data!Q49</f>
        <v>0</v>
      </c>
      <c r="K49" s="3">
        <f>Data!J49+Data!P49</f>
        <v>18324.419999999998</v>
      </c>
      <c r="L49" s="3">
        <f>Data!T49</f>
        <v>0</v>
      </c>
      <c r="M49" s="3">
        <f>ROUND(Data!AD49*$B$3,2)</f>
        <v>49125.46</v>
      </c>
      <c r="N49" s="3">
        <f>Data!U49</f>
        <v>0</v>
      </c>
      <c r="O49" s="3">
        <f t="shared" si="1"/>
        <v>502141.54</v>
      </c>
      <c r="P49" s="3">
        <f t="shared" si="2"/>
        <v>453016.07999999996</v>
      </c>
      <c r="Q49" s="3">
        <f t="shared" si="3"/>
        <v>49125.46</v>
      </c>
    </row>
    <row r="50" spans="1:17" x14ac:dyDescent="0.2">
      <c r="A50" s="18">
        <v>138</v>
      </c>
      <c r="B50" s="18">
        <v>1</v>
      </c>
      <c r="C50" s="3" t="s">
        <v>47</v>
      </c>
      <c r="D50" s="3">
        <f>ROUND(Data!AC50*$B$3,2)</f>
        <v>681413.29</v>
      </c>
      <c r="E50" s="3">
        <f>MAX(0,Data!AF50-Data!Y50)</f>
        <v>0</v>
      </c>
      <c r="F50" s="3">
        <f>Data!Y50</f>
        <v>124195.25</v>
      </c>
      <c r="G50" s="3">
        <f>Data!X50</f>
        <v>0</v>
      </c>
      <c r="H50" s="3">
        <f>Data!K50+Data!R50</f>
        <v>55916.67</v>
      </c>
      <c r="I50" s="3">
        <f>Data!I50+Data!L50+Data!M50+Data!N50+Data!O50+Data!S50</f>
        <v>0</v>
      </c>
      <c r="J50" s="3">
        <f>Data!Q50</f>
        <v>0</v>
      </c>
      <c r="K50" s="3">
        <f>Data!J50+Data!P50</f>
        <v>52469.46</v>
      </c>
      <c r="L50" s="3">
        <f>Data!T50</f>
        <v>0</v>
      </c>
      <c r="M50" s="3">
        <f>ROUND(Data!AD50*$B$3,2)</f>
        <v>108511.6</v>
      </c>
      <c r="N50" s="3">
        <f>Data!U50</f>
        <v>0</v>
      </c>
      <c r="O50" s="3">
        <f t="shared" si="1"/>
        <v>1022506.27</v>
      </c>
      <c r="P50" s="3">
        <f t="shared" si="2"/>
        <v>913994.67</v>
      </c>
      <c r="Q50" s="3">
        <f t="shared" si="3"/>
        <v>108511.6</v>
      </c>
    </row>
    <row r="51" spans="1:17" x14ac:dyDescent="0.2">
      <c r="A51" s="18">
        <v>139</v>
      </c>
      <c r="B51" s="18">
        <v>1</v>
      </c>
      <c r="C51" s="3" t="s">
        <v>48</v>
      </c>
      <c r="D51" s="3">
        <f>ROUND(Data!AC51*$B$3,2)</f>
        <v>251467.26</v>
      </c>
      <c r="E51" s="3">
        <f>MAX(0,Data!AF51-Data!Y51)</f>
        <v>0</v>
      </c>
      <c r="F51" s="3">
        <f>Data!Y51</f>
        <v>0</v>
      </c>
      <c r="G51" s="3">
        <f>Data!X51</f>
        <v>0</v>
      </c>
      <c r="H51" s="3">
        <f>Data!K51+Data!R51</f>
        <v>17800</v>
      </c>
      <c r="I51" s="3">
        <f>Data!I51+Data!L51+Data!M51+Data!N51+Data!O51+Data!S51</f>
        <v>0</v>
      </c>
      <c r="J51" s="3">
        <f>Data!Q51</f>
        <v>0</v>
      </c>
      <c r="K51" s="3">
        <f>Data!J51+Data!P51</f>
        <v>11645.869999999999</v>
      </c>
      <c r="L51" s="3">
        <f>Data!T51</f>
        <v>0</v>
      </c>
      <c r="M51" s="3">
        <f>ROUND(Data!AD51*$B$3,2)</f>
        <v>25852.720000000001</v>
      </c>
      <c r="N51" s="3">
        <f>Data!U51</f>
        <v>0</v>
      </c>
      <c r="O51" s="3">
        <f t="shared" si="1"/>
        <v>306765.84999999998</v>
      </c>
      <c r="P51" s="3">
        <f t="shared" si="2"/>
        <v>280913.13</v>
      </c>
      <c r="Q51" s="3">
        <f t="shared" si="3"/>
        <v>25852.720000000001</v>
      </c>
    </row>
    <row r="52" spans="1:17" x14ac:dyDescent="0.2">
      <c r="A52" s="18">
        <v>146</v>
      </c>
      <c r="B52" s="18">
        <v>1</v>
      </c>
      <c r="C52" s="3" t="s">
        <v>49</v>
      </c>
      <c r="D52" s="3">
        <f>ROUND(Data!AC52*$B$3,2)</f>
        <v>140960.57</v>
      </c>
      <c r="E52" s="3">
        <f>MAX(0,Data!AF52-Data!Y52)</f>
        <v>219136.83999999997</v>
      </c>
      <c r="F52" s="3">
        <f>Data!Y52</f>
        <v>47325.63</v>
      </c>
      <c r="G52" s="3">
        <f>Data!X52</f>
        <v>0</v>
      </c>
      <c r="H52" s="3">
        <f>Data!K52+Data!R52</f>
        <v>13725.220000000001</v>
      </c>
      <c r="I52" s="3">
        <f>Data!I52+Data!L52+Data!M52+Data!N52+Data!O52+Data!S52</f>
        <v>0</v>
      </c>
      <c r="J52" s="3">
        <f>Data!Q52</f>
        <v>0</v>
      </c>
      <c r="K52" s="3">
        <f>Data!J52+Data!P52</f>
        <v>6513.55</v>
      </c>
      <c r="L52" s="3">
        <f>Data!T52</f>
        <v>0</v>
      </c>
      <c r="M52" s="3">
        <f>ROUND(Data!AD52*$B$3,2)</f>
        <v>25691.64</v>
      </c>
      <c r="N52" s="3">
        <f>Data!U52</f>
        <v>0</v>
      </c>
      <c r="O52" s="3">
        <f t="shared" si="1"/>
        <v>453353.45</v>
      </c>
      <c r="P52" s="3">
        <f t="shared" si="2"/>
        <v>427661.81</v>
      </c>
      <c r="Q52" s="3">
        <f t="shared" si="3"/>
        <v>25691.64</v>
      </c>
    </row>
    <row r="53" spans="1:17" x14ac:dyDescent="0.2">
      <c r="A53" s="18">
        <v>150</v>
      </c>
      <c r="B53" s="18">
        <v>1</v>
      </c>
      <c r="C53" s="3" t="s">
        <v>50</v>
      </c>
      <c r="D53" s="3">
        <f>ROUND(Data!AC53*$B$3,2)</f>
        <v>112384.88</v>
      </c>
      <c r="E53" s="3">
        <f>MAX(0,Data!AF53-Data!Y53)</f>
        <v>84188.19</v>
      </c>
      <c r="F53" s="3">
        <f>Data!Y53</f>
        <v>27885.64</v>
      </c>
      <c r="G53" s="3">
        <f>Data!X53</f>
        <v>0</v>
      </c>
      <c r="H53" s="3">
        <f>Data!K53+Data!R53</f>
        <v>16473.600000000002</v>
      </c>
      <c r="I53" s="3">
        <f>Data!I53+Data!L53+Data!M53+Data!N53+Data!O53+Data!S53</f>
        <v>0</v>
      </c>
      <c r="J53" s="3">
        <f>Data!Q53</f>
        <v>0</v>
      </c>
      <c r="K53" s="3">
        <f>Data!J53+Data!P53</f>
        <v>16324.39</v>
      </c>
      <c r="L53" s="3">
        <f>Data!T53</f>
        <v>0</v>
      </c>
      <c r="M53" s="3">
        <f>ROUND(Data!AD53*$B$3,2)</f>
        <v>16685.88</v>
      </c>
      <c r="N53" s="3">
        <f>Data!U53</f>
        <v>0</v>
      </c>
      <c r="O53" s="3">
        <f t="shared" si="1"/>
        <v>273942.58</v>
      </c>
      <c r="P53" s="3">
        <f t="shared" si="2"/>
        <v>257256.7</v>
      </c>
      <c r="Q53" s="3">
        <f t="shared" si="3"/>
        <v>16685.88</v>
      </c>
    </row>
    <row r="54" spans="1:17" x14ac:dyDescent="0.2">
      <c r="A54" s="18">
        <v>152</v>
      </c>
      <c r="B54" s="18">
        <v>1</v>
      </c>
      <c r="C54" s="3" t="s">
        <v>51</v>
      </c>
      <c r="D54" s="3">
        <f>ROUND(Data!AC54*$B$3,2)</f>
        <v>923084.98</v>
      </c>
      <c r="E54" s="3">
        <f>MAX(0,Data!AF54-Data!Y54)</f>
        <v>1810134.4300000002</v>
      </c>
      <c r="F54" s="3">
        <f>Data!Y54</f>
        <v>260799.18</v>
      </c>
      <c r="G54" s="3">
        <f>Data!X54</f>
        <v>0</v>
      </c>
      <c r="H54" s="3">
        <f>Data!K54+Data!R54</f>
        <v>96996.159999999989</v>
      </c>
      <c r="I54" s="3">
        <f>Data!I54+Data!L54+Data!M54+Data!N54+Data!O54+Data!S54</f>
        <v>0</v>
      </c>
      <c r="J54" s="3">
        <f>Data!Q54</f>
        <v>0</v>
      </c>
      <c r="K54" s="3">
        <f>Data!J54+Data!P54</f>
        <v>123221.84</v>
      </c>
      <c r="L54" s="3">
        <f>Data!T54</f>
        <v>0</v>
      </c>
      <c r="M54" s="3">
        <f>ROUND(Data!AD54*$B$3,2)</f>
        <v>223008.98</v>
      </c>
      <c r="N54" s="3">
        <f>Data!U54</f>
        <v>0</v>
      </c>
      <c r="O54" s="3">
        <f t="shared" si="1"/>
        <v>3437245.5700000003</v>
      </c>
      <c r="P54" s="3">
        <f t="shared" si="2"/>
        <v>3214236.5900000003</v>
      </c>
      <c r="Q54" s="3">
        <f t="shared" si="3"/>
        <v>223008.98</v>
      </c>
    </row>
    <row r="55" spans="1:17" x14ac:dyDescent="0.2">
      <c r="A55" s="18">
        <v>162</v>
      </c>
      <c r="B55" s="18">
        <v>1</v>
      </c>
      <c r="C55" s="3" t="s">
        <v>52</v>
      </c>
      <c r="D55" s="3">
        <f>ROUND(Data!AC55*$B$3,2)</f>
        <v>204186.41</v>
      </c>
      <c r="E55" s="3">
        <f>MAX(0,Data!AF55-Data!Y55)</f>
        <v>0</v>
      </c>
      <c r="F55" s="3">
        <f>Data!Y55</f>
        <v>0</v>
      </c>
      <c r="G55" s="3">
        <f>Data!X55</f>
        <v>0</v>
      </c>
      <c r="H55" s="3">
        <f>Data!K55+Data!R55</f>
        <v>21062.29</v>
      </c>
      <c r="I55" s="3">
        <f>Data!I55+Data!L55+Data!M55+Data!N55+Data!O55+Data!S55</f>
        <v>0</v>
      </c>
      <c r="J55" s="3">
        <f>Data!Q55</f>
        <v>0</v>
      </c>
      <c r="K55" s="3">
        <f>Data!J55+Data!P55</f>
        <v>15268.07</v>
      </c>
      <c r="L55" s="3">
        <f>Data!T55</f>
        <v>0</v>
      </c>
      <c r="M55" s="3">
        <f>ROUND(Data!AD55*$B$3,2)</f>
        <v>31487.94</v>
      </c>
      <c r="N55" s="3">
        <f>Data!U55</f>
        <v>0</v>
      </c>
      <c r="O55" s="3">
        <f t="shared" si="1"/>
        <v>272004.71000000002</v>
      </c>
      <c r="P55" s="3">
        <f t="shared" si="2"/>
        <v>240516.77000000002</v>
      </c>
      <c r="Q55" s="3">
        <f t="shared" si="3"/>
        <v>31487.94</v>
      </c>
    </row>
    <row r="56" spans="1:17" x14ac:dyDescent="0.2">
      <c r="A56" s="18">
        <v>166</v>
      </c>
      <c r="B56" s="18">
        <v>1</v>
      </c>
      <c r="C56" s="3" t="s">
        <v>53</v>
      </c>
      <c r="D56" s="3">
        <f>ROUND(Data!AC56*$B$3,2)</f>
        <v>6944.7</v>
      </c>
      <c r="E56" s="3">
        <f>MAX(0,Data!AF56-Data!Y56)</f>
        <v>181125.73</v>
      </c>
      <c r="F56" s="3">
        <f>Data!Y56</f>
        <v>32084.66</v>
      </c>
      <c r="G56" s="3">
        <f>Data!X56</f>
        <v>0</v>
      </c>
      <c r="H56" s="3">
        <f>Data!K56+Data!R56</f>
        <v>13338.099999999999</v>
      </c>
      <c r="I56" s="3">
        <f>Data!I56+Data!L56+Data!M56+Data!N56+Data!O56+Data!S56</f>
        <v>0</v>
      </c>
      <c r="J56" s="3">
        <f>Data!Q56</f>
        <v>0</v>
      </c>
      <c r="K56" s="3">
        <f>Data!J56+Data!P56</f>
        <v>17904.900000000001</v>
      </c>
      <c r="L56" s="3">
        <f>Data!T56</f>
        <v>0</v>
      </c>
      <c r="M56" s="3">
        <f>ROUND(Data!AD56*$B$3,2)</f>
        <v>0</v>
      </c>
      <c r="N56" s="3">
        <f>Data!U56</f>
        <v>0</v>
      </c>
      <c r="O56" s="3">
        <f t="shared" si="1"/>
        <v>251398.09000000003</v>
      </c>
      <c r="P56" s="3">
        <f t="shared" si="2"/>
        <v>251398.09000000003</v>
      </c>
      <c r="Q56" s="3">
        <f t="shared" si="3"/>
        <v>0</v>
      </c>
    </row>
    <row r="57" spans="1:17" x14ac:dyDescent="0.2">
      <c r="A57" s="18">
        <v>173</v>
      </c>
      <c r="B57" s="18">
        <v>1</v>
      </c>
      <c r="C57" s="3" t="s">
        <v>54</v>
      </c>
      <c r="D57" s="3">
        <f>ROUND(Data!AC57*$B$3,2)</f>
        <v>97444.31</v>
      </c>
      <c r="E57" s="3">
        <f>MAX(0,Data!AF57-Data!Y57)</f>
        <v>151775.57</v>
      </c>
      <c r="F57" s="3">
        <f>Data!Y57</f>
        <v>90731.14</v>
      </c>
      <c r="G57" s="3">
        <f>Data!X57</f>
        <v>4153.8</v>
      </c>
      <c r="H57" s="3">
        <f>Data!K57+Data!R57</f>
        <v>16057.38</v>
      </c>
      <c r="I57" s="3">
        <f>Data!I57+Data!L57+Data!M57+Data!N57+Data!O57+Data!S57</f>
        <v>0</v>
      </c>
      <c r="J57" s="3">
        <f>Data!Q57</f>
        <v>0</v>
      </c>
      <c r="K57" s="3">
        <f>Data!J57+Data!P57</f>
        <v>6890.12</v>
      </c>
      <c r="L57" s="3">
        <f>Data!T57</f>
        <v>0</v>
      </c>
      <c r="M57" s="3">
        <f>ROUND(Data!AD57*$B$3,2)</f>
        <v>23455.33</v>
      </c>
      <c r="N57" s="3">
        <f>Data!U57</f>
        <v>0</v>
      </c>
      <c r="O57" s="3">
        <f t="shared" si="1"/>
        <v>390507.65</v>
      </c>
      <c r="P57" s="3">
        <f t="shared" si="2"/>
        <v>367052.32</v>
      </c>
      <c r="Q57" s="3">
        <f t="shared" si="3"/>
        <v>23455.33</v>
      </c>
    </row>
    <row r="58" spans="1:17" x14ac:dyDescent="0.2">
      <c r="A58" s="18">
        <v>177</v>
      </c>
      <c r="B58" s="18">
        <v>1</v>
      </c>
      <c r="C58" s="3" t="s">
        <v>55</v>
      </c>
      <c r="D58" s="3">
        <f>ROUND(Data!AC58*$B$3,2)</f>
        <v>179361.27</v>
      </c>
      <c r="E58" s="3">
        <f>MAX(0,Data!AF58-Data!Y58)</f>
        <v>406395.49</v>
      </c>
      <c r="F58" s="3">
        <f>Data!Y58</f>
        <v>79181.69</v>
      </c>
      <c r="G58" s="3">
        <f>Data!X58</f>
        <v>7877.23</v>
      </c>
      <c r="H58" s="3">
        <f>Data!K58+Data!R58</f>
        <v>16862.8</v>
      </c>
      <c r="I58" s="3">
        <f>Data!I58+Data!L58+Data!M58+Data!N58+Data!O58+Data!S58</f>
        <v>0</v>
      </c>
      <c r="J58" s="3">
        <f>Data!Q58</f>
        <v>-4000</v>
      </c>
      <c r="K58" s="3">
        <f>Data!J58+Data!P58</f>
        <v>2437.85</v>
      </c>
      <c r="L58" s="3">
        <f>Data!T58</f>
        <v>0</v>
      </c>
      <c r="M58" s="3">
        <f>ROUND(Data!AD58*$B$3,2)</f>
        <v>38511.129999999997</v>
      </c>
      <c r="N58" s="3">
        <f>Data!U58</f>
        <v>0</v>
      </c>
      <c r="O58" s="3">
        <f t="shared" si="1"/>
        <v>726627.46</v>
      </c>
      <c r="P58" s="3">
        <f t="shared" si="2"/>
        <v>688116.33</v>
      </c>
      <c r="Q58" s="3">
        <f t="shared" si="3"/>
        <v>38511.129999999997</v>
      </c>
    </row>
    <row r="59" spans="1:17" x14ac:dyDescent="0.2">
      <c r="A59" s="18">
        <v>181</v>
      </c>
      <c r="B59" s="18">
        <v>1</v>
      </c>
      <c r="C59" s="3" t="s">
        <v>56</v>
      </c>
      <c r="D59" s="3">
        <f>ROUND(Data!AC59*$B$3,2)</f>
        <v>2163155.64</v>
      </c>
      <c r="E59" s="3">
        <f>MAX(0,Data!AF59-Data!Y59)</f>
        <v>336420.10000000003</v>
      </c>
      <c r="F59" s="3">
        <f>Data!Y59</f>
        <v>381870.54</v>
      </c>
      <c r="G59" s="3">
        <f>Data!X59</f>
        <v>0</v>
      </c>
      <c r="H59" s="3">
        <f>Data!K59+Data!R59</f>
        <v>244585.03</v>
      </c>
      <c r="I59" s="3">
        <f>Data!I59+Data!L59+Data!M59+Data!N59+Data!O59+Data!S59</f>
        <v>0</v>
      </c>
      <c r="J59" s="3">
        <f>Data!Q59</f>
        <v>0</v>
      </c>
      <c r="K59" s="3">
        <f>Data!J59+Data!P59</f>
        <v>-50195.89</v>
      </c>
      <c r="L59" s="3">
        <f>Data!T59</f>
        <v>0</v>
      </c>
      <c r="M59" s="3">
        <f>ROUND(Data!AD59*$B$3,2)</f>
        <v>290052.36</v>
      </c>
      <c r="N59" s="3">
        <f>Data!U59</f>
        <v>0</v>
      </c>
      <c r="O59" s="3">
        <f t="shared" si="1"/>
        <v>3365887.78</v>
      </c>
      <c r="P59" s="3">
        <f t="shared" si="2"/>
        <v>3075835.42</v>
      </c>
      <c r="Q59" s="3">
        <f t="shared" si="3"/>
        <v>290052.36</v>
      </c>
    </row>
    <row r="60" spans="1:17" x14ac:dyDescent="0.2">
      <c r="A60" s="18">
        <v>182</v>
      </c>
      <c r="B60" s="18">
        <v>1</v>
      </c>
      <c r="C60" s="3" t="s">
        <v>57</v>
      </c>
      <c r="D60" s="3">
        <f>ROUND(Data!AC60*$B$3,2)</f>
        <v>286809.07</v>
      </c>
      <c r="E60" s="3">
        <f>MAX(0,Data!AF60-Data!Y60)</f>
        <v>273188.08999999997</v>
      </c>
      <c r="F60" s="3">
        <f>Data!Y60</f>
        <v>41830.449999999997</v>
      </c>
      <c r="G60" s="3">
        <f>Data!X60</f>
        <v>0</v>
      </c>
      <c r="H60" s="3">
        <f>Data!K60+Data!R60</f>
        <v>27542.13</v>
      </c>
      <c r="I60" s="3">
        <f>Data!I60+Data!L60+Data!M60+Data!N60+Data!O60+Data!S60</f>
        <v>0</v>
      </c>
      <c r="J60" s="3">
        <f>Data!Q60</f>
        <v>0</v>
      </c>
      <c r="K60" s="3">
        <f>Data!J60+Data!P60</f>
        <v>9850.84</v>
      </c>
      <c r="L60" s="3">
        <f>Data!T60</f>
        <v>0</v>
      </c>
      <c r="M60" s="3">
        <f>ROUND(Data!AD60*$B$3,2)</f>
        <v>2701.97</v>
      </c>
      <c r="N60" s="3">
        <f>Data!U60</f>
        <v>0</v>
      </c>
      <c r="O60" s="3">
        <f t="shared" si="1"/>
        <v>641922.54999999981</v>
      </c>
      <c r="P60" s="3">
        <f t="shared" si="2"/>
        <v>639220.57999999984</v>
      </c>
      <c r="Q60" s="3">
        <f t="shared" si="3"/>
        <v>2701.97</v>
      </c>
    </row>
    <row r="61" spans="1:17" x14ac:dyDescent="0.2">
      <c r="A61" s="18">
        <v>186</v>
      </c>
      <c r="B61" s="18">
        <v>1</v>
      </c>
      <c r="C61" s="3" t="s">
        <v>58</v>
      </c>
      <c r="D61" s="3">
        <f>ROUND(Data!AC61*$B$3,2)</f>
        <v>568650.34</v>
      </c>
      <c r="E61" s="3">
        <f>MAX(0,Data!AF61-Data!Y61)</f>
        <v>913.56</v>
      </c>
      <c r="F61" s="3">
        <f>Data!Y61</f>
        <v>0</v>
      </c>
      <c r="G61" s="3">
        <f>Data!X61</f>
        <v>0</v>
      </c>
      <c r="H61" s="3">
        <f>Data!K61+Data!R61</f>
        <v>31827.200000000001</v>
      </c>
      <c r="I61" s="3">
        <f>Data!I61+Data!L61+Data!M61+Data!N61+Data!O61+Data!S61</f>
        <v>0</v>
      </c>
      <c r="J61" s="3">
        <f>Data!Q61</f>
        <v>0</v>
      </c>
      <c r="K61" s="3">
        <f>Data!J61+Data!P61</f>
        <v>39598.379999999997</v>
      </c>
      <c r="L61" s="3">
        <f>Data!T61</f>
        <v>0</v>
      </c>
      <c r="M61" s="3">
        <f>ROUND(Data!AD61*$B$3,2)</f>
        <v>84372.91</v>
      </c>
      <c r="N61" s="3">
        <f>Data!U61</f>
        <v>0</v>
      </c>
      <c r="O61" s="3">
        <f t="shared" si="1"/>
        <v>725362.39</v>
      </c>
      <c r="P61" s="3">
        <f t="shared" si="2"/>
        <v>640989.48</v>
      </c>
      <c r="Q61" s="3">
        <f t="shared" si="3"/>
        <v>84372.91</v>
      </c>
    </row>
    <row r="62" spans="1:17" x14ac:dyDescent="0.2">
      <c r="A62" s="18">
        <v>191</v>
      </c>
      <c r="B62" s="18">
        <v>1</v>
      </c>
      <c r="C62" s="3" t="s">
        <v>59</v>
      </c>
      <c r="D62" s="3">
        <f>ROUND(Data!AC62*$B$3,2)</f>
        <v>2697059.37</v>
      </c>
      <c r="E62" s="3">
        <f>MAX(0,Data!AF62-Data!Y62)</f>
        <v>5435808.6399999987</v>
      </c>
      <c r="F62" s="3">
        <f>Data!Y62</f>
        <v>3269341.23</v>
      </c>
      <c r="G62" s="3">
        <f>Data!X62</f>
        <v>0</v>
      </c>
      <c r="H62" s="3">
        <f>Data!K62+Data!R62</f>
        <v>207844.47</v>
      </c>
      <c r="I62" s="3">
        <f>Data!I62+Data!L62+Data!M62+Data!N62+Data!O62+Data!S62</f>
        <v>0</v>
      </c>
      <c r="J62" s="3">
        <f>Data!Q62</f>
        <v>0</v>
      </c>
      <c r="K62" s="3">
        <f>Data!J62+Data!P62</f>
        <v>284740.66000000003</v>
      </c>
      <c r="L62" s="3">
        <f>Data!T62</f>
        <v>0</v>
      </c>
      <c r="M62" s="3">
        <f>ROUND(Data!AD62*$B$3,2)</f>
        <v>474436.6</v>
      </c>
      <c r="N62" s="3">
        <f>Data!U62</f>
        <v>0</v>
      </c>
      <c r="O62" s="3">
        <f t="shared" si="1"/>
        <v>12369230.969999999</v>
      </c>
      <c r="P62" s="3">
        <f t="shared" si="2"/>
        <v>11894794.369999999</v>
      </c>
      <c r="Q62" s="3">
        <f t="shared" si="3"/>
        <v>474436.6</v>
      </c>
    </row>
    <row r="63" spans="1:17" x14ac:dyDescent="0.2">
      <c r="A63" s="18">
        <v>192</v>
      </c>
      <c r="B63" s="18">
        <v>1</v>
      </c>
      <c r="C63" s="3" t="s">
        <v>60</v>
      </c>
      <c r="D63" s="3">
        <f>ROUND(Data!AC63*$B$3,2)</f>
        <v>1284713.1200000001</v>
      </c>
      <c r="E63" s="3">
        <f>MAX(0,Data!AF63-Data!Y63)</f>
        <v>1116501.6199999999</v>
      </c>
      <c r="F63" s="3">
        <f>Data!Y63</f>
        <v>497003.31</v>
      </c>
      <c r="G63" s="3">
        <f>Data!X63</f>
        <v>34108.79</v>
      </c>
      <c r="H63" s="3">
        <f>Data!K63+Data!R63</f>
        <v>94067</v>
      </c>
      <c r="I63" s="3">
        <f>Data!I63+Data!L63+Data!M63+Data!N63+Data!O63+Data!S63</f>
        <v>0</v>
      </c>
      <c r="J63" s="3">
        <f>Data!Q63</f>
        <v>0</v>
      </c>
      <c r="K63" s="3">
        <f>Data!J63+Data!P63</f>
        <v>121196.57</v>
      </c>
      <c r="L63" s="3">
        <f>Data!T63</f>
        <v>0</v>
      </c>
      <c r="M63" s="3">
        <f>ROUND(Data!AD63*$B$3,2)</f>
        <v>201206.43</v>
      </c>
      <c r="N63" s="3">
        <f>Data!U63</f>
        <v>0</v>
      </c>
      <c r="O63" s="3">
        <f t="shared" si="1"/>
        <v>3348796.8400000003</v>
      </c>
      <c r="P63" s="3">
        <f t="shared" si="2"/>
        <v>3147590.41</v>
      </c>
      <c r="Q63" s="3">
        <f t="shared" si="3"/>
        <v>201206.43</v>
      </c>
    </row>
    <row r="64" spans="1:17" x14ac:dyDescent="0.2">
      <c r="A64" s="18">
        <v>194</v>
      </c>
      <c r="B64" s="18">
        <v>1</v>
      </c>
      <c r="C64" s="3" t="s">
        <v>61</v>
      </c>
      <c r="D64" s="3">
        <f>ROUND(Data!AC64*$B$3,2)</f>
        <v>2374735.2999999998</v>
      </c>
      <c r="E64" s="3">
        <f>MAX(0,Data!AF64-Data!Y64)</f>
        <v>2905006.4</v>
      </c>
      <c r="F64" s="3">
        <f>Data!Y64</f>
        <v>2328572.5699999998</v>
      </c>
      <c r="G64" s="3">
        <f>Data!X64</f>
        <v>230506.25</v>
      </c>
      <c r="H64" s="3">
        <f>Data!K64+Data!R64</f>
        <v>184544.94999999998</v>
      </c>
      <c r="I64" s="3">
        <f>Data!I64+Data!L64+Data!M64+Data!N64+Data!O64+Data!S64</f>
        <v>0</v>
      </c>
      <c r="J64" s="3">
        <f>Data!Q64</f>
        <v>0</v>
      </c>
      <c r="K64" s="3">
        <f>Data!J64+Data!P64</f>
        <v>90511.18</v>
      </c>
      <c r="L64" s="3">
        <f>Data!T64</f>
        <v>0</v>
      </c>
      <c r="M64" s="3">
        <f>ROUND(Data!AD64*$B$3,2)</f>
        <v>573906.71</v>
      </c>
      <c r="N64" s="3">
        <f>Data!U64</f>
        <v>0</v>
      </c>
      <c r="O64" s="3">
        <f t="shared" si="1"/>
        <v>8687783.3599999994</v>
      </c>
      <c r="P64" s="3">
        <f t="shared" si="2"/>
        <v>8113876.6499999994</v>
      </c>
      <c r="Q64" s="3">
        <f t="shared" si="3"/>
        <v>573906.71</v>
      </c>
    </row>
    <row r="65" spans="1:17" x14ac:dyDescent="0.2">
      <c r="A65" s="18">
        <v>195</v>
      </c>
      <c r="B65" s="18">
        <v>1</v>
      </c>
      <c r="C65" s="3" t="s">
        <v>62</v>
      </c>
      <c r="D65" s="3">
        <f>ROUND(Data!AC65*$B$3,2)</f>
        <v>121592.62</v>
      </c>
      <c r="E65" s="3">
        <f>MAX(0,Data!AF65-Data!Y65)</f>
        <v>0</v>
      </c>
      <c r="F65" s="3">
        <f>Data!Y65</f>
        <v>139518.71</v>
      </c>
      <c r="G65" s="3">
        <f>Data!X65</f>
        <v>0</v>
      </c>
      <c r="H65" s="3">
        <f>Data!K65+Data!R65</f>
        <v>10520.800000000001</v>
      </c>
      <c r="I65" s="3">
        <f>Data!I65+Data!L65+Data!M65+Data!N65+Data!O65+Data!S65</f>
        <v>0</v>
      </c>
      <c r="J65" s="3">
        <f>Data!Q65</f>
        <v>0</v>
      </c>
      <c r="K65" s="3">
        <f>Data!J65+Data!P65</f>
        <v>13700.619999999999</v>
      </c>
      <c r="L65" s="3">
        <f>Data!T65</f>
        <v>0</v>
      </c>
      <c r="M65" s="3">
        <f>ROUND(Data!AD65*$B$3,2)</f>
        <v>15323.58</v>
      </c>
      <c r="N65" s="3">
        <f>Data!U65</f>
        <v>0</v>
      </c>
      <c r="O65" s="3">
        <f t="shared" si="1"/>
        <v>300656.33</v>
      </c>
      <c r="P65" s="3">
        <f t="shared" si="2"/>
        <v>285332.75</v>
      </c>
      <c r="Q65" s="3">
        <f t="shared" si="3"/>
        <v>15323.58</v>
      </c>
    </row>
    <row r="66" spans="1:17" x14ac:dyDescent="0.2">
      <c r="A66" s="18">
        <v>196</v>
      </c>
      <c r="B66" s="18">
        <v>1</v>
      </c>
      <c r="C66" s="3" t="s">
        <v>63</v>
      </c>
      <c r="D66" s="3">
        <f>ROUND(Data!AC66*$B$3,2)</f>
        <v>12059835.67</v>
      </c>
      <c r="E66" s="3">
        <f>MAX(0,Data!AF66-Data!Y66)</f>
        <v>12451122.370000001</v>
      </c>
      <c r="F66" s="3">
        <f>Data!Y66</f>
        <v>2902781.6</v>
      </c>
      <c r="G66" s="3">
        <f>Data!X66</f>
        <v>0</v>
      </c>
      <c r="H66" s="3">
        <f>Data!K66+Data!R66</f>
        <v>485261.01999999996</v>
      </c>
      <c r="I66" s="3">
        <f>Data!I66+Data!L66+Data!M66+Data!N66+Data!O66+Data!S66</f>
        <v>0</v>
      </c>
      <c r="J66" s="3">
        <f>Data!Q66</f>
        <v>0</v>
      </c>
      <c r="K66" s="3">
        <f>Data!J66+Data!P66</f>
        <v>469368.3</v>
      </c>
      <c r="L66" s="3">
        <f>Data!T66</f>
        <v>0</v>
      </c>
      <c r="M66" s="3">
        <f>ROUND(Data!AD66*$B$3,2)</f>
        <v>820124.51</v>
      </c>
      <c r="N66" s="3">
        <f>Data!U66</f>
        <v>0</v>
      </c>
      <c r="O66" s="3">
        <f t="shared" si="1"/>
        <v>29188493.470000003</v>
      </c>
      <c r="P66" s="3">
        <f t="shared" si="2"/>
        <v>28368368.960000001</v>
      </c>
      <c r="Q66" s="3">
        <f t="shared" si="3"/>
        <v>820124.51</v>
      </c>
    </row>
    <row r="67" spans="1:17" x14ac:dyDescent="0.2">
      <c r="A67" s="18">
        <v>197</v>
      </c>
      <c r="B67" s="18">
        <v>1</v>
      </c>
      <c r="C67" s="3" t="s">
        <v>64</v>
      </c>
      <c r="D67" s="3">
        <f>ROUND(Data!AC67*$B$3,2)</f>
        <v>1711102.49</v>
      </c>
      <c r="E67" s="3">
        <f>MAX(0,Data!AF67-Data!Y67)</f>
        <v>1111921.5099999998</v>
      </c>
      <c r="F67" s="3">
        <f>Data!Y67</f>
        <v>1798011.75</v>
      </c>
      <c r="G67" s="3">
        <f>Data!X67</f>
        <v>0</v>
      </c>
      <c r="H67" s="3">
        <f>Data!K67+Data!R67</f>
        <v>73343.75</v>
      </c>
      <c r="I67" s="3">
        <f>Data!I67+Data!L67+Data!M67+Data!N67+Data!O67+Data!S67</f>
        <v>0</v>
      </c>
      <c r="J67" s="3">
        <f>Data!Q67</f>
        <v>0</v>
      </c>
      <c r="K67" s="3">
        <f>Data!J67+Data!P67</f>
        <v>60155.240000000005</v>
      </c>
      <c r="L67" s="3">
        <f>Data!T67</f>
        <v>0</v>
      </c>
      <c r="M67" s="3">
        <f>ROUND(Data!AD67*$B$3,2)</f>
        <v>338134.01</v>
      </c>
      <c r="N67" s="3">
        <f>Data!U67</f>
        <v>0</v>
      </c>
      <c r="O67" s="3">
        <f t="shared" si="1"/>
        <v>5092668.75</v>
      </c>
      <c r="P67" s="3">
        <f t="shared" si="2"/>
        <v>4754534.74</v>
      </c>
      <c r="Q67" s="3">
        <f t="shared" si="3"/>
        <v>338134.01</v>
      </c>
    </row>
    <row r="68" spans="1:17" x14ac:dyDescent="0.2">
      <c r="A68" s="18">
        <v>199</v>
      </c>
      <c r="B68" s="18">
        <v>1</v>
      </c>
      <c r="C68" s="3" t="s">
        <v>65</v>
      </c>
      <c r="D68" s="3">
        <f>ROUND(Data!AC68*$B$3,2)</f>
        <v>1341536.8999999999</v>
      </c>
      <c r="E68" s="3">
        <f>MAX(0,Data!AF68-Data!Y68)</f>
        <v>965608.00999999989</v>
      </c>
      <c r="F68" s="3">
        <f>Data!Y68</f>
        <v>996898.87</v>
      </c>
      <c r="G68" s="3">
        <f>Data!X68</f>
        <v>29000.73</v>
      </c>
      <c r="H68" s="3">
        <f>Data!K68+Data!R68</f>
        <v>72404.799999999988</v>
      </c>
      <c r="I68" s="3">
        <f>Data!I68+Data!L68+Data!M68+Data!N68+Data!O68+Data!S68</f>
        <v>0</v>
      </c>
      <c r="J68" s="3">
        <f>Data!Q68</f>
        <v>0</v>
      </c>
      <c r="K68" s="3">
        <f>Data!J68+Data!P68</f>
        <v>44644.47</v>
      </c>
      <c r="L68" s="3">
        <f>Data!T68</f>
        <v>0</v>
      </c>
      <c r="M68" s="3">
        <f>ROUND(Data!AD68*$B$3,2)</f>
        <v>208540.17</v>
      </c>
      <c r="N68" s="3">
        <f>Data!U68</f>
        <v>0</v>
      </c>
      <c r="O68" s="3">
        <f t="shared" si="1"/>
        <v>3658633.9499999997</v>
      </c>
      <c r="P68" s="3">
        <f t="shared" si="2"/>
        <v>3450093.78</v>
      </c>
      <c r="Q68" s="3">
        <f t="shared" si="3"/>
        <v>208540.17</v>
      </c>
    </row>
    <row r="69" spans="1:17" x14ac:dyDescent="0.2">
      <c r="A69" s="18">
        <v>200</v>
      </c>
      <c r="B69" s="18">
        <v>1</v>
      </c>
      <c r="C69" s="3" t="s">
        <v>66</v>
      </c>
      <c r="D69" s="3">
        <f>ROUND(Data!AC69*$B$3,2)</f>
        <v>1137585.78</v>
      </c>
      <c r="E69" s="3">
        <f>MAX(0,Data!AF69-Data!Y69)</f>
        <v>3216802.19</v>
      </c>
      <c r="F69" s="3">
        <f>Data!Y69</f>
        <v>552049.56000000006</v>
      </c>
      <c r="G69" s="3">
        <f>Data!X69</f>
        <v>43073.06</v>
      </c>
      <c r="H69" s="3">
        <f>Data!K69+Data!R69</f>
        <v>44307.61</v>
      </c>
      <c r="I69" s="3">
        <f>Data!I69+Data!L69+Data!M69+Data!N69+Data!O69+Data!S69</f>
        <v>0</v>
      </c>
      <c r="J69" s="3">
        <f>Data!Q69</f>
        <v>0</v>
      </c>
      <c r="K69" s="3">
        <f>Data!J69+Data!P69</f>
        <v>15628.85</v>
      </c>
      <c r="L69" s="3">
        <f>Data!T69</f>
        <v>0</v>
      </c>
      <c r="M69" s="3">
        <f>ROUND(Data!AD69*$B$3,2)</f>
        <v>221687.44</v>
      </c>
      <c r="N69" s="3">
        <f>Data!U69</f>
        <v>0</v>
      </c>
      <c r="O69" s="3">
        <f t="shared" si="1"/>
        <v>5231134.4899999993</v>
      </c>
      <c r="P69" s="3">
        <f t="shared" si="2"/>
        <v>5009447.0499999989</v>
      </c>
      <c r="Q69" s="3">
        <f t="shared" si="3"/>
        <v>221687.44</v>
      </c>
    </row>
    <row r="70" spans="1:17" x14ac:dyDescent="0.2">
      <c r="A70" s="18">
        <v>203</v>
      </c>
      <c r="B70" s="18">
        <v>1</v>
      </c>
      <c r="C70" s="3" t="s">
        <v>67</v>
      </c>
      <c r="D70" s="3">
        <f>ROUND(Data!AC70*$B$3,2)</f>
        <v>197356.54</v>
      </c>
      <c r="E70" s="3">
        <f>MAX(0,Data!AF70-Data!Y70)</f>
        <v>165281.04999999999</v>
      </c>
      <c r="F70" s="3">
        <f>Data!Y70</f>
        <v>0</v>
      </c>
      <c r="G70" s="3">
        <f>Data!X70</f>
        <v>0</v>
      </c>
      <c r="H70" s="3">
        <f>Data!K70+Data!R70</f>
        <v>16020.800000000001</v>
      </c>
      <c r="I70" s="3">
        <f>Data!I70+Data!L70+Data!M70+Data!N70+Data!O70+Data!S70</f>
        <v>0</v>
      </c>
      <c r="J70" s="3">
        <f>Data!Q70</f>
        <v>0</v>
      </c>
      <c r="K70" s="3">
        <f>Data!J70+Data!P70</f>
        <v>634.26000000000022</v>
      </c>
      <c r="L70" s="3">
        <f>Data!T70</f>
        <v>0</v>
      </c>
      <c r="M70" s="3">
        <f>ROUND(Data!AD70*$B$3,2)</f>
        <v>32340.81</v>
      </c>
      <c r="N70" s="3">
        <f>Data!U70</f>
        <v>0</v>
      </c>
      <c r="O70" s="3">
        <f t="shared" si="1"/>
        <v>411633.45999999996</v>
      </c>
      <c r="P70" s="3">
        <f t="shared" si="2"/>
        <v>379292.64999999997</v>
      </c>
      <c r="Q70" s="3">
        <f t="shared" si="3"/>
        <v>32340.81</v>
      </c>
    </row>
    <row r="71" spans="1:17" x14ac:dyDescent="0.2">
      <c r="A71" s="18">
        <v>204</v>
      </c>
      <c r="B71" s="18">
        <v>1</v>
      </c>
      <c r="C71" s="3" t="s">
        <v>68</v>
      </c>
      <c r="D71" s="3">
        <f>ROUND(Data!AC71*$B$3,2)</f>
        <v>328479.53999999998</v>
      </c>
      <c r="E71" s="3">
        <f>MAX(0,Data!AF71-Data!Y71)</f>
        <v>153401.93</v>
      </c>
      <c r="F71" s="3">
        <f>Data!Y71</f>
        <v>66446.850000000006</v>
      </c>
      <c r="G71" s="3">
        <f>Data!X71</f>
        <v>0</v>
      </c>
      <c r="H71" s="3">
        <f>Data!K71+Data!R71</f>
        <v>35610.399999999994</v>
      </c>
      <c r="I71" s="3">
        <f>Data!I71+Data!L71+Data!M71+Data!N71+Data!O71+Data!S71</f>
        <v>0</v>
      </c>
      <c r="J71" s="3">
        <f>Data!Q71</f>
        <v>0</v>
      </c>
      <c r="K71" s="3">
        <f>Data!J71+Data!P71</f>
        <v>1500</v>
      </c>
      <c r="L71" s="3">
        <f>Data!T71</f>
        <v>0</v>
      </c>
      <c r="M71" s="3">
        <f>ROUND(Data!AD71*$B$3,2)</f>
        <v>22203.21</v>
      </c>
      <c r="N71" s="3">
        <f>Data!U71</f>
        <v>0</v>
      </c>
      <c r="O71" s="3">
        <f t="shared" si="1"/>
        <v>607641.92999999993</v>
      </c>
      <c r="P71" s="3">
        <f t="shared" si="2"/>
        <v>585438.71999999997</v>
      </c>
      <c r="Q71" s="3">
        <f t="shared" si="3"/>
        <v>22203.21</v>
      </c>
    </row>
    <row r="72" spans="1:17" x14ac:dyDescent="0.2">
      <c r="A72" s="18">
        <v>206</v>
      </c>
      <c r="B72" s="18">
        <v>1</v>
      </c>
      <c r="C72" s="3" t="s">
        <v>69</v>
      </c>
      <c r="D72" s="3">
        <f>ROUND(Data!AC72*$B$3,2)</f>
        <v>977788.03</v>
      </c>
      <c r="E72" s="3">
        <f>MAX(0,Data!AF72-Data!Y72)</f>
        <v>503981.36000000004</v>
      </c>
      <c r="F72" s="3">
        <f>Data!Y72</f>
        <v>365570.81</v>
      </c>
      <c r="G72" s="3">
        <f>Data!X72</f>
        <v>0</v>
      </c>
      <c r="H72" s="3">
        <f>Data!K72+Data!R72</f>
        <v>82400.800000000003</v>
      </c>
      <c r="I72" s="3">
        <f>Data!I72+Data!L72+Data!M72+Data!N72+Data!O72+Data!S72</f>
        <v>0</v>
      </c>
      <c r="J72" s="3">
        <f>Data!Q72</f>
        <v>0</v>
      </c>
      <c r="K72" s="3">
        <f>Data!J72+Data!P72</f>
        <v>9753.68</v>
      </c>
      <c r="L72" s="3">
        <f>Data!T72</f>
        <v>0</v>
      </c>
      <c r="M72" s="3">
        <f>ROUND(Data!AD72*$B$3,2)</f>
        <v>200034.68</v>
      </c>
      <c r="N72" s="3">
        <f>Data!U72</f>
        <v>0</v>
      </c>
      <c r="O72" s="3">
        <f t="shared" ref="O72:O132" si="4">SUM(D72:N72)</f>
        <v>2139529.3600000003</v>
      </c>
      <c r="P72" s="3">
        <f t="shared" ref="P72:P133" si="5">SUM(D72:L72)</f>
        <v>1939494.6800000002</v>
      </c>
      <c r="Q72" s="3">
        <f t="shared" ref="Q72:Q133" si="6">SUM(M72:N72)</f>
        <v>200034.68</v>
      </c>
    </row>
    <row r="73" spans="1:17" x14ac:dyDescent="0.2">
      <c r="A73" s="18">
        <v>207</v>
      </c>
      <c r="B73" s="18">
        <v>1</v>
      </c>
      <c r="C73" s="3" t="s">
        <v>70</v>
      </c>
      <c r="D73" s="3">
        <f>ROUND(Data!AC73*$B$3,2)</f>
        <v>87486.8</v>
      </c>
      <c r="E73" s="3">
        <f>MAX(0,Data!AF73-Data!Y73)</f>
        <v>98303.22</v>
      </c>
      <c r="F73" s="3">
        <f>Data!Y73</f>
        <v>0</v>
      </c>
      <c r="G73" s="3">
        <f>Data!X73</f>
        <v>0</v>
      </c>
      <c r="H73" s="3">
        <f>Data!K73+Data!R73</f>
        <v>10000</v>
      </c>
      <c r="I73" s="3">
        <f>Data!I73+Data!L73+Data!M73+Data!N73+Data!O73+Data!S73</f>
        <v>0</v>
      </c>
      <c r="J73" s="3">
        <f>Data!Q73</f>
        <v>-8726.7999999999993</v>
      </c>
      <c r="K73" s="3">
        <f>Data!J73+Data!P73</f>
        <v>8726.7999999999993</v>
      </c>
      <c r="L73" s="3">
        <f>Data!T73</f>
        <v>0</v>
      </c>
      <c r="M73" s="3">
        <f>ROUND(Data!AD73*$B$3,2)</f>
        <v>10790.66</v>
      </c>
      <c r="N73" s="3">
        <f>Data!U73</f>
        <v>0</v>
      </c>
      <c r="O73" s="3">
        <f t="shared" si="4"/>
        <v>206580.68000000002</v>
      </c>
      <c r="P73" s="3">
        <f t="shared" si="5"/>
        <v>195790.02000000002</v>
      </c>
      <c r="Q73" s="3">
        <f t="shared" si="6"/>
        <v>10790.66</v>
      </c>
    </row>
    <row r="74" spans="1:17" x14ac:dyDescent="0.2">
      <c r="A74" s="18">
        <v>208</v>
      </c>
      <c r="B74" s="18">
        <v>1</v>
      </c>
      <c r="C74" s="3" t="s">
        <v>71</v>
      </c>
      <c r="D74" s="3">
        <f>ROUND(Data!AC74*$B$3,2)</f>
        <v>53685.01</v>
      </c>
      <c r="E74" s="3">
        <f>MAX(0,Data!AF74-Data!Y74)</f>
        <v>138918.73000000001</v>
      </c>
      <c r="F74" s="3">
        <f>Data!Y74</f>
        <v>0</v>
      </c>
      <c r="G74" s="3">
        <f>Data!X74</f>
        <v>0</v>
      </c>
      <c r="H74" s="3">
        <f>Data!K74+Data!R74</f>
        <v>10000</v>
      </c>
      <c r="I74" s="3">
        <f>Data!I74+Data!L74+Data!M74+Data!N74+Data!O74+Data!S74</f>
        <v>0</v>
      </c>
      <c r="J74" s="3">
        <f>Data!Q74</f>
        <v>0</v>
      </c>
      <c r="K74" s="3">
        <f>Data!J74+Data!P74</f>
        <v>-864.98999999999978</v>
      </c>
      <c r="L74" s="3">
        <f>Data!T74</f>
        <v>0</v>
      </c>
      <c r="M74" s="3">
        <f>ROUND(Data!AD74*$B$3,2)</f>
        <v>8509.86</v>
      </c>
      <c r="N74" s="3">
        <f>Data!U74</f>
        <v>0</v>
      </c>
      <c r="O74" s="3">
        <f t="shared" si="4"/>
        <v>210248.61000000004</v>
      </c>
      <c r="P74" s="3">
        <f t="shared" si="5"/>
        <v>201738.75000000003</v>
      </c>
      <c r="Q74" s="3">
        <f t="shared" si="6"/>
        <v>8509.86</v>
      </c>
    </row>
    <row r="75" spans="1:17" x14ac:dyDescent="0.2">
      <c r="A75" s="18">
        <v>213</v>
      </c>
      <c r="B75" s="18">
        <v>1</v>
      </c>
      <c r="C75" s="3" t="s">
        <v>72</v>
      </c>
      <c r="D75" s="3">
        <f>ROUND(Data!AC75*$B$3,2)</f>
        <v>169350.95</v>
      </c>
      <c r="E75" s="3">
        <f>MAX(0,Data!AF75-Data!Y75)</f>
        <v>0</v>
      </c>
      <c r="F75" s="3">
        <f>Data!Y75</f>
        <v>28915.37</v>
      </c>
      <c r="G75" s="3">
        <f>Data!X75</f>
        <v>0</v>
      </c>
      <c r="H75" s="3">
        <f>Data!K75+Data!R75</f>
        <v>0</v>
      </c>
      <c r="I75" s="3">
        <f>Data!I75+Data!L75+Data!M75+Data!N75+Data!O75+Data!S75</f>
        <v>0</v>
      </c>
      <c r="J75" s="3">
        <f>Data!Q75</f>
        <v>0</v>
      </c>
      <c r="K75" s="3">
        <f>Data!J75+Data!P75</f>
        <v>-2405.7399999999998</v>
      </c>
      <c r="L75" s="3">
        <f>Data!T75</f>
        <v>0</v>
      </c>
      <c r="M75" s="3">
        <f>ROUND(Data!AD75*$B$3,2)</f>
        <v>20514.060000000001</v>
      </c>
      <c r="N75" s="3">
        <f>Data!U75</f>
        <v>0</v>
      </c>
      <c r="O75" s="3">
        <f t="shared" si="4"/>
        <v>216374.64</v>
      </c>
      <c r="P75" s="3">
        <f t="shared" si="5"/>
        <v>195860.58000000002</v>
      </c>
      <c r="Q75" s="3">
        <f t="shared" si="6"/>
        <v>20514.060000000001</v>
      </c>
    </row>
    <row r="76" spans="1:17" x14ac:dyDescent="0.2">
      <c r="A76" s="18">
        <v>227</v>
      </c>
      <c r="B76" s="18">
        <v>1</v>
      </c>
      <c r="C76" s="3" t="s">
        <v>73</v>
      </c>
      <c r="D76" s="3">
        <f>ROUND(Data!AC76*$B$3,2)</f>
        <v>162038.49</v>
      </c>
      <c r="E76" s="3">
        <f>MAX(0,Data!AF76-Data!Y76)</f>
        <v>76278</v>
      </c>
      <c r="F76" s="3">
        <f>Data!Y76</f>
        <v>44731.14</v>
      </c>
      <c r="G76" s="3">
        <f>Data!X76</f>
        <v>0</v>
      </c>
      <c r="H76" s="3">
        <f>Data!K76+Data!R76</f>
        <v>17990.399999999998</v>
      </c>
      <c r="I76" s="3">
        <f>Data!I76+Data!L76+Data!M76+Data!N76+Data!O76+Data!S76</f>
        <v>0</v>
      </c>
      <c r="J76" s="3">
        <f>Data!Q76</f>
        <v>0</v>
      </c>
      <c r="K76" s="3">
        <f>Data!J76+Data!P76</f>
        <v>-4435.9400000000005</v>
      </c>
      <c r="L76" s="3">
        <f>Data!T76</f>
        <v>0</v>
      </c>
      <c r="M76" s="3">
        <f>ROUND(Data!AD76*$B$3,2)</f>
        <v>32205.759999999998</v>
      </c>
      <c r="N76" s="3">
        <f>Data!U76</f>
        <v>0</v>
      </c>
      <c r="O76" s="3">
        <f t="shared" si="4"/>
        <v>328807.85000000003</v>
      </c>
      <c r="P76" s="3">
        <f t="shared" si="5"/>
        <v>296602.09000000003</v>
      </c>
      <c r="Q76" s="3">
        <f t="shared" si="6"/>
        <v>32205.759999999998</v>
      </c>
    </row>
    <row r="77" spans="1:17" x14ac:dyDescent="0.2">
      <c r="A77" s="18">
        <v>229</v>
      </c>
      <c r="B77" s="18">
        <v>1</v>
      </c>
      <c r="C77" s="3" t="s">
        <v>74</v>
      </c>
      <c r="D77" s="3">
        <f>ROUND(Data!AC77*$B$3,2)</f>
        <v>79593.17</v>
      </c>
      <c r="E77" s="3">
        <f>MAX(0,Data!AF77-Data!Y77)</f>
        <v>18416.760000000002</v>
      </c>
      <c r="F77" s="3">
        <f>Data!Y77</f>
        <v>15542.06</v>
      </c>
      <c r="G77" s="3">
        <f>Data!X77</f>
        <v>0</v>
      </c>
      <c r="H77" s="3">
        <f>Data!K77+Data!R77</f>
        <v>24606.76</v>
      </c>
      <c r="I77" s="3">
        <f>Data!I77+Data!L77+Data!M77+Data!N77+Data!O77+Data!S77</f>
        <v>0</v>
      </c>
      <c r="J77" s="3">
        <f>Data!Q77</f>
        <v>0</v>
      </c>
      <c r="K77" s="3">
        <f>Data!J77+Data!P77</f>
        <v>1275.6199999999999</v>
      </c>
      <c r="L77" s="3">
        <f>Data!T77</f>
        <v>0</v>
      </c>
      <c r="M77" s="3">
        <f>ROUND(Data!AD77*$B$3,2)</f>
        <v>10249.65</v>
      </c>
      <c r="N77" s="3">
        <f>Data!U77</f>
        <v>0</v>
      </c>
      <c r="O77" s="3">
        <f t="shared" si="4"/>
        <v>149684.01999999999</v>
      </c>
      <c r="P77" s="3">
        <f t="shared" si="5"/>
        <v>139434.37</v>
      </c>
      <c r="Q77" s="3">
        <f t="shared" si="6"/>
        <v>10249.65</v>
      </c>
    </row>
    <row r="78" spans="1:17" x14ac:dyDescent="0.2">
      <c r="A78" s="18">
        <v>238</v>
      </c>
      <c r="B78" s="18">
        <v>1</v>
      </c>
      <c r="C78" s="3" t="s">
        <v>75</v>
      </c>
      <c r="D78" s="3">
        <f>ROUND(Data!AC78*$B$3,2)</f>
        <v>67139.23</v>
      </c>
      <c r="E78" s="3">
        <f>MAX(0,Data!AF78-Data!Y78)</f>
        <v>90149.599999999991</v>
      </c>
      <c r="F78" s="3">
        <f>Data!Y78</f>
        <v>54421.05</v>
      </c>
      <c r="G78" s="3">
        <f>Data!X78</f>
        <v>0</v>
      </c>
      <c r="H78" s="3">
        <f>Data!K78+Data!R78</f>
        <v>12233.69</v>
      </c>
      <c r="I78" s="3">
        <f>Data!I78+Data!L78+Data!M78+Data!N78+Data!O78+Data!S78</f>
        <v>0</v>
      </c>
      <c r="J78" s="3">
        <f>Data!Q78</f>
        <v>0</v>
      </c>
      <c r="K78" s="3">
        <f>Data!J78+Data!P78</f>
        <v>1000</v>
      </c>
      <c r="L78" s="3">
        <f>Data!T78</f>
        <v>0</v>
      </c>
      <c r="M78" s="3">
        <f>ROUND(Data!AD78*$B$3,2)</f>
        <v>3035.02</v>
      </c>
      <c r="N78" s="3">
        <f>Data!U78</f>
        <v>0</v>
      </c>
      <c r="O78" s="3">
        <f t="shared" si="4"/>
        <v>227978.59</v>
      </c>
      <c r="P78" s="3">
        <f t="shared" si="5"/>
        <v>224943.57</v>
      </c>
      <c r="Q78" s="3">
        <f t="shared" si="6"/>
        <v>3035.02</v>
      </c>
    </row>
    <row r="79" spans="1:17" x14ac:dyDescent="0.2">
      <c r="A79" s="18">
        <v>239</v>
      </c>
      <c r="B79" s="18">
        <v>1</v>
      </c>
      <c r="C79" s="3" t="s">
        <v>76</v>
      </c>
      <c r="D79" s="3">
        <f>ROUND(Data!AC79*$B$3,2)</f>
        <v>166937.28</v>
      </c>
      <c r="E79" s="3">
        <f>MAX(0,Data!AF79-Data!Y79)</f>
        <v>214473.9</v>
      </c>
      <c r="F79" s="3">
        <f>Data!Y79</f>
        <v>35288.620000000003</v>
      </c>
      <c r="G79" s="3">
        <f>Data!X79</f>
        <v>0</v>
      </c>
      <c r="H79" s="3">
        <f>Data!K79+Data!R79</f>
        <v>14579.250000000002</v>
      </c>
      <c r="I79" s="3">
        <f>Data!I79+Data!L79+Data!M79+Data!N79+Data!O79+Data!S79</f>
        <v>0</v>
      </c>
      <c r="J79" s="3">
        <f>Data!Q79</f>
        <v>0</v>
      </c>
      <c r="K79" s="3">
        <f>Data!J79+Data!P79</f>
        <v>-9322.6</v>
      </c>
      <c r="L79" s="3">
        <f>Data!T79</f>
        <v>0</v>
      </c>
      <c r="M79" s="3">
        <f>ROUND(Data!AD79*$B$3,2)</f>
        <v>25070.31</v>
      </c>
      <c r="N79" s="3">
        <f>Data!U79</f>
        <v>0</v>
      </c>
      <c r="O79" s="3">
        <f t="shared" si="4"/>
        <v>447026.76</v>
      </c>
      <c r="P79" s="3">
        <f t="shared" si="5"/>
        <v>421956.45</v>
      </c>
      <c r="Q79" s="3">
        <f t="shared" si="6"/>
        <v>25070.31</v>
      </c>
    </row>
    <row r="80" spans="1:17" x14ac:dyDescent="0.2">
      <c r="A80" s="18">
        <v>241</v>
      </c>
      <c r="B80" s="18">
        <v>1</v>
      </c>
      <c r="C80" s="3" t="s">
        <v>77</v>
      </c>
      <c r="D80" s="3">
        <f>ROUND(Data!AC80*$B$3,2)</f>
        <v>798865.56</v>
      </c>
      <c r="E80" s="3">
        <f>MAX(0,Data!AF80-Data!Y80)</f>
        <v>1275072.1399999999</v>
      </c>
      <c r="F80" s="3">
        <f>Data!Y80</f>
        <v>174209.52</v>
      </c>
      <c r="G80" s="3">
        <f>Data!X80</f>
        <v>60901.47</v>
      </c>
      <c r="H80" s="3">
        <f>Data!K80+Data!R80</f>
        <v>73699.34</v>
      </c>
      <c r="I80" s="3">
        <f>Data!I80+Data!L80+Data!M80+Data!N80+Data!O80+Data!S80</f>
        <v>0</v>
      </c>
      <c r="J80" s="3">
        <f>Data!Q80</f>
        <v>0</v>
      </c>
      <c r="K80" s="3">
        <f>Data!J80+Data!P80</f>
        <v>19070.79</v>
      </c>
      <c r="L80" s="3">
        <f>Data!T80</f>
        <v>0</v>
      </c>
      <c r="M80" s="3">
        <f>ROUND(Data!AD80*$B$3,2)</f>
        <v>125016.98</v>
      </c>
      <c r="N80" s="3">
        <f>Data!U80</f>
        <v>0</v>
      </c>
      <c r="O80" s="3">
        <f t="shared" si="4"/>
        <v>2526835.7999999998</v>
      </c>
      <c r="P80" s="3">
        <f t="shared" si="5"/>
        <v>2401818.8199999998</v>
      </c>
      <c r="Q80" s="3">
        <f t="shared" si="6"/>
        <v>125016.98</v>
      </c>
    </row>
    <row r="81" spans="1:17" x14ac:dyDescent="0.2">
      <c r="A81" s="18">
        <v>242</v>
      </c>
      <c r="B81" s="18">
        <v>1</v>
      </c>
      <c r="C81" s="3" t="s">
        <v>78</v>
      </c>
      <c r="D81" s="3">
        <f>ROUND(Data!AC81*$B$3,2)</f>
        <v>73445.960000000006</v>
      </c>
      <c r="E81" s="3">
        <f>MAX(0,Data!AF81-Data!Y81)</f>
        <v>3717.9999999999964</v>
      </c>
      <c r="F81" s="3">
        <f>Data!Y81</f>
        <v>29849.06</v>
      </c>
      <c r="G81" s="3">
        <f>Data!X81</f>
        <v>4788.6099999999997</v>
      </c>
      <c r="H81" s="3">
        <f>Data!K81+Data!R81</f>
        <v>10000</v>
      </c>
      <c r="I81" s="3">
        <f>Data!I81+Data!L81+Data!M81+Data!N81+Data!O81+Data!S81</f>
        <v>0</v>
      </c>
      <c r="J81" s="3">
        <f>Data!Q81</f>
        <v>0</v>
      </c>
      <c r="K81" s="3">
        <f>Data!J81+Data!P81</f>
        <v>2877.69</v>
      </c>
      <c r="L81" s="3">
        <f>Data!T81</f>
        <v>0</v>
      </c>
      <c r="M81" s="3">
        <f>ROUND(Data!AD81*$B$3,2)</f>
        <v>10529.03</v>
      </c>
      <c r="N81" s="3">
        <f>Data!U81</f>
        <v>0</v>
      </c>
      <c r="O81" s="3">
        <f t="shared" si="4"/>
        <v>135208.35</v>
      </c>
      <c r="P81" s="3">
        <f t="shared" si="5"/>
        <v>124679.32</v>
      </c>
      <c r="Q81" s="3">
        <f t="shared" si="6"/>
        <v>10529.03</v>
      </c>
    </row>
    <row r="82" spans="1:17" x14ac:dyDescent="0.2">
      <c r="A82" s="18">
        <v>252</v>
      </c>
      <c r="B82" s="18">
        <v>1</v>
      </c>
      <c r="C82" s="3" t="s">
        <v>79</v>
      </c>
      <c r="D82" s="3">
        <f>ROUND(Data!AC82*$B$3,2)</f>
        <v>290730.48</v>
      </c>
      <c r="E82" s="3">
        <f>MAX(0,Data!AF82-Data!Y82)</f>
        <v>234868.75</v>
      </c>
      <c r="F82" s="3">
        <f>Data!Y82</f>
        <v>104497.76</v>
      </c>
      <c r="G82" s="3">
        <f>Data!X82</f>
        <v>0</v>
      </c>
      <c r="H82" s="3">
        <f>Data!K82+Data!R82</f>
        <v>25627.200000000001</v>
      </c>
      <c r="I82" s="3">
        <f>Data!I82+Data!L82+Data!M82+Data!N82+Data!O82+Data!S82</f>
        <v>0</v>
      </c>
      <c r="J82" s="3">
        <f>Data!Q82</f>
        <v>0</v>
      </c>
      <c r="K82" s="3">
        <f>Data!J82+Data!P82</f>
        <v>23874.93</v>
      </c>
      <c r="L82" s="3">
        <f>Data!T82</f>
        <v>0</v>
      </c>
      <c r="M82" s="3">
        <f>ROUND(Data!AD82*$B$3,2)</f>
        <v>67005.789999999994</v>
      </c>
      <c r="N82" s="3">
        <f>Data!U82</f>
        <v>0</v>
      </c>
      <c r="O82" s="3">
        <f t="shared" si="4"/>
        <v>746604.91</v>
      </c>
      <c r="P82" s="3">
        <f t="shared" si="5"/>
        <v>679599.12</v>
      </c>
      <c r="Q82" s="3">
        <f t="shared" si="6"/>
        <v>67005.789999999994</v>
      </c>
    </row>
    <row r="83" spans="1:17" x14ac:dyDescent="0.2">
      <c r="A83" s="18">
        <v>253</v>
      </c>
      <c r="B83" s="18">
        <v>1</v>
      </c>
      <c r="C83" s="3" t="s">
        <v>80</v>
      </c>
      <c r="D83" s="3">
        <f>ROUND(Data!AC83*$B$3,2)</f>
        <v>117093.35</v>
      </c>
      <c r="E83" s="3">
        <f>MAX(0,Data!AF83-Data!Y83)</f>
        <v>0</v>
      </c>
      <c r="F83" s="3">
        <f>Data!Y83</f>
        <v>32550.880000000001</v>
      </c>
      <c r="G83" s="3">
        <f>Data!X83</f>
        <v>2374.9299999999998</v>
      </c>
      <c r="H83" s="3">
        <f>Data!K83+Data!R83</f>
        <v>13816</v>
      </c>
      <c r="I83" s="3">
        <f>Data!I83+Data!L83+Data!M83+Data!N83+Data!O83+Data!S83</f>
        <v>0</v>
      </c>
      <c r="J83" s="3">
        <f>Data!Q83</f>
        <v>-4677.2700000000004</v>
      </c>
      <c r="K83" s="3">
        <f>Data!J83+Data!P83</f>
        <v>7598.53</v>
      </c>
      <c r="L83" s="3">
        <f>Data!T83</f>
        <v>0</v>
      </c>
      <c r="M83" s="3">
        <f>ROUND(Data!AD83*$B$3,2)</f>
        <v>18325.599999999999</v>
      </c>
      <c r="N83" s="3">
        <f>Data!U83</f>
        <v>0</v>
      </c>
      <c r="O83" s="3">
        <f t="shared" si="4"/>
        <v>187082.02000000002</v>
      </c>
      <c r="P83" s="3">
        <f t="shared" si="5"/>
        <v>168756.42</v>
      </c>
      <c r="Q83" s="3">
        <f t="shared" si="6"/>
        <v>18325.599999999999</v>
      </c>
    </row>
    <row r="84" spans="1:17" x14ac:dyDescent="0.2">
      <c r="A84" s="18">
        <v>255</v>
      </c>
      <c r="B84" s="18">
        <v>1</v>
      </c>
      <c r="C84" s="3" t="s">
        <v>81</v>
      </c>
      <c r="D84" s="3">
        <f>ROUND(Data!AC84*$B$3,2)</f>
        <v>361199.61</v>
      </c>
      <c r="E84" s="3">
        <f>MAX(0,Data!AF84-Data!Y84)</f>
        <v>188979.79</v>
      </c>
      <c r="F84" s="3">
        <f>Data!Y84</f>
        <v>52187.99</v>
      </c>
      <c r="G84" s="3">
        <f>Data!X84</f>
        <v>0</v>
      </c>
      <c r="H84" s="3">
        <f>Data!K84+Data!R84</f>
        <v>33782.839999999997</v>
      </c>
      <c r="I84" s="3">
        <f>Data!I84+Data!L84+Data!M84+Data!N84+Data!O84+Data!S84</f>
        <v>0</v>
      </c>
      <c r="J84" s="3">
        <f>Data!Q84</f>
        <v>0</v>
      </c>
      <c r="K84" s="3">
        <f>Data!J84+Data!P84</f>
        <v>33000.089999999997</v>
      </c>
      <c r="L84" s="3">
        <f>Data!T84</f>
        <v>0</v>
      </c>
      <c r="M84" s="3">
        <f>ROUND(Data!AD84*$B$3,2)</f>
        <v>66330.740000000005</v>
      </c>
      <c r="N84" s="3">
        <f>Data!U84</f>
        <v>0</v>
      </c>
      <c r="O84" s="3">
        <f t="shared" si="4"/>
        <v>735481.05999999994</v>
      </c>
      <c r="P84" s="3">
        <f t="shared" si="5"/>
        <v>669150.31999999995</v>
      </c>
      <c r="Q84" s="3">
        <f t="shared" si="6"/>
        <v>66330.740000000005</v>
      </c>
    </row>
    <row r="85" spans="1:17" x14ac:dyDescent="0.2">
      <c r="A85" s="18">
        <v>256</v>
      </c>
      <c r="B85" s="18">
        <v>1</v>
      </c>
      <c r="C85" s="3" t="s">
        <v>82</v>
      </c>
      <c r="D85" s="3">
        <f>ROUND(Data!AC85*$B$3,2)</f>
        <v>614182.98</v>
      </c>
      <c r="E85" s="3">
        <f>MAX(0,Data!AF85-Data!Y85)</f>
        <v>1336711.97</v>
      </c>
      <c r="F85" s="3">
        <f>Data!Y85</f>
        <v>431418.24</v>
      </c>
      <c r="G85" s="3">
        <f>Data!X85</f>
        <v>7931.62</v>
      </c>
      <c r="H85" s="3">
        <f>Data!K85+Data!R85</f>
        <v>62928.19</v>
      </c>
      <c r="I85" s="3">
        <f>Data!I85+Data!L85+Data!M85+Data!N85+Data!O85+Data!S85</f>
        <v>0</v>
      </c>
      <c r="J85" s="3">
        <f>Data!Q85</f>
        <v>0</v>
      </c>
      <c r="K85" s="3">
        <f>Data!J85+Data!P85</f>
        <v>6071.2099999999991</v>
      </c>
      <c r="L85" s="3">
        <f>Data!T85</f>
        <v>0</v>
      </c>
      <c r="M85" s="3">
        <f>ROUND(Data!AD85*$B$3,2)</f>
        <v>141239.85999999999</v>
      </c>
      <c r="N85" s="3">
        <f>Data!U85</f>
        <v>0</v>
      </c>
      <c r="O85" s="3">
        <f t="shared" si="4"/>
        <v>2600484.0699999998</v>
      </c>
      <c r="P85" s="3">
        <f t="shared" si="5"/>
        <v>2459244.21</v>
      </c>
      <c r="Q85" s="3">
        <f t="shared" si="6"/>
        <v>141239.85999999999</v>
      </c>
    </row>
    <row r="86" spans="1:17" x14ac:dyDescent="0.2">
      <c r="A86" s="18">
        <v>261</v>
      </c>
      <c r="B86" s="18">
        <v>1</v>
      </c>
      <c r="C86" s="3" t="s">
        <v>83</v>
      </c>
      <c r="D86" s="3">
        <f>ROUND(Data!AC86*$B$3,2)</f>
        <v>47087.11</v>
      </c>
      <c r="E86" s="3">
        <f>MAX(0,Data!AF86-Data!Y86)</f>
        <v>122442.35</v>
      </c>
      <c r="F86" s="3">
        <f>Data!Y86</f>
        <v>0</v>
      </c>
      <c r="G86" s="3">
        <f>Data!X86</f>
        <v>0</v>
      </c>
      <c r="H86" s="3">
        <f>Data!K86+Data!R86</f>
        <v>10000</v>
      </c>
      <c r="I86" s="3">
        <f>Data!I86+Data!L86+Data!M86+Data!N86+Data!O86+Data!S86</f>
        <v>0</v>
      </c>
      <c r="J86" s="3">
        <f>Data!Q86</f>
        <v>0</v>
      </c>
      <c r="K86" s="3">
        <f>Data!J86+Data!P86</f>
        <v>-167.0600000000004</v>
      </c>
      <c r="L86" s="3">
        <f>Data!T86</f>
        <v>0</v>
      </c>
      <c r="M86" s="3">
        <f>ROUND(Data!AD86*$B$3,2)</f>
        <v>8529.2999999999993</v>
      </c>
      <c r="N86" s="3">
        <f>Data!U86</f>
        <v>0</v>
      </c>
      <c r="O86" s="3">
        <f t="shared" si="4"/>
        <v>187891.7</v>
      </c>
      <c r="P86" s="3">
        <f t="shared" si="5"/>
        <v>179362.40000000002</v>
      </c>
      <c r="Q86" s="3">
        <f t="shared" si="6"/>
        <v>8529.2999999999993</v>
      </c>
    </row>
    <row r="87" spans="1:17" x14ac:dyDescent="0.2">
      <c r="A87" s="18">
        <v>264</v>
      </c>
      <c r="B87" s="18">
        <v>1</v>
      </c>
      <c r="C87" s="3" t="s">
        <v>84</v>
      </c>
      <c r="D87" s="3">
        <f>ROUND(Data!AC87*$B$3,2)</f>
        <v>935.55</v>
      </c>
      <c r="E87" s="3">
        <f>MAX(0,Data!AF87-Data!Y87)</f>
        <v>0</v>
      </c>
      <c r="F87" s="3">
        <f>Data!Y87</f>
        <v>122971.08</v>
      </c>
      <c r="G87" s="3">
        <f>Data!X87</f>
        <v>0</v>
      </c>
      <c r="H87" s="3">
        <f>Data!K87+Data!R87</f>
        <v>1760</v>
      </c>
      <c r="I87" s="3">
        <f>Data!I87+Data!L87+Data!M87+Data!N87+Data!O87+Data!S87</f>
        <v>0</v>
      </c>
      <c r="J87" s="3">
        <f>Data!Q87</f>
        <v>0</v>
      </c>
      <c r="K87" s="3">
        <f>Data!J87+Data!P87</f>
        <v>-1000</v>
      </c>
      <c r="L87" s="3">
        <f>Data!T87</f>
        <v>0</v>
      </c>
      <c r="M87" s="3">
        <f>ROUND(Data!AD87*$B$3,2)</f>
        <v>10110.26</v>
      </c>
      <c r="N87" s="3">
        <f>Data!U87</f>
        <v>0</v>
      </c>
      <c r="O87" s="3">
        <f t="shared" si="4"/>
        <v>134776.89000000001</v>
      </c>
      <c r="P87" s="3">
        <f t="shared" si="5"/>
        <v>124666.63</v>
      </c>
      <c r="Q87" s="3">
        <f t="shared" si="6"/>
        <v>10110.26</v>
      </c>
    </row>
    <row r="88" spans="1:17" x14ac:dyDescent="0.2">
      <c r="A88" s="18">
        <v>270</v>
      </c>
      <c r="B88" s="18">
        <v>1</v>
      </c>
      <c r="C88" s="3" t="s">
        <v>85</v>
      </c>
      <c r="D88" s="3">
        <f>ROUND(Data!AC88*$B$3,2)</f>
        <v>5469705.4299999997</v>
      </c>
      <c r="E88" s="3">
        <f>MAX(0,Data!AF88-Data!Y88)</f>
        <v>2705773.7600000002</v>
      </c>
      <c r="F88" s="3">
        <f>Data!Y88</f>
        <v>4134654.98</v>
      </c>
      <c r="G88" s="3">
        <f>Data!X88</f>
        <v>0</v>
      </c>
      <c r="H88" s="3">
        <f>Data!K88+Data!R88</f>
        <v>146404.79999999999</v>
      </c>
      <c r="I88" s="3">
        <f>Data!I88+Data!L88+Data!M88+Data!N88+Data!O88+Data!S88</f>
        <v>0</v>
      </c>
      <c r="J88" s="3">
        <f>Data!Q88</f>
        <v>0</v>
      </c>
      <c r="K88" s="3">
        <f>Data!J88+Data!P88</f>
        <v>112993.31</v>
      </c>
      <c r="L88" s="3">
        <f>Data!T88</f>
        <v>0</v>
      </c>
      <c r="M88" s="3">
        <f>ROUND(Data!AD88*$B$3,2)</f>
        <v>658800.01</v>
      </c>
      <c r="N88" s="3">
        <f>Data!U88</f>
        <v>0</v>
      </c>
      <c r="O88" s="3">
        <f t="shared" si="4"/>
        <v>13228332.290000001</v>
      </c>
      <c r="P88" s="3">
        <f t="shared" si="5"/>
        <v>12569532.280000001</v>
      </c>
      <c r="Q88" s="3">
        <f t="shared" si="6"/>
        <v>658800.01</v>
      </c>
    </row>
    <row r="89" spans="1:17" x14ac:dyDescent="0.2">
      <c r="A89" s="18">
        <v>271</v>
      </c>
      <c r="B89" s="18">
        <v>1</v>
      </c>
      <c r="C89" s="3" t="s">
        <v>86</v>
      </c>
      <c r="D89" s="3">
        <f>ROUND(Data!AC89*$B$3,2)</f>
        <v>6023024.3499999996</v>
      </c>
      <c r="E89" s="3">
        <f>MAX(0,Data!AF89-Data!Y89)</f>
        <v>4993135.5</v>
      </c>
      <c r="F89" s="3">
        <f>Data!Y89</f>
        <v>3892764.24</v>
      </c>
      <c r="G89" s="3">
        <f>Data!X89</f>
        <v>0</v>
      </c>
      <c r="H89" s="3">
        <f>Data!K89+Data!R89</f>
        <v>199367.2</v>
      </c>
      <c r="I89" s="3">
        <f>Data!I89+Data!L89+Data!M89+Data!N89+Data!O89+Data!S89</f>
        <v>0</v>
      </c>
      <c r="J89" s="3">
        <f>Data!Q89</f>
        <v>0</v>
      </c>
      <c r="K89" s="3">
        <f>Data!J89+Data!P89</f>
        <v>62101.57</v>
      </c>
      <c r="L89" s="3">
        <f>Data!T89</f>
        <v>0</v>
      </c>
      <c r="M89" s="3">
        <f>ROUND(Data!AD89*$B$3,2)</f>
        <v>781445.29</v>
      </c>
      <c r="N89" s="3">
        <f>Data!U89</f>
        <v>0</v>
      </c>
      <c r="O89" s="3">
        <f t="shared" si="4"/>
        <v>15951838.149999999</v>
      </c>
      <c r="P89" s="3">
        <f t="shared" si="5"/>
        <v>15170392.859999999</v>
      </c>
      <c r="Q89" s="3">
        <f t="shared" si="6"/>
        <v>781445.29</v>
      </c>
    </row>
    <row r="90" spans="1:17" x14ac:dyDescent="0.2">
      <c r="A90" s="18">
        <v>272</v>
      </c>
      <c r="B90" s="18">
        <v>1</v>
      </c>
      <c r="C90" s="3" t="s">
        <v>87</v>
      </c>
      <c r="D90" s="3">
        <f>ROUND(Data!AC90*$B$3,2)</f>
        <v>6080201.5499999998</v>
      </c>
      <c r="E90" s="3">
        <f>MAX(0,Data!AF90-Data!Y90)</f>
        <v>3241435.4299999997</v>
      </c>
      <c r="F90" s="3">
        <f>Data!Y90</f>
        <v>3383760.71</v>
      </c>
      <c r="G90" s="3">
        <f>Data!X90</f>
        <v>116982.81</v>
      </c>
      <c r="H90" s="3">
        <f>Data!K90+Data!R90</f>
        <v>193216</v>
      </c>
      <c r="I90" s="3">
        <f>Data!I90+Data!L90+Data!M90+Data!N90+Data!O90+Data!S90</f>
        <v>0</v>
      </c>
      <c r="J90" s="3">
        <f>Data!Q90</f>
        <v>0</v>
      </c>
      <c r="K90" s="3">
        <f>Data!J90+Data!P90</f>
        <v>149507.44</v>
      </c>
      <c r="L90" s="3">
        <f>Data!T90</f>
        <v>0</v>
      </c>
      <c r="M90" s="3">
        <f>ROUND(Data!AD90*$B$3,2)</f>
        <v>568039.53</v>
      </c>
      <c r="N90" s="3">
        <f>Data!U90</f>
        <v>0</v>
      </c>
      <c r="O90" s="3">
        <f t="shared" si="4"/>
        <v>13733143.470000001</v>
      </c>
      <c r="P90" s="3">
        <f t="shared" si="5"/>
        <v>13165103.940000001</v>
      </c>
      <c r="Q90" s="3">
        <f t="shared" si="6"/>
        <v>568039.53</v>
      </c>
    </row>
    <row r="91" spans="1:17" x14ac:dyDescent="0.2">
      <c r="A91" s="18">
        <v>273</v>
      </c>
      <c r="B91" s="18">
        <v>1</v>
      </c>
      <c r="C91" s="3" t="s">
        <v>88</v>
      </c>
      <c r="D91" s="3">
        <f>ROUND(Data!AC91*$B$3,2)</f>
        <v>3721116.44</v>
      </c>
      <c r="E91" s="3">
        <f>MAX(0,Data!AF91-Data!Y91)</f>
        <v>3857132.7099999995</v>
      </c>
      <c r="F91" s="3">
        <f>Data!Y91</f>
        <v>3617532.85</v>
      </c>
      <c r="G91" s="3">
        <f>Data!X91</f>
        <v>0</v>
      </c>
      <c r="H91" s="3">
        <f>Data!K91+Data!R91</f>
        <v>31497.01</v>
      </c>
      <c r="I91" s="3">
        <f>Data!I91+Data!L91+Data!M91+Data!N91+Data!O91+Data!S91</f>
        <v>0</v>
      </c>
      <c r="J91" s="3">
        <f>Data!Q91</f>
        <v>0</v>
      </c>
      <c r="K91" s="3">
        <f>Data!J91+Data!P91</f>
        <v>92927.72</v>
      </c>
      <c r="L91" s="3">
        <f>Data!T91</f>
        <v>0</v>
      </c>
      <c r="M91" s="3">
        <f>ROUND(Data!AD91*$B$3,2)</f>
        <v>477358.06</v>
      </c>
      <c r="N91" s="3">
        <f>Data!U91</f>
        <v>0</v>
      </c>
      <c r="O91" s="3">
        <f t="shared" si="4"/>
        <v>11797564.790000001</v>
      </c>
      <c r="P91" s="3">
        <f t="shared" si="5"/>
        <v>11320206.73</v>
      </c>
      <c r="Q91" s="3">
        <f t="shared" si="6"/>
        <v>477358.06</v>
      </c>
    </row>
    <row r="92" spans="1:17" x14ac:dyDescent="0.2">
      <c r="A92" s="18">
        <v>276</v>
      </c>
      <c r="B92" s="18">
        <v>1</v>
      </c>
      <c r="C92" s="3" t="s">
        <v>89</v>
      </c>
      <c r="D92" s="3">
        <f>ROUND(Data!AC92*$B$3,2)</f>
        <v>5004794.9800000004</v>
      </c>
      <c r="E92" s="3">
        <f>MAX(0,Data!AF92-Data!Y92)</f>
        <v>3952964.5599999996</v>
      </c>
      <c r="F92" s="3">
        <f>Data!Y92</f>
        <v>3991123.96</v>
      </c>
      <c r="G92" s="3">
        <f>Data!X92</f>
        <v>0</v>
      </c>
      <c r="H92" s="3">
        <f>Data!K92+Data!R92</f>
        <v>127130.23</v>
      </c>
      <c r="I92" s="3">
        <f>Data!I92+Data!L92+Data!M92+Data!N92+Data!O92+Data!S92</f>
        <v>-20037</v>
      </c>
      <c r="J92" s="3">
        <f>Data!Q92</f>
        <v>0</v>
      </c>
      <c r="K92" s="3">
        <f>Data!J92+Data!P92</f>
        <v>13461.87</v>
      </c>
      <c r="L92" s="3">
        <f>Data!T92</f>
        <v>0</v>
      </c>
      <c r="M92" s="3">
        <f>ROUND(Data!AD92*$B$3,2)</f>
        <v>472093.06</v>
      </c>
      <c r="N92" s="3">
        <f>Data!U92</f>
        <v>0</v>
      </c>
      <c r="O92" s="3">
        <f t="shared" si="4"/>
        <v>13541531.66</v>
      </c>
      <c r="P92" s="3">
        <f t="shared" si="5"/>
        <v>13069438.6</v>
      </c>
      <c r="Q92" s="3">
        <f t="shared" si="6"/>
        <v>472093.06</v>
      </c>
    </row>
    <row r="93" spans="1:17" x14ac:dyDescent="0.2">
      <c r="A93" s="18">
        <v>277</v>
      </c>
      <c r="B93" s="18">
        <v>1</v>
      </c>
      <c r="C93" s="3" t="s">
        <v>90</v>
      </c>
      <c r="D93" s="3">
        <f>ROUND(Data!AC93*$B$3,2)</f>
        <v>1041079.63</v>
      </c>
      <c r="E93" s="3">
        <f>MAX(0,Data!AF93-Data!Y93)</f>
        <v>1260060.0399999998</v>
      </c>
      <c r="F93" s="3">
        <f>Data!Y93</f>
        <v>856488.26</v>
      </c>
      <c r="G93" s="3">
        <f>Data!X93</f>
        <v>0</v>
      </c>
      <c r="H93" s="3">
        <f>Data!K93+Data!R93</f>
        <v>31371.160000000003</v>
      </c>
      <c r="I93" s="3">
        <f>Data!I93+Data!L93+Data!M93+Data!N93+Data!O93+Data!S93</f>
        <v>0</v>
      </c>
      <c r="J93" s="3">
        <f>Data!Q93</f>
        <v>0</v>
      </c>
      <c r="K93" s="3">
        <f>Data!J93+Data!P93</f>
        <v>28574.3</v>
      </c>
      <c r="L93" s="3">
        <f>Data!T93</f>
        <v>0</v>
      </c>
      <c r="M93" s="3">
        <f>ROUND(Data!AD93*$B$3,2)</f>
        <v>218798.59</v>
      </c>
      <c r="N93" s="3">
        <f>Data!U93</f>
        <v>0</v>
      </c>
      <c r="O93" s="3">
        <f t="shared" si="4"/>
        <v>3436371.9799999995</v>
      </c>
      <c r="P93" s="3">
        <f t="shared" si="5"/>
        <v>3217573.3899999997</v>
      </c>
      <c r="Q93" s="3">
        <f t="shared" si="6"/>
        <v>218798.59</v>
      </c>
    </row>
    <row r="94" spans="1:17" x14ac:dyDescent="0.2">
      <c r="A94" s="18">
        <v>278</v>
      </c>
      <c r="B94" s="18">
        <v>1</v>
      </c>
      <c r="C94" s="3" t="s">
        <v>91</v>
      </c>
      <c r="D94" s="3">
        <f>ROUND(Data!AC94*$B$3,2)</f>
        <v>1548591.24</v>
      </c>
      <c r="E94" s="3">
        <f>MAX(0,Data!AF94-Data!Y94)</f>
        <v>848368.94</v>
      </c>
      <c r="F94" s="3">
        <f>Data!Y94</f>
        <v>887487.03</v>
      </c>
      <c r="G94" s="3">
        <f>Data!X94</f>
        <v>0</v>
      </c>
      <c r="H94" s="3">
        <f>Data!K94+Data!R94</f>
        <v>45823.45</v>
      </c>
      <c r="I94" s="3">
        <f>Data!I94+Data!L94+Data!M94+Data!N94+Data!O94+Data!S94</f>
        <v>0</v>
      </c>
      <c r="J94" s="3">
        <f>Data!Q94</f>
        <v>0</v>
      </c>
      <c r="K94" s="3">
        <f>Data!J94+Data!P94</f>
        <v>25755.67</v>
      </c>
      <c r="L94" s="3">
        <f>Data!T94</f>
        <v>0</v>
      </c>
      <c r="M94" s="3">
        <f>ROUND(Data!AD94*$B$3,2)</f>
        <v>126505.74</v>
      </c>
      <c r="N94" s="3">
        <f>Data!U94</f>
        <v>0</v>
      </c>
      <c r="O94" s="3">
        <f t="shared" si="4"/>
        <v>3482532.0700000003</v>
      </c>
      <c r="P94" s="3">
        <f t="shared" si="5"/>
        <v>3356026.33</v>
      </c>
      <c r="Q94" s="3">
        <f t="shared" si="6"/>
        <v>126505.74</v>
      </c>
    </row>
    <row r="95" spans="1:17" x14ac:dyDescent="0.2">
      <c r="A95" s="18">
        <v>279</v>
      </c>
      <c r="B95" s="18">
        <v>1</v>
      </c>
      <c r="C95" s="3" t="s">
        <v>92</v>
      </c>
      <c r="D95" s="3">
        <f>ROUND(Data!AC95*$B$3,2)</f>
        <v>7360820.4000000004</v>
      </c>
      <c r="E95" s="3">
        <f>MAX(0,Data!AF95-Data!Y95)</f>
        <v>11728963.91</v>
      </c>
      <c r="F95" s="3">
        <f>Data!Y95</f>
        <v>3660705.88</v>
      </c>
      <c r="G95" s="3">
        <f>Data!X95</f>
        <v>0</v>
      </c>
      <c r="H95" s="3">
        <f>Data!K95+Data!R95</f>
        <v>400686.4</v>
      </c>
      <c r="I95" s="3">
        <f>Data!I95+Data!L95+Data!M95+Data!N95+Data!O95+Data!S95</f>
        <v>0</v>
      </c>
      <c r="J95" s="3">
        <f>Data!Q95</f>
        <v>0</v>
      </c>
      <c r="K95" s="3">
        <f>Data!J95+Data!P95</f>
        <v>606143.93999999994</v>
      </c>
      <c r="L95" s="3">
        <f>Data!T95</f>
        <v>0</v>
      </c>
      <c r="M95" s="3">
        <f>ROUND(Data!AD95*$B$3,2)</f>
        <v>910892.18</v>
      </c>
      <c r="N95" s="3">
        <f>Data!U95</f>
        <v>0</v>
      </c>
      <c r="O95" s="3">
        <f t="shared" si="4"/>
        <v>24668212.710000001</v>
      </c>
      <c r="P95" s="3">
        <f t="shared" si="5"/>
        <v>23757320.530000001</v>
      </c>
      <c r="Q95" s="3">
        <f t="shared" si="6"/>
        <v>910892.18</v>
      </c>
    </row>
    <row r="96" spans="1:17" x14ac:dyDescent="0.2">
      <c r="A96" s="18">
        <v>280</v>
      </c>
      <c r="B96" s="18">
        <v>1</v>
      </c>
      <c r="C96" s="3" t="s">
        <v>93</v>
      </c>
      <c r="D96" s="3">
        <f>ROUND(Data!AC96*$B$3,2)</f>
        <v>2274416.5099999998</v>
      </c>
      <c r="E96" s="3">
        <f>MAX(0,Data!AF96-Data!Y96)</f>
        <v>1584355.6500000001</v>
      </c>
      <c r="F96" s="3">
        <f>Data!Y96</f>
        <v>1308442.53</v>
      </c>
      <c r="G96" s="3">
        <f>Data!X96</f>
        <v>0</v>
      </c>
      <c r="H96" s="3">
        <f>Data!K96+Data!R96</f>
        <v>80167.200000000012</v>
      </c>
      <c r="I96" s="3">
        <f>Data!I96+Data!L96+Data!M96+Data!N96+Data!O96+Data!S96</f>
        <v>84107.8</v>
      </c>
      <c r="J96" s="3">
        <f>Data!Q96</f>
        <v>0</v>
      </c>
      <c r="K96" s="3">
        <f>Data!J96+Data!P96</f>
        <v>116661.81</v>
      </c>
      <c r="L96" s="3">
        <f>Data!T96</f>
        <v>0</v>
      </c>
      <c r="M96" s="3">
        <f>ROUND(Data!AD96*$B$3,2)</f>
        <v>212548.52</v>
      </c>
      <c r="N96" s="3">
        <f>Data!U96</f>
        <v>0</v>
      </c>
      <c r="O96" s="3">
        <f t="shared" si="4"/>
        <v>5660700.0199999996</v>
      </c>
      <c r="P96" s="3">
        <f t="shared" si="5"/>
        <v>5448151.5</v>
      </c>
      <c r="Q96" s="3">
        <f t="shared" si="6"/>
        <v>212548.52</v>
      </c>
    </row>
    <row r="97" spans="1:17" x14ac:dyDescent="0.2">
      <c r="A97" s="18">
        <v>281</v>
      </c>
      <c r="B97" s="18">
        <v>1</v>
      </c>
      <c r="C97" s="3" t="s">
        <v>94</v>
      </c>
      <c r="D97" s="3">
        <f>ROUND(Data!AC97*$B$3,2)</f>
        <v>6435960.75</v>
      </c>
      <c r="E97" s="3">
        <f>MAX(0,Data!AF97-Data!Y97)</f>
        <v>6317977.6600000001</v>
      </c>
      <c r="F97" s="3">
        <f>Data!Y97</f>
        <v>3392196.06</v>
      </c>
      <c r="G97" s="3">
        <f>Data!X97</f>
        <v>0</v>
      </c>
      <c r="H97" s="3">
        <f>Data!K97+Data!R97</f>
        <v>239185.15000000002</v>
      </c>
      <c r="I97" s="3">
        <f>Data!I97+Data!L97+Data!M97+Data!N97+Data!O97+Data!S97</f>
        <v>0</v>
      </c>
      <c r="J97" s="3">
        <f>Data!Q97</f>
        <v>0</v>
      </c>
      <c r="K97" s="3">
        <f>Data!J97+Data!P97</f>
        <v>713923.42999999993</v>
      </c>
      <c r="L97" s="3">
        <f>Data!T97</f>
        <v>0</v>
      </c>
      <c r="M97" s="3">
        <f>ROUND(Data!AD97*$B$3,2)</f>
        <v>877047.66</v>
      </c>
      <c r="N97" s="3">
        <f>Data!U97</f>
        <v>0</v>
      </c>
      <c r="O97" s="3">
        <f t="shared" si="4"/>
        <v>17976290.710000001</v>
      </c>
      <c r="P97" s="3">
        <f t="shared" si="5"/>
        <v>17099243.050000001</v>
      </c>
      <c r="Q97" s="3">
        <f t="shared" si="6"/>
        <v>877047.66</v>
      </c>
    </row>
    <row r="98" spans="1:17" x14ac:dyDescent="0.2">
      <c r="A98" s="18">
        <v>282</v>
      </c>
      <c r="B98" s="18">
        <v>1</v>
      </c>
      <c r="C98" s="3" t="s">
        <v>95</v>
      </c>
      <c r="D98" s="3">
        <f>ROUND(Data!AC98*$B$3,2)</f>
        <v>590655.66</v>
      </c>
      <c r="E98" s="3">
        <f>MAX(0,Data!AF98-Data!Y98)</f>
        <v>749378.38</v>
      </c>
      <c r="F98" s="3">
        <f>Data!Y98</f>
        <v>285410.61</v>
      </c>
      <c r="G98" s="3">
        <f>Data!X98</f>
        <v>0</v>
      </c>
      <c r="H98" s="3">
        <f>Data!K98+Data!R98</f>
        <v>10000</v>
      </c>
      <c r="I98" s="3">
        <f>Data!I98+Data!L98+Data!M98+Data!N98+Data!O98+Data!S98</f>
        <v>0</v>
      </c>
      <c r="J98" s="3">
        <f>Data!Q98</f>
        <v>0</v>
      </c>
      <c r="K98" s="3">
        <f>Data!J98+Data!P98</f>
        <v>23021.620000000003</v>
      </c>
      <c r="L98" s="3">
        <f>Data!T98</f>
        <v>0</v>
      </c>
      <c r="M98" s="3">
        <f>ROUND(Data!AD98*$B$3,2)</f>
        <v>88540.18</v>
      </c>
      <c r="N98" s="3">
        <f>Data!U98</f>
        <v>0</v>
      </c>
      <c r="O98" s="3">
        <f t="shared" si="4"/>
        <v>1747006.45</v>
      </c>
      <c r="P98" s="3">
        <f t="shared" si="5"/>
        <v>1658466.27</v>
      </c>
      <c r="Q98" s="3">
        <f t="shared" si="6"/>
        <v>88540.18</v>
      </c>
    </row>
    <row r="99" spans="1:17" x14ac:dyDescent="0.2">
      <c r="A99" s="18">
        <v>283</v>
      </c>
      <c r="B99" s="18">
        <v>1</v>
      </c>
      <c r="C99" s="3" t="s">
        <v>96</v>
      </c>
      <c r="D99" s="3">
        <f>ROUND(Data!AC99*$B$3,2)</f>
        <v>1858933.88</v>
      </c>
      <c r="E99" s="3">
        <f>MAX(0,Data!AF99-Data!Y99)</f>
        <v>2192655.85</v>
      </c>
      <c r="F99" s="3">
        <f>Data!Y99</f>
        <v>2205291.65</v>
      </c>
      <c r="G99" s="3">
        <f>Data!X99</f>
        <v>0</v>
      </c>
      <c r="H99" s="3">
        <f>Data!K99+Data!R99</f>
        <v>76172</v>
      </c>
      <c r="I99" s="3">
        <f>Data!I99+Data!L99+Data!M99+Data!N99+Data!O99+Data!S99</f>
        <v>0</v>
      </c>
      <c r="J99" s="3">
        <f>Data!Q99</f>
        <v>0</v>
      </c>
      <c r="K99" s="3">
        <f>Data!J99+Data!P99</f>
        <v>155573.70000000001</v>
      </c>
      <c r="L99" s="3">
        <f>Data!T99</f>
        <v>0</v>
      </c>
      <c r="M99" s="3">
        <f>ROUND(Data!AD99*$B$3,2)</f>
        <v>476023.97</v>
      </c>
      <c r="N99" s="3">
        <f>Data!U99</f>
        <v>0</v>
      </c>
      <c r="O99" s="3">
        <f t="shared" si="4"/>
        <v>6964651.0499999998</v>
      </c>
      <c r="P99" s="3">
        <f t="shared" si="5"/>
        <v>6488627.0800000001</v>
      </c>
      <c r="Q99" s="3">
        <f t="shared" si="6"/>
        <v>476023.97</v>
      </c>
    </row>
    <row r="100" spans="1:17" x14ac:dyDescent="0.2">
      <c r="A100" s="18">
        <v>284</v>
      </c>
      <c r="B100" s="18">
        <v>1</v>
      </c>
      <c r="C100" s="3" t="s">
        <v>97</v>
      </c>
      <c r="D100" s="3">
        <f>ROUND(Data!AC100*$B$3,2)</f>
        <v>7651549.1900000004</v>
      </c>
      <c r="E100" s="3">
        <f>MAX(0,Data!AF100-Data!Y100)</f>
        <v>5173908.0399999991</v>
      </c>
      <c r="F100" s="3">
        <f>Data!Y100</f>
        <v>3560480.14</v>
      </c>
      <c r="G100" s="3">
        <f>Data!X100</f>
        <v>0</v>
      </c>
      <c r="H100" s="3">
        <f>Data!K100+Data!R100</f>
        <v>195992.80000000002</v>
      </c>
      <c r="I100" s="3">
        <f>Data!I100+Data!L100+Data!M100+Data!N100+Data!O100+Data!S100</f>
        <v>0</v>
      </c>
      <c r="J100" s="3">
        <f>Data!Q100</f>
        <v>-50000</v>
      </c>
      <c r="K100" s="3">
        <f>Data!J100+Data!P100</f>
        <v>12920.21</v>
      </c>
      <c r="L100" s="3">
        <f>Data!T100</f>
        <v>0</v>
      </c>
      <c r="M100" s="3">
        <f>ROUND(Data!AD100*$B$3,2)</f>
        <v>723364.98</v>
      </c>
      <c r="N100" s="3">
        <f>Data!U100</f>
        <v>0</v>
      </c>
      <c r="O100" s="3">
        <f t="shared" si="4"/>
        <v>17268215.360000003</v>
      </c>
      <c r="P100" s="3">
        <f t="shared" si="5"/>
        <v>16544850.380000003</v>
      </c>
      <c r="Q100" s="3">
        <f t="shared" si="6"/>
        <v>723364.98</v>
      </c>
    </row>
    <row r="101" spans="1:17" x14ac:dyDescent="0.2">
      <c r="A101" s="18">
        <v>286</v>
      </c>
      <c r="B101" s="18">
        <v>1</v>
      </c>
      <c r="C101" s="3" t="s">
        <v>98</v>
      </c>
      <c r="D101" s="3">
        <f>ROUND(Data!AC101*$B$3,2)</f>
        <v>517742.8</v>
      </c>
      <c r="E101" s="3">
        <f>MAX(0,Data!AF101-Data!Y101)</f>
        <v>0</v>
      </c>
      <c r="F101" s="3">
        <f>Data!Y101</f>
        <v>324009.17</v>
      </c>
      <c r="G101" s="3">
        <f>Data!X101</f>
        <v>53469.46</v>
      </c>
      <c r="H101" s="3">
        <f>Data!K101+Data!R101</f>
        <v>33669.46</v>
      </c>
      <c r="I101" s="3">
        <f>Data!I101+Data!L101+Data!M101+Data!N101+Data!O101+Data!S101</f>
        <v>0</v>
      </c>
      <c r="J101" s="3">
        <f>Data!Q101</f>
        <v>0</v>
      </c>
      <c r="K101" s="3">
        <f>Data!J101+Data!P101</f>
        <v>128376.25</v>
      </c>
      <c r="L101" s="3">
        <f>Data!T101</f>
        <v>0</v>
      </c>
      <c r="M101" s="3">
        <f>ROUND(Data!AD101*$B$3,2)</f>
        <v>70751.17</v>
      </c>
      <c r="N101" s="3">
        <f>Data!U101</f>
        <v>0</v>
      </c>
      <c r="O101" s="3">
        <f t="shared" si="4"/>
        <v>1128018.3099999998</v>
      </c>
      <c r="P101" s="3">
        <f t="shared" si="5"/>
        <v>1057267.1399999999</v>
      </c>
      <c r="Q101" s="3">
        <f t="shared" si="6"/>
        <v>70751.17</v>
      </c>
    </row>
    <row r="102" spans="1:17" x14ac:dyDescent="0.2">
      <c r="A102" s="18">
        <v>294</v>
      </c>
      <c r="B102" s="18">
        <v>1</v>
      </c>
      <c r="C102" s="3" t="s">
        <v>99</v>
      </c>
      <c r="D102" s="3">
        <f>ROUND(Data!AC102*$B$3,2)</f>
        <v>135721.82</v>
      </c>
      <c r="E102" s="3">
        <f>MAX(0,Data!AF102-Data!Y102)</f>
        <v>112872.19</v>
      </c>
      <c r="F102" s="3">
        <f>Data!Y102</f>
        <v>100737.93</v>
      </c>
      <c r="G102" s="3">
        <f>Data!X102</f>
        <v>0</v>
      </c>
      <c r="H102" s="3">
        <f>Data!K102+Data!R102</f>
        <v>0</v>
      </c>
      <c r="I102" s="3">
        <f>Data!I102+Data!L102+Data!M102+Data!N102+Data!O102+Data!S102</f>
        <v>0</v>
      </c>
      <c r="J102" s="3">
        <f>Data!Q102</f>
        <v>0</v>
      </c>
      <c r="K102" s="3">
        <f>Data!J102+Data!P102</f>
        <v>0</v>
      </c>
      <c r="L102" s="3">
        <f>Data!T102</f>
        <v>0</v>
      </c>
      <c r="M102" s="3">
        <f>ROUND(Data!AD102*$B$3,2)</f>
        <v>18710.509999999998</v>
      </c>
      <c r="N102" s="3">
        <f>Data!U102</f>
        <v>0</v>
      </c>
      <c r="O102" s="3">
        <f t="shared" si="4"/>
        <v>368042.45</v>
      </c>
      <c r="P102" s="3">
        <f t="shared" si="5"/>
        <v>349331.94</v>
      </c>
      <c r="Q102" s="3">
        <f t="shared" si="6"/>
        <v>18710.509999999998</v>
      </c>
    </row>
    <row r="103" spans="1:17" x14ac:dyDescent="0.2">
      <c r="A103" s="18">
        <v>297</v>
      </c>
      <c r="B103" s="18">
        <v>1</v>
      </c>
      <c r="C103" s="3" t="s">
        <v>100</v>
      </c>
      <c r="D103" s="3">
        <f>ROUND(Data!AC103*$B$3,2)</f>
        <v>70620.34</v>
      </c>
      <c r="E103" s="3">
        <f>MAX(0,Data!AF103-Data!Y103)</f>
        <v>130111.48</v>
      </c>
      <c r="F103" s="3">
        <f>Data!Y103</f>
        <v>58342.8</v>
      </c>
      <c r="G103" s="3">
        <f>Data!X103</f>
        <v>2325.33</v>
      </c>
      <c r="H103" s="3">
        <f>Data!K103+Data!R103</f>
        <v>10000</v>
      </c>
      <c r="I103" s="3">
        <f>Data!I103+Data!L103+Data!M103+Data!N103+Data!O103+Data!S103</f>
        <v>0</v>
      </c>
      <c r="J103" s="3">
        <f>Data!Q103</f>
        <v>-17552.18</v>
      </c>
      <c r="K103" s="3">
        <f>Data!J103+Data!P103</f>
        <v>27031.51</v>
      </c>
      <c r="L103" s="3">
        <f>Data!T103</f>
        <v>0</v>
      </c>
      <c r="M103" s="3">
        <f>ROUND(Data!AD103*$B$3,2)</f>
        <v>11056.5</v>
      </c>
      <c r="N103" s="3">
        <f>Data!U103</f>
        <v>0</v>
      </c>
      <c r="O103" s="3">
        <f t="shared" si="4"/>
        <v>291935.77999999997</v>
      </c>
      <c r="P103" s="3">
        <f t="shared" si="5"/>
        <v>280879.27999999997</v>
      </c>
      <c r="Q103" s="3">
        <f t="shared" si="6"/>
        <v>11056.5</v>
      </c>
    </row>
    <row r="104" spans="1:17" x14ac:dyDescent="0.2">
      <c r="A104" s="18">
        <v>299</v>
      </c>
      <c r="B104" s="18">
        <v>1</v>
      </c>
      <c r="C104" s="3" t="s">
        <v>101</v>
      </c>
      <c r="D104" s="3">
        <f>ROUND(Data!AC104*$B$3,2)</f>
        <v>169036.34</v>
      </c>
      <c r="E104" s="3">
        <f>MAX(0,Data!AF104-Data!Y104)</f>
        <v>184743.57</v>
      </c>
      <c r="F104" s="3">
        <f>Data!Y104</f>
        <v>48805.67</v>
      </c>
      <c r="G104" s="3">
        <f>Data!X104</f>
        <v>392.08</v>
      </c>
      <c r="H104" s="3">
        <f>Data!K104+Data!R104</f>
        <v>23212.13</v>
      </c>
      <c r="I104" s="3">
        <f>Data!I104+Data!L104+Data!M104+Data!N104+Data!O104+Data!S104</f>
        <v>0</v>
      </c>
      <c r="J104" s="3">
        <f>Data!Q104</f>
        <v>0</v>
      </c>
      <c r="K104" s="3">
        <f>Data!J104+Data!P104</f>
        <v>-843.59999999999854</v>
      </c>
      <c r="L104" s="3">
        <f>Data!T104</f>
        <v>0</v>
      </c>
      <c r="M104" s="3">
        <f>ROUND(Data!AD104*$B$3,2)</f>
        <v>36585.11</v>
      </c>
      <c r="N104" s="3">
        <f>Data!U104</f>
        <v>0</v>
      </c>
      <c r="O104" s="3">
        <f t="shared" si="4"/>
        <v>461931.30000000005</v>
      </c>
      <c r="P104" s="3">
        <f t="shared" si="5"/>
        <v>425346.19000000006</v>
      </c>
      <c r="Q104" s="3">
        <f t="shared" si="6"/>
        <v>36585.11</v>
      </c>
    </row>
    <row r="105" spans="1:17" x14ac:dyDescent="0.2">
      <c r="A105" s="18">
        <v>300</v>
      </c>
      <c r="B105" s="18">
        <v>1</v>
      </c>
      <c r="C105" s="3" t="s">
        <v>102</v>
      </c>
      <c r="D105" s="3">
        <f>ROUND(Data!AC105*$B$3,2)</f>
        <v>273800.89</v>
      </c>
      <c r="E105" s="3">
        <f>MAX(0,Data!AF105-Data!Y105)</f>
        <v>303168.27</v>
      </c>
      <c r="F105" s="3">
        <f>Data!Y105</f>
        <v>46368.28</v>
      </c>
      <c r="G105" s="3">
        <f>Data!X105</f>
        <v>0</v>
      </c>
      <c r="H105" s="3">
        <f>Data!K105+Data!R105</f>
        <v>10127.93</v>
      </c>
      <c r="I105" s="3">
        <f>Data!I105+Data!L105+Data!M105+Data!N105+Data!O105+Data!S105</f>
        <v>0</v>
      </c>
      <c r="J105" s="3">
        <f>Data!Q105</f>
        <v>0</v>
      </c>
      <c r="K105" s="3">
        <f>Data!J105+Data!P105</f>
        <v>19505.759999999998</v>
      </c>
      <c r="L105" s="3">
        <f>Data!T105</f>
        <v>0</v>
      </c>
      <c r="M105" s="3">
        <f>ROUND(Data!AD105*$B$3,2)</f>
        <v>75260.990000000005</v>
      </c>
      <c r="N105" s="3">
        <f>Data!U105</f>
        <v>0</v>
      </c>
      <c r="O105" s="3">
        <f t="shared" si="4"/>
        <v>728232.12000000011</v>
      </c>
      <c r="P105" s="3">
        <f t="shared" si="5"/>
        <v>652971.13000000012</v>
      </c>
      <c r="Q105" s="3">
        <f t="shared" si="6"/>
        <v>75260.990000000005</v>
      </c>
    </row>
    <row r="106" spans="1:17" x14ac:dyDescent="0.2">
      <c r="A106" s="18">
        <v>306</v>
      </c>
      <c r="B106" s="18">
        <v>1</v>
      </c>
      <c r="C106" s="3" t="s">
        <v>103</v>
      </c>
      <c r="D106" s="3">
        <f>ROUND(Data!AC106*$B$3,2)</f>
        <v>79369.570000000007</v>
      </c>
      <c r="E106" s="3">
        <f>MAX(0,Data!AF106-Data!Y106)</f>
        <v>0</v>
      </c>
      <c r="F106" s="3">
        <f>Data!Y106</f>
        <v>19117.21</v>
      </c>
      <c r="G106" s="3">
        <f>Data!X106</f>
        <v>566.32000000000005</v>
      </c>
      <c r="H106" s="3">
        <f>Data!K106+Data!R106</f>
        <v>10000</v>
      </c>
      <c r="I106" s="3">
        <f>Data!I106+Data!L106+Data!M106+Data!N106+Data!O106+Data!S106</f>
        <v>0</v>
      </c>
      <c r="J106" s="3">
        <f>Data!Q106</f>
        <v>0</v>
      </c>
      <c r="K106" s="3">
        <f>Data!J106+Data!P106</f>
        <v>3395.24</v>
      </c>
      <c r="L106" s="3">
        <f>Data!T106</f>
        <v>0</v>
      </c>
      <c r="M106" s="3">
        <f>ROUND(Data!AD106*$B$3,2)</f>
        <v>10339.16</v>
      </c>
      <c r="N106" s="3">
        <f>Data!U106</f>
        <v>0</v>
      </c>
      <c r="O106" s="3">
        <f t="shared" si="4"/>
        <v>122787.50000000001</v>
      </c>
      <c r="P106" s="3">
        <f t="shared" si="5"/>
        <v>112448.34000000001</v>
      </c>
      <c r="Q106" s="3">
        <f t="shared" si="6"/>
        <v>10339.16</v>
      </c>
    </row>
    <row r="107" spans="1:17" x14ac:dyDescent="0.2">
      <c r="A107" s="18">
        <v>308</v>
      </c>
      <c r="B107" s="18">
        <v>1</v>
      </c>
      <c r="C107" s="3" t="s">
        <v>104</v>
      </c>
      <c r="D107" s="3">
        <f>ROUND(Data!AC107*$B$3,2)</f>
        <v>139293.23000000001</v>
      </c>
      <c r="E107" s="3">
        <f>MAX(0,Data!AF107-Data!Y107)</f>
        <v>0</v>
      </c>
      <c r="F107" s="3">
        <f>Data!Y107</f>
        <v>39387.699999999997</v>
      </c>
      <c r="G107" s="3">
        <f>Data!X107</f>
        <v>6860.73</v>
      </c>
      <c r="H107" s="3">
        <f>Data!K107+Data!R107</f>
        <v>17446.849999999999</v>
      </c>
      <c r="I107" s="3">
        <f>Data!I107+Data!L107+Data!M107+Data!N107+Data!O107+Data!S107</f>
        <v>0</v>
      </c>
      <c r="J107" s="3">
        <f>Data!Q107</f>
        <v>0</v>
      </c>
      <c r="K107" s="3">
        <f>Data!J107+Data!P107</f>
        <v>-2315.13</v>
      </c>
      <c r="L107" s="3">
        <f>Data!T107</f>
        <v>0</v>
      </c>
      <c r="M107" s="3">
        <f>ROUND(Data!AD107*$B$3,2)</f>
        <v>23077.22</v>
      </c>
      <c r="N107" s="3">
        <f>Data!U107</f>
        <v>0</v>
      </c>
      <c r="O107" s="3">
        <f t="shared" si="4"/>
        <v>223750.6</v>
      </c>
      <c r="P107" s="3">
        <f t="shared" si="5"/>
        <v>200673.38</v>
      </c>
      <c r="Q107" s="3">
        <f t="shared" si="6"/>
        <v>23077.22</v>
      </c>
    </row>
    <row r="108" spans="1:17" x14ac:dyDescent="0.2">
      <c r="A108" s="18">
        <v>309</v>
      </c>
      <c r="B108" s="18">
        <v>1</v>
      </c>
      <c r="C108" s="3" t="s">
        <v>105</v>
      </c>
      <c r="D108" s="3">
        <f>ROUND(Data!AC108*$B$3,2)</f>
        <v>224222.24</v>
      </c>
      <c r="E108" s="3">
        <f>MAX(0,Data!AF108-Data!Y108)</f>
        <v>460161.61</v>
      </c>
      <c r="F108" s="3">
        <f>Data!Y108</f>
        <v>90003.03</v>
      </c>
      <c r="G108" s="3">
        <f>Data!X108</f>
        <v>0</v>
      </c>
      <c r="H108" s="3">
        <f>Data!K108+Data!R108</f>
        <v>39318.129999999997</v>
      </c>
      <c r="I108" s="3">
        <f>Data!I108+Data!L108+Data!M108+Data!N108+Data!O108+Data!S108</f>
        <v>0</v>
      </c>
      <c r="J108" s="3">
        <f>Data!Q108</f>
        <v>0</v>
      </c>
      <c r="K108" s="3">
        <f>Data!J108+Data!P108</f>
        <v>17854.849999999999</v>
      </c>
      <c r="L108" s="3">
        <f>Data!T108</f>
        <v>0</v>
      </c>
      <c r="M108" s="3">
        <f>ROUND(Data!AD108*$B$3,2)</f>
        <v>95528.16</v>
      </c>
      <c r="N108" s="3">
        <f>Data!U108</f>
        <v>0</v>
      </c>
      <c r="O108" s="3">
        <f t="shared" si="4"/>
        <v>927088.02</v>
      </c>
      <c r="P108" s="3">
        <f t="shared" si="5"/>
        <v>831559.86</v>
      </c>
      <c r="Q108" s="3">
        <f t="shared" si="6"/>
        <v>95528.16</v>
      </c>
    </row>
    <row r="109" spans="1:17" x14ac:dyDescent="0.2">
      <c r="A109" s="18">
        <v>314</v>
      </c>
      <c r="B109" s="18">
        <v>1</v>
      </c>
      <c r="C109" s="3" t="s">
        <v>106</v>
      </c>
      <c r="D109" s="3">
        <f>ROUND(Data!AC109*$B$3,2)</f>
        <v>135796.16</v>
      </c>
      <c r="E109" s="3">
        <f>MAX(0,Data!AF109-Data!Y109)</f>
        <v>145992.89000000001</v>
      </c>
      <c r="F109" s="3">
        <f>Data!Y109</f>
        <v>43340.39</v>
      </c>
      <c r="G109" s="3">
        <f>Data!X109</f>
        <v>0</v>
      </c>
      <c r="H109" s="3">
        <f>Data!K109+Data!R109</f>
        <v>10000</v>
      </c>
      <c r="I109" s="3">
        <f>Data!I109+Data!L109+Data!M109+Data!N109+Data!O109+Data!S109</f>
        <v>0</v>
      </c>
      <c r="J109" s="3">
        <f>Data!Q109</f>
        <v>0</v>
      </c>
      <c r="K109" s="3">
        <f>Data!J109+Data!P109</f>
        <v>8793.0299999999988</v>
      </c>
      <c r="L109" s="3">
        <f>Data!T109</f>
        <v>0</v>
      </c>
      <c r="M109" s="3">
        <f>ROUND(Data!AD109*$B$3,2)</f>
        <v>27521.19</v>
      </c>
      <c r="N109" s="3">
        <f>Data!U109</f>
        <v>0</v>
      </c>
      <c r="O109" s="3">
        <f t="shared" si="4"/>
        <v>371443.66000000009</v>
      </c>
      <c r="P109" s="3">
        <f t="shared" si="5"/>
        <v>343922.47000000009</v>
      </c>
      <c r="Q109" s="3">
        <f t="shared" si="6"/>
        <v>27521.19</v>
      </c>
    </row>
    <row r="110" spans="1:17" x14ac:dyDescent="0.2">
      <c r="A110" s="18">
        <v>316</v>
      </c>
      <c r="B110" s="18">
        <v>1</v>
      </c>
      <c r="C110" s="3" t="s">
        <v>107</v>
      </c>
      <c r="D110" s="3">
        <f>ROUND(Data!AC110*$B$3,2)</f>
        <v>123323.52</v>
      </c>
      <c r="E110" s="3">
        <f>MAX(0,Data!AF110-Data!Y110)</f>
        <v>0</v>
      </c>
      <c r="F110" s="3">
        <f>Data!Y110</f>
        <v>367402.25</v>
      </c>
      <c r="G110" s="3">
        <f>Data!X110</f>
        <v>27341.23</v>
      </c>
      <c r="H110" s="3">
        <f>Data!K110+Data!R110</f>
        <v>28475.8</v>
      </c>
      <c r="I110" s="3">
        <f>Data!I110+Data!L110+Data!M110+Data!N110+Data!O110+Data!S110</f>
        <v>0</v>
      </c>
      <c r="J110" s="3">
        <f>Data!Q110</f>
        <v>0</v>
      </c>
      <c r="K110" s="3">
        <f>Data!J110+Data!P110</f>
        <v>19911.28</v>
      </c>
      <c r="L110" s="3">
        <f>Data!T110</f>
        <v>0</v>
      </c>
      <c r="M110" s="3">
        <f>ROUND(Data!AD110*$B$3,2)</f>
        <v>0</v>
      </c>
      <c r="N110" s="3">
        <f>Data!U110</f>
        <v>0</v>
      </c>
      <c r="O110" s="3">
        <f t="shared" si="4"/>
        <v>566454.08000000007</v>
      </c>
      <c r="P110" s="3">
        <f t="shared" si="5"/>
        <v>566454.08000000007</v>
      </c>
      <c r="Q110" s="3">
        <f t="shared" si="6"/>
        <v>0</v>
      </c>
    </row>
    <row r="111" spans="1:17" x14ac:dyDescent="0.2">
      <c r="A111" s="18">
        <v>317</v>
      </c>
      <c r="B111" s="18">
        <v>1</v>
      </c>
      <c r="C111" s="3" t="s">
        <v>108</v>
      </c>
      <c r="D111" s="3">
        <f>ROUND(Data!AC111*$B$3,2)</f>
        <v>51162.67</v>
      </c>
      <c r="E111" s="3">
        <f>MAX(0,Data!AF111-Data!Y111)</f>
        <v>0</v>
      </c>
      <c r="F111" s="3">
        <f>Data!Y111</f>
        <v>51234.74</v>
      </c>
      <c r="G111" s="3">
        <f>Data!X111</f>
        <v>0</v>
      </c>
      <c r="H111" s="3">
        <f>Data!K111+Data!R111</f>
        <v>17967.199999999997</v>
      </c>
      <c r="I111" s="3">
        <f>Data!I111+Data!L111+Data!M111+Data!N111+Data!O111+Data!S111</f>
        <v>0</v>
      </c>
      <c r="J111" s="3">
        <f>Data!Q111</f>
        <v>0</v>
      </c>
      <c r="K111" s="3">
        <f>Data!J111+Data!P111</f>
        <v>11787.64</v>
      </c>
      <c r="L111" s="3">
        <f>Data!T111</f>
        <v>0</v>
      </c>
      <c r="M111" s="3">
        <f>ROUND(Data!AD111*$B$3,2)</f>
        <v>0</v>
      </c>
      <c r="N111" s="3">
        <f>Data!U111</f>
        <v>0</v>
      </c>
      <c r="O111" s="3">
        <f t="shared" si="4"/>
        <v>132152.25</v>
      </c>
      <c r="P111" s="3">
        <f t="shared" si="5"/>
        <v>132152.25</v>
      </c>
      <c r="Q111" s="3">
        <f t="shared" si="6"/>
        <v>0</v>
      </c>
    </row>
    <row r="112" spans="1:17" x14ac:dyDescent="0.2">
      <c r="A112" s="18">
        <v>318</v>
      </c>
      <c r="B112" s="18">
        <v>1</v>
      </c>
      <c r="C112" s="3" t="s">
        <v>109</v>
      </c>
      <c r="D112" s="3">
        <f>ROUND(Data!AC112*$B$3,2)</f>
        <v>1122226</v>
      </c>
      <c r="E112" s="3">
        <f>MAX(0,Data!AF112-Data!Y112)</f>
        <v>0</v>
      </c>
      <c r="F112" s="3">
        <f>Data!Y112</f>
        <v>181247.22</v>
      </c>
      <c r="G112" s="3">
        <f>Data!X112</f>
        <v>24400.32</v>
      </c>
      <c r="H112" s="3">
        <f>Data!K112+Data!R112</f>
        <v>87141.79</v>
      </c>
      <c r="I112" s="3">
        <f>Data!I112+Data!L112+Data!M112+Data!N112+Data!O112+Data!S112</f>
        <v>-2.0000000018626451E-2</v>
      </c>
      <c r="J112" s="3">
        <f>Data!Q112</f>
        <v>0</v>
      </c>
      <c r="K112" s="3">
        <f>Data!J112+Data!P112</f>
        <v>13828.06</v>
      </c>
      <c r="L112" s="3">
        <f>Data!T112</f>
        <v>0</v>
      </c>
      <c r="M112" s="3">
        <f>ROUND(Data!AD112*$B$3,2)</f>
        <v>0</v>
      </c>
      <c r="N112" s="3">
        <f>Data!U112</f>
        <v>0</v>
      </c>
      <c r="O112" s="3">
        <f t="shared" si="4"/>
        <v>1428843.37</v>
      </c>
      <c r="P112" s="3">
        <f t="shared" si="5"/>
        <v>1428843.37</v>
      </c>
      <c r="Q112" s="3">
        <f t="shared" si="6"/>
        <v>0</v>
      </c>
    </row>
    <row r="113" spans="1:17" x14ac:dyDescent="0.2">
      <c r="A113" s="18">
        <v>319</v>
      </c>
      <c r="B113" s="18">
        <v>1</v>
      </c>
      <c r="C113" s="3" t="s">
        <v>110</v>
      </c>
      <c r="D113" s="3">
        <f>ROUND(Data!AC113*$B$3,2)</f>
        <v>195242.83</v>
      </c>
      <c r="E113" s="3">
        <f>MAX(0,Data!AF113-Data!Y113)</f>
        <v>120489.34</v>
      </c>
      <c r="F113" s="3">
        <f>Data!Y113</f>
        <v>26397.040000000001</v>
      </c>
      <c r="G113" s="3">
        <f>Data!X113</f>
        <v>10096.66</v>
      </c>
      <c r="H113" s="3">
        <f>Data!K113+Data!R113</f>
        <v>14095.51</v>
      </c>
      <c r="I113" s="3">
        <f>Data!I113+Data!L113+Data!M113+Data!N113+Data!O113+Data!S113</f>
        <v>0</v>
      </c>
      <c r="J113" s="3">
        <f>Data!Q113</f>
        <v>0</v>
      </c>
      <c r="K113" s="3">
        <f>Data!J113+Data!P113</f>
        <v>5910.8799999999992</v>
      </c>
      <c r="L113" s="3">
        <f>Data!T113</f>
        <v>0</v>
      </c>
      <c r="M113" s="3">
        <f>ROUND(Data!AD113*$B$3,2)</f>
        <v>0</v>
      </c>
      <c r="N113" s="3">
        <f>Data!U113</f>
        <v>0</v>
      </c>
      <c r="O113" s="3">
        <f t="shared" si="4"/>
        <v>372232.25999999995</v>
      </c>
      <c r="P113" s="3">
        <f t="shared" si="5"/>
        <v>372232.25999999995</v>
      </c>
      <c r="Q113" s="3">
        <f t="shared" si="6"/>
        <v>0</v>
      </c>
    </row>
    <row r="114" spans="1:17" x14ac:dyDescent="0.2">
      <c r="A114" s="18">
        <v>323</v>
      </c>
      <c r="B114" s="18">
        <v>2</v>
      </c>
      <c r="C114" s="3" t="s">
        <v>111</v>
      </c>
      <c r="D114" s="3">
        <f>ROUND(Data!AC114*$B$3,2)</f>
        <v>4643.1499999999996</v>
      </c>
      <c r="E114" s="3">
        <f>MAX(0,Data!AF114-Data!Y114)</f>
        <v>22672.34</v>
      </c>
      <c r="F114" s="3">
        <f>Data!Y114</f>
        <v>7317.68</v>
      </c>
      <c r="G114" s="3">
        <f>Data!X114</f>
        <v>0</v>
      </c>
      <c r="H114" s="3">
        <f>Data!K114+Data!R114</f>
        <v>0</v>
      </c>
      <c r="I114" s="3">
        <f>Data!I114+Data!L114+Data!M114+Data!N114+Data!O114+Data!S114</f>
        <v>0</v>
      </c>
      <c r="J114" s="3">
        <f>Data!Q114</f>
        <v>0</v>
      </c>
      <c r="K114" s="3">
        <f>Data!J114+Data!P114</f>
        <v>0</v>
      </c>
      <c r="L114" s="3">
        <f>Data!T114</f>
        <v>0</v>
      </c>
      <c r="M114" s="3">
        <f>ROUND(Data!AD114*$B$3,2)</f>
        <v>0</v>
      </c>
      <c r="N114" s="3">
        <f>Data!U114</f>
        <v>0</v>
      </c>
      <c r="O114" s="3">
        <f t="shared" si="4"/>
        <v>34633.17</v>
      </c>
      <c r="P114" s="3">
        <f t="shared" si="5"/>
        <v>34633.17</v>
      </c>
      <c r="Q114" s="3">
        <f t="shared" si="6"/>
        <v>0</v>
      </c>
    </row>
    <row r="115" spans="1:17" x14ac:dyDescent="0.2">
      <c r="A115" s="18">
        <v>330</v>
      </c>
      <c r="B115" s="18">
        <v>1</v>
      </c>
      <c r="C115" s="3" t="s">
        <v>112</v>
      </c>
      <c r="D115" s="3">
        <f>ROUND(Data!AC115*$B$3,2)</f>
        <v>68394.259999999995</v>
      </c>
      <c r="E115" s="3">
        <f>MAX(0,Data!AF115-Data!Y115)</f>
        <v>145644.28000000003</v>
      </c>
      <c r="F115" s="3">
        <f>Data!Y115</f>
        <v>74812.61</v>
      </c>
      <c r="G115" s="3">
        <f>Data!X115</f>
        <v>18104.77</v>
      </c>
      <c r="H115" s="3">
        <f>Data!K115+Data!R115</f>
        <v>17446.849999999999</v>
      </c>
      <c r="I115" s="3">
        <f>Data!I115+Data!L115+Data!M115+Data!N115+Data!O115+Data!S115</f>
        <v>0</v>
      </c>
      <c r="J115" s="3">
        <f>Data!Q115</f>
        <v>-750</v>
      </c>
      <c r="K115" s="3">
        <f>Data!J115+Data!P115</f>
        <v>-2436.5500000000002</v>
      </c>
      <c r="L115" s="3">
        <f>Data!T115</f>
        <v>0</v>
      </c>
      <c r="M115" s="3">
        <f>ROUND(Data!AD115*$B$3,2)</f>
        <v>11513.83</v>
      </c>
      <c r="N115" s="3">
        <f>Data!U115</f>
        <v>0</v>
      </c>
      <c r="O115" s="3">
        <f t="shared" si="4"/>
        <v>332730.05000000005</v>
      </c>
      <c r="P115" s="3">
        <f t="shared" si="5"/>
        <v>321216.22000000003</v>
      </c>
      <c r="Q115" s="3">
        <f t="shared" si="6"/>
        <v>11513.83</v>
      </c>
    </row>
    <row r="116" spans="1:17" x14ac:dyDescent="0.2">
      <c r="A116" s="18">
        <v>332</v>
      </c>
      <c r="B116" s="18">
        <v>1</v>
      </c>
      <c r="C116" s="3" t="s">
        <v>113</v>
      </c>
      <c r="D116" s="3">
        <f>ROUND(Data!AC116*$B$3,2)</f>
        <v>366962.49</v>
      </c>
      <c r="E116" s="3">
        <f>MAX(0,Data!AF116-Data!Y116)</f>
        <v>86306.52</v>
      </c>
      <c r="F116" s="3">
        <f>Data!Y116</f>
        <v>0</v>
      </c>
      <c r="G116" s="3">
        <f>Data!X116</f>
        <v>0</v>
      </c>
      <c r="H116" s="3">
        <f>Data!K116+Data!R116</f>
        <v>36682.5</v>
      </c>
      <c r="I116" s="3">
        <f>Data!I116+Data!L116+Data!M116+Data!N116+Data!O116+Data!S116</f>
        <v>0</v>
      </c>
      <c r="J116" s="3">
        <f>Data!Q116</f>
        <v>0</v>
      </c>
      <c r="K116" s="3">
        <f>Data!J116+Data!P116</f>
        <v>62056.57</v>
      </c>
      <c r="L116" s="3">
        <f>Data!T116</f>
        <v>0</v>
      </c>
      <c r="M116" s="3">
        <f>ROUND(Data!AD116*$B$3,2)</f>
        <v>60022.46</v>
      </c>
      <c r="N116" s="3">
        <f>Data!U116</f>
        <v>0</v>
      </c>
      <c r="O116" s="3">
        <f t="shared" si="4"/>
        <v>612030.53999999992</v>
      </c>
      <c r="P116" s="3">
        <f t="shared" si="5"/>
        <v>552008.07999999996</v>
      </c>
      <c r="Q116" s="3">
        <f t="shared" si="6"/>
        <v>60022.46</v>
      </c>
    </row>
    <row r="117" spans="1:17" x14ac:dyDescent="0.2">
      <c r="A117" s="18">
        <v>333</v>
      </c>
      <c r="B117" s="18">
        <v>1</v>
      </c>
      <c r="C117" s="3" t="s">
        <v>114</v>
      </c>
      <c r="D117" s="3">
        <f>ROUND(Data!AC117*$B$3,2)</f>
        <v>111184.12</v>
      </c>
      <c r="E117" s="3">
        <f>MAX(0,Data!AF117-Data!Y117)</f>
        <v>0</v>
      </c>
      <c r="F117" s="3">
        <f>Data!Y117</f>
        <v>23206.16</v>
      </c>
      <c r="G117" s="3">
        <f>Data!X117</f>
        <v>0</v>
      </c>
      <c r="H117" s="3">
        <f>Data!K117+Data!R117</f>
        <v>10000</v>
      </c>
      <c r="I117" s="3">
        <f>Data!I117+Data!L117+Data!M117+Data!N117+Data!O117+Data!S117</f>
        <v>0</v>
      </c>
      <c r="J117" s="3">
        <f>Data!Q117</f>
        <v>0</v>
      </c>
      <c r="K117" s="3">
        <f>Data!J117+Data!P117</f>
        <v>261.2400000000016</v>
      </c>
      <c r="L117" s="3">
        <f>Data!T117</f>
        <v>0</v>
      </c>
      <c r="M117" s="3">
        <f>ROUND(Data!AD117*$B$3,2)</f>
        <v>17224.009999999998</v>
      </c>
      <c r="N117" s="3">
        <f>Data!U117</f>
        <v>0</v>
      </c>
      <c r="O117" s="3">
        <f t="shared" si="4"/>
        <v>161875.53</v>
      </c>
      <c r="P117" s="3">
        <f t="shared" si="5"/>
        <v>144651.51999999999</v>
      </c>
      <c r="Q117" s="3">
        <f t="shared" si="6"/>
        <v>17224.009999999998</v>
      </c>
    </row>
    <row r="118" spans="1:17" x14ac:dyDescent="0.2">
      <c r="A118" s="18">
        <v>345</v>
      </c>
      <c r="B118" s="18">
        <v>1</v>
      </c>
      <c r="C118" s="3" t="s">
        <v>115</v>
      </c>
      <c r="D118" s="3">
        <f>ROUND(Data!AC118*$B$3,2)</f>
        <v>325965.56</v>
      </c>
      <c r="E118" s="3">
        <f>MAX(0,Data!AF118-Data!Y118)</f>
        <v>381418.63</v>
      </c>
      <c r="F118" s="3">
        <f>Data!Y118</f>
        <v>95479.19</v>
      </c>
      <c r="G118" s="3">
        <f>Data!X118</f>
        <v>0</v>
      </c>
      <c r="H118" s="3">
        <f>Data!K118+Data!R118</f>
        <v>34241.120000000003</v>
      </c>
      <c r="I118" s="3">
        <f>Data!I118+Data!L118+Data!M118+Data!N118+Data!O118+Data!S118</f>
        <v>0</v>
      </c>
      <c r="J118" s="3">
        <f>Data!Q118</f>
        <v>0</v>
      </c>
      <c r="K118" s="3">
        <f>Data!J118+Data!P118</f>
        <v>4135.21</v>
      </c>
      <c r="L118" s="3">
        <f>Data!T118</f>
        <v>0</v>
      </c>
      <c r="M118" s="3">
        <f>ROUND(Data!AD118*$B$3,2)</f>
        <v>74079.839999999997</v>
      </c>
      <c r="N118" s="3">
        <f>Data!U118</f>
        <v>0</v>
      </c>
      <c r="O118" s="3">
        <f t="shared" si="4"/>
        <v>915319.54999999981</v>
      </c>
      <c r="P118" s="3">
        <f t="shared" si="5"/>
        <v>841239.70999999985</v>
      </c>
      <c r="Q118" s="3">
        <f t="shared" si="6"/>
        <v>74079.839999999997</v>
      </c>
    </row>
    <row r="119" spans="1:17" x14ac:dyDescent="0.2">
      <c r="A119" s="18">
        <v>347</v>
      </c>
      <c r="B119" s="18">
        <v>1</v>
      </c>
      <c r="C119" s="3" t="s">
        <v>116</v>
      </c>
      <c r="D119" s="3">
        <f>ROUND(Data!AC119*$B$3,2)</f>
        <v>771406.29</v>
      </c>
      <c r="E119" s="3">
        <f>MAX(0,Data!AF119-Data!Y119)</f>
        <v>877104.22999999986</v>
      </c>
      <c r="F119" s="3">
        <f>Data!Y119</f>
        <v>184153.16</v>
      </c>
      <c r="G119" s="3">
        <f>Data!X119</f>
        <v>0</v>
      </c>
      <c r="H119" s="3">
        <f>Data!K119+Data!R119</f>
        <v>78320</v>
      </c>
      <c r="I119" s="3">
        <f>Data!I119+Data!L119+Data!M119+Data!N119+Data!O119+Data!S119</f>
        <v>0</v>
      </c>
      <c r="J119" s="3">
        <f>Data!Q119</f>
        <v>0</v>
      </c>
      <c r="K119" s="3">
        <f>Data!J119+Data!P119</f>
        <v>103693.37</v>
      </c>
      <c r="L119" s="3">
        <f>Data!T119</f>
        <v>0</v>
      </c>
      <c r="M119" s="3">
        <f>ROUND(Data!AD119*$B$3,2)</f>
        <v>186726.23</v>
      </c>
      <c r="N119" s="3">
        <f>Data!U119</f>
        <v>0</v>
      </c>
      <c r="O119" s="3">
        <f t="shared" si="4"/>
        <v>2201403.2799999998</v>
      </c>
      <c r="P119" s="3">
        <f t="shared" si="5"/>
        <v>2014677.0499999998</v>
      </c>
      <c r="Q119" s="3">
        <f t="shared" si="6"/>
        <v>186726.23</v>
      </c>
    </row>
    <row r="120" spans="1:17" x14ac:dyDescent="0.2">
      <c r="A120" s="18">
        <v>356</v>
      </c>
      <c r="B120" s="18">
        <v>1</v>
      </c>
      <c r="C120" s="3" t="s">
        <v>117</v>
      </c>
      <c r="D120" s="3">
        <f>ROUND(Data!AC120*$B$3,2)</f>
        <v>25289.84</v>
      </c>
      <c r="E120" s="3">
        <f>MAX(0,Data!AF120-Data!Y120)</f>
        <v>21806.309999999998</v>
      </c>
      <c r="F120" s="3">
        <f>Data!Y120</f>
        <v>77555.070000000007</v>
      </c>
      <c r="G120" s="3">
        <f>Data!X120</f>
        <v>0</v>
      </c>
      <c r="H120" s="3">
        <f>Data!K120+Data!R120</f>
        <v>10000</v>
      </c>
      <c r="I120" s="3">
        <f>Data!I120+Data!L120+Data!M120+Data!N120+Data!O120+Data!S120</f>
        <v>0</v>
      </c>
      <c r="J120" s="3">
        <f>Data!Q120</f>
        <v>0</v>
      </c>
      <c r="K120" s="3">
        <f>Data!J120+Data!P120</f>
        <v>219.79999999999995</v>
      </c>
      <c r="L120" s="3">
        <f>Data!T120</f>
        <v>0</v>
      </c>
      <c r="M120" s="3">
        <f>ROUND(Data!AD120*$B$3,2)</f>
        <v>5262.25</v>
      </c>
      <c r="N120" s="3">
        <f>Data!U120</f>
        <v>0</v>
      </c>
      <c r="O120" s="3">
        <f t="shared" si="4"/>
        <v>140133.26999999999</v>
      </c>
      <c r="P120" s="3">
        <f t="shared" si="5"/>
        <v>134871.01999999999</v>
      </c>
      <c r="Q120" s="3">
        <f t="shared" si="6"/>
        <v>5262.25</v>
      </c>
    </row>
    <row r="121" spans="1:17" x14ac:dyDescent="0.2">
      <c r="A121" s="18">
        <v>361</v>
      </c>
      <c r="B121" s="18">
        <v>1</v>
      </c>
      <c r="C121" s="3" t="s">
        <v>118</v>
      </c>
      <c r="D121" s="3">
        <f>ROUND(Data!AC121*$B$3,2)</f>
        <v>579427.04</v>
      </c>
      <c r="E121" s="3">
        <f>MAX(0,Data!AF121-Data!Y121)</f>
        <v>245859.19</v>
      </c>
      <c r="F121" s="3">
        <f>Data!Y121</f>
        <v>75327.83</v>
      </c>
      <c r="G121" s="3">
        <f>Data!X121</f>
        <v>0</v>
      </c>
      <c r="H121" s="3">
        <f>Data!K121+Data!R121</f>
        <v>25391.42</v>
      </c>
      <c r="I121" s="3">
        <f>Data!I121+Data!L121+Data!M121+Data!N121+Data!O121+Data!S121</f>
        <v>0</v>
      </c>
      <c r="J121" s="3">
        <f>Data!Q121</f>
        <v>0</v>
      </c>
      <c r="K121" s="3">
        <f>Data!J121+Data!P121</f>
        <v>25909.759999999998</v>
      </c>
      <c r="L121" s="3">
        <f>Data!T121</f>
        <v>0</v>
      </c>
      <c r="M121" s="3">
        <f>ROUND(Data!AD121*$B$3,2)</f>
        <v>62464.46</v>
      </c>
      <c r="N121" s="3">
        <f>Data!U121</f>
        <v>0</v>
      </c>
      <c r="O121" s="3">
        <f t="shared" si="4"/>
        <v>1014379.7</v>
      </c>
      <c r="P121" s="3">
        <f t="shared" si="5"/>
        <v>951915.24</v>
      </c>
      <c r="Q121" s="3">
        <f t="shared" si="6"/>
        <v>62464.46</v>
      </c>
    </row>
    <row r="122" spans="1:17" x14ac:dyDescent="0.2">
      <c r="A122" s="18">
        <v>362</v>
      </c>
      <c r="B122" s="18">
        <v>1</v>
      </c>
      <c r="C122" s="3" t="s">
        <v>119</v>
      </c>
      <c r="D122" s="3">
        <f>ROUND(Data!AC122*$B$3,2)</f>
        <v>74932.009999999995</v>
      </c>
      <c r="E122" s="3">
        <f>MAX(0,Data!AF122-Data!Y122)</f>
        <v>54.45</v>
      </c>
      <c r="F122" s="3">
        <f>Data!Y122</f>
        <v>0</v>
      </c>
      <c r="G122" s="3">
        <f>Data!X122</f>
        <v>0</v>
      </c>
      <c r="H122" s="3">
        <f>Data!K122+Data!R122</f>
        <v>0</v>
      </c>
      <c r="I122" s="3">
        <f>Data!I122+Data!L122+Data!M122+Data!N122+Data!O122+Data!S122</f>
        <v>0</v>
      </c>
      <c r="J122" s="3">
        <f>Data!Q122</f>
        <v>0</v>
      </c>
      <c r="K122" s="3">
        <f>Data!J122+Data!P122</f>
        <v>89.889999999999986</v>
      </c>
      <c r="L122" s="3">
        <f>Data!T122</f>
        <v>0</v>
      </c>
      <c r="M122" s="3">
        <f>ROUND(Data!AD122*$B$3,2)</f>
        <v>9358.74</v>
      </c>
      <c r="N122" s="3">
        <f>Data!U122</f>
        <v>0</v>
      </c>
      <c r="O122" s="3">
        <f t="shared" si="4"/>
        <v>84435.09</v>
      </c>
      <c r="P122" s="3">
        <f t="shared" si="5"/>
        <v>75076.349999999991</v>
      </c>
      <c r="Q122" s="3">
        <f t="shared" si="6"/>
        <v>9358.74</v>
      </c>
    </row>
    <row r="123" spans="1:17" x14ac:dyDescent="0.2">
      <c r="A123" s="18">
        <v>363</v>
      </c>
      <c r="B123" s="18">
        <v>1</v>
      </c>
      <c r="C123" s="3" t="s">
        <v>120</v>
      </c>
      <c r="D123" s="3">
        <f>ROUND(Data!AC123*$B$3,2)</f>
        <v>39344.879999999997</v>
      </c>
      <c r="E123" s="3">
        <f>MAX(0,Data!AF123-Data!Y123)</f>
        <v>41.84</v>
      </c>
      <c r="F123" s="3">
        <f>Data!Y123</f>
        <v>0</v>
      </c>
      <c r="G123" s="3">
        <f>Data!X123</f>
        <v>0</v>
      </c>
      <c r="H123" s="3">
        <f>Data!K123+Data!R123</f>
        <v>0</v>
      </c>
      <c r="I123" s="3">
        <f>Data!I123+Data!L123+Data!M123+Data!N123+Data!O123+Data!S123</f>
        <v>0</v>
      </c>
      <c r="J123" s="3">
        <f>Data!Q123</f>
        <v>0</v>
      </c>
      <c r="K123" s="3">
        <f>Data!J123+Data!P123</f>
        <v>0</v>
      </c>
      <c r="L123" s="3">
        <f>Data!T123</f>
        <v>0</v>
      </c>
      <c r="M123" s="3">
        <f>ROUND(Data!AD123*$B$3,2)</f>
        <v>9225.35</v>
      </c>
      <c r="N123" s="3">
        <f>Data!U123</f>
        <v>0</v>
      </c>
      <c r="O123" s="3">
        <f t="shared" si="4"/>
        <v>48612.069999999992</v>
      </c>
      <c r="P123" s="3">
        <f t="shared" si="5"/>
        <v>39386.719999999994</v>
      </c>
      <c r="Q123" s="3">
        <f t="shared" si="6"/>
        <v>9225.35</v>
      </c>
    </row>
    <row r="124" spans="1:17" x14ac:dyDescent="0.2">
      <c r="A124" s="18">
        <v>378</v>
      </c>
      <c r="B124" s="18">
        <v>1</v>
      </c>
      <c r="C124" s="3" t="s">
        <v>121</v>
      </c>
      <c r="D124" s="3">
        <f>ROUND(Data!AC124*$B$3,2)</f>
        <v>192135.34</v>
      </c>
      <c r="E124" s="3">
        <f>MAX(0,Data!AF124-Data!Y124)</f>
        <v>43877.970000000008</v>
      </c>
      <c r="F124" s="3">
        <f>Data!Y124</f>
        <v>39303.019999999997</v>
      </c>
      <c r="G124" s="3">
        <f>Data!X124</f>
        <v>4537.68</v>
      </c>
      <c r="H124" s="3">
        <f>Data!K124+Data!R124</f>
        <v>11642.04</v>
      </c>
      <c r="I124" s="3">
        <f>Data!I124+Data!L124+Data!M124+Data!N124+Data!O124+Data!S124</f>
        <v>0</v>
      </c>
      <c r="J124" s="3">
        <f>Data!Q124</f>
        <v>-150</v>
      </c>
      <c r="K124" s="3">
        <f>Data!J124+Data!P124</f>
        <v>-245.23000000000002</v>
      </c>
      <c r="L124" s="3">
        <f>Data!T124</f>
        <v>0</v>
      </c>
      <c r="M124" s="3">
        <f>ROUND(Data!AD124*$B$3,2)</f>
        <v>32058.55</v>
      </c>
      <c r="N124" s="3">
        <f>Data!U124</f>
        <v>0</v>
      </c>
      <c r="O124" s="3">
        <f t="shared" si="4"/>
        <v>323159.37</v>
      </c>
      <c r="P124" s="3">
        <f t="shared" si="5"/>
        <v>291100.82</v>
      </c>
      <c r="Q124" s="3">
        <f t="shared" si="6"/>
        <v>32058.55</v>
      </c>
    </row>
    <row r="125" spans="1:17" x14ac:dyDescent="0.2">
      <c r="A125" s="18">
        <v>381</v>
      </c>
      <c r="B125" s="18">
        <v>1</v>
      </c>
      <c r="C125" s="3" t="s">
        <v>122</v>
      </c>
      <c r="D125" s="3">
        <f>ROUND(Data!AC125*$B$3,2)</f>
        <v>161021.35</v>
      </c>
      <c r="E125" s="3">
        <f>MAX(0,Data!AF125-Data!Y125)</f>
        <v>0</v>
      </c>
      <c r="F125" s="3">
        <f>Data!Y125</f>
        <v>121543.27</v>
      </c>
      <c r="G125" s="3">
        <f>Data!X125</f>
        <v>76394.2</v>
      </c>
      <c r="H125" s="3">
        <f>Data!K125+Data!R125</f>
        <v>24635.05</v>
      </c>
      <c r="I125" s="3">
        <f>Data!I125+Data!L125+Data!M125+Data!N125+Data!O125+Data!S125</f>
        <v>0</v>
      </c>
      <c r="J125" s="3">
        <f>Data!Q125</f>
        <v>0</v>
      </c>
      <c r="K125" s="3">
        <f>Data!J125+Data!P125</f>
        <v>-18331.93</v>
      </c>
      <c r="L125" s="3">
        <f>Data!T125</f>
        <v>0</v>
      </c>
      <c r="M125" s="3">
        <f>ROUND(Data!AD125*$B$3,2)</f>
        <v>0</v>
      </c>
      <c r="N125" s="3">
        <f>Data!U125</f>
        <v>0</v>
      </c>
      <c r="O125" s="3">
        <f t="shared" si="4"/>
        <v>365261.94</v>
      </c>
      <c r="P125" s="3">
        <f t="shared" si="5"/>
        <v>365261.94</v>
      </c>
      <c r="Q125" s="3">
        <f t="shared" si="6"/>
        <v>0</v>
      </c>
    </row>
    <row r="126" spans="1:17" x14ac:dyDescent="0.2">
      <c r="A126" s="18">
        <v>390</v>
      </c>
      <c r="B126" s="18">
        <v>1</v>
      </c>
      <c r="C126" s="3" t="s">
        <v>123</v>
      </c>
      <c r="D126" s="3">
        <f>ROUND(Data!AC126*$B$3,2)</f>
        <v>207920.69</v>
      </c>
      <c r="E126" s="3">
        <f>MAX(0,Data!AF126-Data!Y126)</f>
        <v>146350.54</v>
      </c>
      <c r="F126" s="3">
        <f>Data!Y126</f>
        <v>0</v>
      </c>
      <c r="G126" s="3">
        <f>Data!X126</f>
        <v>0</v>
      </c>
      <c r="H126" s="3">
        <f>Data!K126+Data!R126</f>
        <v>10060</v>
      </c>
      <c r="I126" s="3">
        <f>Data!I126+Data!L126+Data!M126+Data!N126+Data!O126+Data!S126</f>
        <v>0</v>
      </c>
      <c r="J126" s="3">
        <f>Data!Q126</f>
        <v>0</v>
      </c>
      <c r="K126" s="3">
        <f>Data!J126+Data!P126</f>
        <v>-983.39000000000033</v>
      </c>
      <c r="L126" s="3">
        <f>Data!T126</f>
        <v>0</v>
      </c>
      <c r="M126" s="3">
        <f>ROUND(Data!AD126*$B$3,2)</f>
        <v>24479.03</v>
      </c>
      <c r="N126" s="3">
        <f>Data!U126</f>
        <v>0</v>
      </c>
      <c r="O126" s="3">
        <f t="shared" si="4"/>
        <v>387826.87</v>
      </c>
      <c r="P126" s="3">
        <f t="shared" si="5"/>
        <v>363347.83999999997</v>
      </c>
      <c r="Q126" s="3">
        <f t="shared" si="6"/>
        <v>24479.03</v>
      </c>
    </row>
    <row r="127" spans="1:17" x14ac:dyDescent="0.2">
      <c r="A127" s="18">
        <v>391</v>
      </c>
      <c r="B127" s="18">
        <v>1</v>
      </c>
      <c r="C127" s="3" t="s">
        <v>124</v>
      </c>
      <c r="D127" s="3">
        <f>ROUND(Data!AC127*$B$3,2)</f>
        <v>221481.66</v>
      </c>
      <c r="E127" s="3">
        <f>MAX(0,Data!AF127-Data!Y127)</f>
        <v>90123.97</v>
      </c>
      <c r="F127" s="3">
        <f>Data!Y127</f>
        <v>42002.25</v>
      </c>
      <c r="G127" s="3">
        <f>Data!X127</f>
        <v>0</v>
      </c>
      <c r="H127" s="3">
        <f>Data!K127+Data!R127</f>
        <v>11966.68</v>
      </c>
      <c r="I127" s="3">
        <f>Data!I127+Data!L127+Data!M127+Data!N127+Data!O127+Data!S127</f>
        <v>0</v>
      </c>
      <c r="J127" s="3">
        <f>Data!Q127</f>
        <v>0</v>
      </c>
      <c r="K127" s="3">
        <f>Data!J127+Data!P127</f>
        <v>11557.69</v>
      </c>
      <c r="L127" s="3">
        <f>Data!T127</f>
        <v>0</v>
      </c>
      <c r="M127" s="3">
        <f>ROUND(Data!AD127*$B$3,2)</f>
        <v>15768.94</v>
      </c>
      <c r="N127" s="3">
        <f>Data!U127</f>
        <v>0</v>
      </c>
      <c r="O127" s="3">
        <f t="shared" si="4"/>
        <v>392901.19</v>
      </c>
      <c r="P127" s="3">
        <f t="shared" si="5"/>
        <v>377132.25</v>
      </c>
      <c r="Q127" s="3">
        <f t="shared" si="6"/>
        <v>15768.94</v>
      </c>
    </row>
    <row r="128" spans="1:17" x14ac:dyDescent="0.2">
      <c r="A128" s="18">
        <v>392</v>
      </c>
      <c r="B128" s="18">
        <v>1</v>
      </c>
      <c r="C128" s="3" t="s">
        <v>125</v>
      </c>
      <c r="D128" s="3">
        <f>ROUND(Data!AC128*$B$3,2)</f>
        <v>198533.3</v>
      </c>
      <c r="E128" s="3">
        <f>MAX(0,Data!AF128-Data!Y128)</f>
        <v>148921.60000000001</v>
      </c>
      <c r="F128" s="3">
        <f>Data!Y128</f>
        <v>9608.68</v>
      </c>
      <c r="G128" s="3">
        <f>Data!X128</f>
        <v>0</v>
      </c>
      <c r="H128" s="3">
        <f>Data!K128+Data!R128</f>
        <v>15536</v>
      </c>
      <c r="I128" s="3">
        <f>Data!I128+Data!L128+Data!M128+Data!N128+Data!O128+Data!S128</f>
        <v>0</v>
      </c>
      <c r="J128" s="3">
        <f>Data!Q128</f>
        <v>0</v>
      </c>
      <c r="K128" s="3">
        <f>Data!J128+Data!P128</f>
        <v>18193.79</v>
      </c>
      <c r="L128" s="3">
        <f>Data!T128</f>
        <v>0</v>
      </c>
      <c r="M128" s="3">
        <f>ROUND(Data!AD128*$B$3,2)</f>
        <v>24614.7</v>
      </c>
      <c r="N128" s="3">
        <f>Data!U128</f>
        <v>0</v>
      </c>
      <c r="O128" s="3">
        <f t="shared" si="4"/>
        <v>415408.07</v>
      </c>
      <c r="P128" s="3">
        <f t="shared" si="5"/>
        <v>390793.37</v>
      </c>
      <c r="Q128" s="3">
        <f t="shared" si="6"/>
        <v>24614.7</v>
      </c>
    </row>
    <row r="129" spans="1:17" x14ac:dyDescent="0.2">
      <c r="A129" s="18">
        <v>394</v>
      </c>
      <c r="B129" s="18">
        <v>1</v>
      </c>
      <c r="C129" s="3" t="s">
        <v>126</v>
      </c>
      <c r="D129" s="3">
        <f>ROUND(Data!AC129*$B$3,2)</f>
        <v>298865.03000000003</v>
      </c>
      <c r="E129" s="3">
        <f>MAX(0,Data!AF129-Data!Y129)</f>
        <v>252675.59000000003</v>
      </c>
      <c r="F129" s="3">
        <f>Data!Y129</f>
        <v>15161.69</v>
      </c>
      <c r="G129" s="3">
        <f>Data!X129</f>
        <v>0</v>
      </c>
      <c r="H129" s="3">
        <f>Data!K129+Data!R129</f>
        <v>17982.239999999998</v>
      </c>
      <c r="I129" s="3">
        <f>Data!I129+Data!L129+Data!M129+Data!N129+Data!O129+Data!S129</f>
        <v>0</v>
      </c>
      <c r="J129" s="3">
        <f>Data!Q129</f>
        <v>0</v>
      </c>
      <c r="K129" s="3">
        <f>Data!J129+Data!P129</f>
        <v>39675.9</v>
      </c>
      <c r="L129" s="3">
        <f>Data!T129</f>
        <v>0</v>
      </c>
      <c r="M129" s="3">
        <f>ROUND(Data!AD129*$B$3,2)</f>
        <v>47606.5</v>
      </c>
      <c r="N129" s="3">
        <f>Data!U129</f>
        <v>0</v>
      </c>
      <c r="O129" s="3">
        <f t="shared" si="4"/>
        <v>671966.95000000007</v>
      </c>
      <c r="P129" s="3">
        <f t="shared" si="5"/>
        <v>624360.45000000007</v>
      </c>
      <c r="Q129" s="3">
        <f t="shared" si="6"/>
        <v>47606.5</v>
      </c>
    </row>
    <row r="130" spans="1:17" x14ac:dyDescent="0.2">
      <c r="A130" s="18">
        <v>402</v>
      </c>
      <c r="B130" s="18">
        <v>1</v>
      </c>
      <c r="C130" s="3" t="s">
        <v>127</v>
      </c>
      <c r="D130" s="3">
        <f>ROUND(Data!AC130*$B$3,2)</f>
        <v>25974.69</v>
      </c>
      <c r="E130" s="3">
        <f>MAX(0,Data!AF130-Data!Y130)</f>
        <v>70502.180000000008</v>
      </c>
      <c r="F130" s="3">
        <f>Data!Y130</f>
        <v>9929.51</v>
      </c>
      <c r="G130" s="3">
        <f>Data!X130</f>
        <v>4376.54</v>
      </c>
      <c r="H130" s="3">
        <f>Data!K130+Data!R130</f>
        <v>0</v>
      </c>
      <c r="I130" s="3">
        <f>Data!I130+Data!L130+Data!M130+Data!N130+Data!O130+Data!S130</f>
        <v>0</v>
      </c>
      <c r="J130" s="3">
        <f>Data!Q130</f>
        <v>0</v>
      </c>
      <c r="K130" s="3">
        <f>Data!J130+Data!P130</f>
        <v>3.569999999999709</v>
      </c>
      <c r="L130" s="3">
        <f>Data!T130</f>
        <v>0</v>
      </c>
      <c r="M130" s="3">
        <f>ROUND(Data!AD130*$B$3,2)</f>
        <v>14656.8</v>
      </c>
      <c r="N130" s="3">
        <f>Data!U130</f>
        <v>0</v>
      </c>
      <c r="O130" s="3">
        <f t="shared" si="4"/>
        <v>125443.29</v>
      </c>
      <c r="P130" s="3">
        <f t="shared" si="5"/>
        <v>110786.48999999999</v>
      </c>
      <c r="Q130" s="3">
        <f t="shared" si="6"/>
        <v>14656.8</v>
      </c>
    </row>
    <row r="131" spans="1:17" x14ac:dyDescent="0.2">
      <c r="A131" s="18">
        <v>403</v>
      </c>
      <c r="B131" s="18">
        <v>1</v>
      </c>
      <c r="C131" s="3" t="s">
        <v>128</v>
      </c>
      <c r="D131" s="3">
        <f>ROUND(Data!AC131*$B$3,2)</f>
        <v>116416.9</v>
      </c>
      <c r="E131" s="3">
        <f>MAX(0,Data!AF131-Data!Y131)</f>
        <v>58696.84</v>
      </c>
      <c r="F131" s="3">
        <f>Data!Y131</f>
        <v>17191.45</v>
      </c>
      <c r="G131" s="3">
        <f>Data!X131</f>
        <v>0</v>
      </c>
      <c r="H131" s="3">
        <f>Data!K131+Data!R131</f>
        <v>10000</v>
      </c>
      <c r="I131" s="3">
        <f>Data!I131+Data!L131+Data!M131+Data!N131+Data!O131+Data!S131</f>
        <v>0</v>
      </c>
      <c r="J131" s="3">
        <f>Data!Q131</f>
        <v>-6390</v>
      </c>
      <c r="K131" s="3">
        <f>Data!J131+Data!P131</f>
        <v>6390</v>
      </c>
      <c r="L131" s="3">
        <f>Data!T131</f>
        <v>0</v>
      </c>
      <c r="M131" s="3">
        <f>ROUND(Data!AD131*$B$3,2)</f>
        <v>9561.52</v>
      </c>
      <c r="N131" s="3">
        <f>Data!U131</f>
        <v>0</v>
      </c>
      <c r="O131" s="3">
        <f t="shared" si="4"/>
        <v>211866.71</v>
      </c>
      <c r="P131" s="3">
        <f t="shared" si="5"/>
        <v>202305.19</v>
      </c>
      <c r="Q131" s="3">
        <f t="shared" si="6"/>
        <v>9561.52</v>
      </c>
    </row>
    <row r="132" spans="1:17" x14ac:dyDescent="0.2">
      <c r="A132" s="18">
        <v>404</v>
      </c>
      <c r="B132" s="18">
        <v>1</v>
      </c>
      <c r="C132" s="3" t="s">
        <v>129</v>
      </c>
      <c r="D132" s="3">
        <f>ROUND(Data!AC132*$B$3,2)</f>
        <v>33960.080000000002</v>
      </c>
      <c r="E132" s="3">
        <f>MAX(0,Data!AF132-Data!Y132)</f>
        <v>70510.77</v>
      </c>
      <c r="F132" s="3">
        <f>Data!Y132</f>
        <v>70889.98</v>
      </c>
      <c r="G132" s="3">
        <f>Data!X132</f>
        <v>325.19</v>
      </c>
      <c r="H132" s="3">
        <f>Data!K132+Data!R132</f>
        <v>0</v>
      </c>
      <c r="I132" s="3">
        <f>Data!I132+Data!L132+Data!M132+Data!N132+Data!O132+Data!S132</f>
        <v>0</v>
      </c>
      <c r="J132" s="3">
        <f>Data!Q132</f>
        <v>0</v>
      </c>
      <c r="K132" s="3">
        <f>Data!J132+Data!P132</f>
        <v>9505.17</v>
      </c>
      <c r="L132" s="3">
        <f>Data!T132</f>
        <v>0</v>
      </c>
      <c r="M132" s="3">
        <f>ROUND(Data!AD132*$B$3,2)</f>
        <v>4109.96</v>
      </c>
      <c r="N132" s="3">
        <f>Data!U132</f>
        <v>0</v>
      </c>
      <c r="O132" s="3">
        <f t="shared" si="4"/>
        <v>189301.15000000002</v>
      </c>
      <c r="P132" s="3">
        <f t="shared" si="5"/>
        <v>185191.19000000003</v>
      </c>
      <c r="Q132" s="3">
        <f t="shared" si="6"/>
        <v>4109.96</v>
      </c>
    </row>
    <row r="133" spans="1:17" x14ac:dyDescent="0.2">
      <c r="A133" s="18">
        <v>413</v>
      </c>
      <c r="B133" s="18">
        <v>1</v>
      </c>
      <c r="C133" s="3" t="s">
        <v>130</v>
      </c>
      <c r="D133" s="3">
        <f>ROUND(Data!AC133*$B$3,2)</f>
        <v>575543.1</v>
      </c>
      <c r="E133" s="3">
        <f>MAX(0,Data!AF133-Data!Y133)</f>
        <v>472563.83000000007</v>
      </c>
      <c r="F133" s="3">
        <f>Data!Y133</f>
        <v>185634.72</v>
      </c>
      <c r="G133" s="3">
        <f>Data!X133</f>
        <v>0</v>
      </c>
      <c r="H133" s="3">
        <f>Data!K133+Data!R133</f>
        <v>50409.599999999999</v>
      </c>
      <c r="I133" s="3">
        <f>Data!I133+Data!L133+Data!M133+Data!N133+Data!O133+Data!S133</f>
        <v>0</v>
      </c>
      <c r="J133" s="3">
        <f>Data!Q133</f>
        <v>0</v>
      </c>
      <c r="K133" s="3">
        <f>Data!J133+Data!P133</f>
        <v>13006.34</v>
      </c>
      <c r="L133" s="3">
        <f>Data!T133</f>
        <v>0</v>
      </c>
      <c r="M133" s="3">
        <f>ROUND(Data!AD133*$B$3,2)</f>
        <v>74768.179999999993</v>
      </c>
      <c r="N133" s="3">
        <f>Data!U133</f>
        <v>0</v>
      </c>
      <c r="O133" s="3">
        <f t="shared" ref="O133:O193" si="7">SUM(D133:N133)</f>
        <v>1371925.7700000003</v>
      </c>
      <c r="P133" s="3">
        <f t="shared" si="5"/>
        <v>1297157.5900000003</v>
      </c>
      <c r="Q133" s="3">
        <f t="shared" si="6"/>
        <v>74768.179999999993</v>
      </c>
    </row>
    <row r="134" spans="1:17" x14ac:dyDescent="0.2">
      <c r="A134" s="18">
        <v>414</v>
      </c>
      <c r="B134" s="18">
        <v>1</v>
      </c>
      <c r="C134" s="3" t="s">
        <v>131</v>
      </c>
      <c r="D134" s="3">
        <f>ROUND(Data!AC134*$B$3,2)</f>
        <v>161844.42000000001</v>
      </c>
      <c r="E134" s="3">
        <f>MAX(0,Data!AF134-Data!Y134)</f>
        <v>48611.729999999996</v>
      </c>
      <c r="F134" s="3">
        <f>Data!Y134</f>
        <v>28651.58</v>
      </c>
      <c r="G134" s="3">
        <f>Data!X134</f>
        <v>262.36</v>
      </c>
      <c r="H134" s="3">
        <f>Data!K134+Data!R134</f>
        <v>9000.2000000000007</v>
      </c>
      <c r="I134" s="3">
        <f>Data!I134+Data!L134+Data!M134+Data!N134+Data!O134+Data!S134</f>
        <v>0</v>
      </c>
      <c r="J134" s="3">
        <f>Data!Q134</f>
        <v>0</v>
      </c>
      <c r="K134" s="3">
        <f>Data!J134+Data!P134</f>
        <v>13110.24</v>
      </c>
      <c r="L134" s="3">
        <f>Data!T134</f>
        <v>0</v>
      </c>
      <c r="M134" s="3">
        <f>ROUND(Data!AD134*$B$3,2)</f>
        <v>13259.54</v>
      </c>
      <c r="N134" s="3">
        <f>Data!U134</f>
        <v>0</v>
      </c>
      <c r="O134" s="3">
        <f t="shared" si="7"/>
        <v>274740.07</v>
      </c>
      <c r="P134" s="3">
        <f t="shared" ref="P134:P196" si="8">SUM(D134:L134)</f>
        <v>261480.53000000003</v>
      </c>
      <c r="Q134" s="3">
        <f t="shared" ref="Q134:Q196" si="9">SUM(M134:N134)</f>
        <v>13259.54</v>
      </c>
    </row>
    <row r="135" spans="1:17" x14ac:dyDescent="0.2">
      <c r="A135" s="18">
        <v>415</v>
      </c>
      <c r="B135" s="18">
        <v>1</v>
      </c>
      <c r="C135" s="3" t="s">
        <v>132</v>
      </c>
      <c r="D135" s="3">
        <f>ROUND(Data!AC135*$B$3,2)</f>
        <v>29575.82</v>
      </c>
      <c r="E135" s="3">
        <f>MAX(0,Data!AF135-Data!Y135)</f>
        <v>89944.45</v>
      </c>
      <c r="F135" s="3">
        <f>Data!Y135</f>
        <v>20886.88</v>
      </c>
      <c r="G135" s="3">
        <f>Data!X135</f>
        <v>4594.3999999999996</v>
      </c>
      <c r="H135" s="3">
        <f>Data!K135+Data!R135</f>
        <v>0</v>
      </c>
      <c r="I135" s="3">
        <f>Data!I135+Data!L135+Data!M135+Data!N135+Data!O135+Data!S135</f>
        <v>0</v>
      </c>
      <c r="J135" s="3">
        <f>Data!Q135</f>
        <v>0</v>
      </c>
      <c r="K135" s="3">
        <f>Data!J135+Data!P135</f>
        <v>0</v>
      </c>
      <c r="L135" s="3">
        <f>Data!T135</f>
        <v>0</v>
      </c>
      <c r="M135" s="3">
        <f>ROUND(Data!AD135*$B$3,2)</f>
        <v>18939.91</v>
      </c>
      <c r="N135" s="3">
        <f>Data!U135</f>
        <v>0</v>
      </c>
      <c r="O135" s="3">
        <f t="shared" si="7"/>
        <v>163941.46</v>
      </c>
      <c r="P135" s="3">
        <f t="shared" si="8"/>
        <v>145001.54999999999</v>
      </c>
      <c r="Q135" s="3">
        <f t="shared" si="9"/>
        <v>18939.91</v>
      </c>
    </row>
    <row r="136" spans="1:17" x14ac:dyDescent="0.2">
      <c r="A136" s="18">
        <v>423</v>
      </c>
      <c r="B136" s="18">
        <v>1</v>
      </c>
      <c r="C136" s="3" t="s">
        <v>133</v>
      </c>
      <c r="D136" s="3">
        <f>ROUND(Data!AC136*$B$3,2)</f>
        <v>679501.11</v>
      </c>
      <c r="E136" s="3">
        <f>MAX(0,Data!AF136-Data!Y136)</f>
        <v>927885.13</v>
      </c>
      <c r="F136" s="3">
        <f>Data!Y136</f>
        <v>159248.91</v>
      </c>
      <c r="G136" s="3">
        <f>Data!X136</f>
        <v>0</v>
      </c>
      <c r="H136" s="3">
        <f>Data!K136+Data!R136</f>
        <v>59015.199999999997</v>
      </c>
      <c r="I136" s="3">
        <f>Data!I136+Data!L136+Data!M136+Data!N136+Data!O136+Data!S136</f>
        <v>0</v>
      </c>
      <c r="J136" s="3">
        <f>Data!Q136</f>
        <v>0</v>
      </c>
      <c r="K136" s="3">
        <f>Data!J136+Data!P136</f>
        <v>35369.440000000002</v>
      </c>
      <c r="L136" s="3">
        <f>Data!T136</f>
        <v>0</v>
      </c>
      <c r="M136" s="3">
        <f>ROUND(Data!AD136*$B$3,2)</f>
        <v>99297.59</v>
      </c>
      <c r="N136" s="3">
        <f>Data!U136</f>
        <v>0</v>
      </c>
      <c r="O136" s="3">
        <f t="shared" si="7"/>
        <v>1960317.38</v>
      </c>
      <c r="P136" s="3">
        <f t="shared" si="8"/>
        <v>1861019.7899999998</v>
      </c>
      <c r="Q136" s="3">
        <f t="shared" si="9"/>
        <v>99297.59</v>
      </c>
    </row>
    <row r="137" spans="1:17" x14ac:dyDescent="0.2">
      <c r="A137" s="18">
        <v>424</v>
      </c>
      <c r="B137" s="18">
        <v>1</v>
      </c>
      <c r="C137" s="3" t="s">
        <v>134</v>
      </c>
      <c r="D137" s="3">
        <f>ROUND(Data!AC137*$B$3,2)</f>
        <v>70262.039999999994</v>
      </c>
      <c r="E137" s="3">
        <f>MAX(0,Data!AF137-Data!Y137)</f>
        <v>199609.59000000003</v>
      </c>
      <c r="F137" s="3">
        <f>Data!Y137</f>
        <v>24228.86</v>
      </c>
      <c r="G137" s="3">
        <f>Data!X137</f>
        <v>0</v>
      </c>
      <c r="H137" s="3">
        <f>Data!K137+Data!R137</f>
        <v>10000</v>
      </c>
      <c r="I137" s="3">
        <f>Data!I137+Data!L137+Data!M137+Data!N137+Data!O137+Data!S137</f>
        <v>0</v>
      </c>
      <c r="J137" s="3">
        <f>Data!Q137</f>
        <v>0</v>
      </c>
      <c r="K137" s="3">
        <f>Data!J137+Data!P137</f>
        <v>23258.6</v>
      </c>
      <c r="L137" s="3">
        <f>Data!T137</f>
        <v>0</v>
      </c>
      <c r="M137" s="3">
        <f>ROUND(Data!AD137*$B$3,2)</f>
        <v>13639.03</v>
      </c>
      <c r="N137" s="3">
        <f>Data!U137</f>
        <v>0</v>
      </c>
      <c r="O137" s="3">
        <f t="shared" si="7"/>
        <v>340998.12</v>
      </c>
      <c r="P137" s="3">
        <f t="shared" si="8"/>
        <v>327359.08999999997</v>
      </c>
      <c r="Q137" s="3">
        <f t="shared" si="9"/>
        <v>13639.03</v>
      </c>
    </row>
    <row r="138" spans="1:17" x14ac:dyDescent="0.2">
      <c r="A138" s="18">
        <v>432</v>
      </c>
      <c r="B138" s="18">
        <v>1</v>
      </c>
      <c r="C138" s="3" t="s">
        <v>135</v>
      </c>
      <c r="D138" s="3">
        <f>ROUND(Data!AC138*$B$3,2)</f>
        <v>53666.89</v>
      </c>
      <c r="E138" s="3">
        <f>MAX(0,Data!AF138-Data!Y138)</f>
        <v>0</v>
      </c>
      <c r="F138" s="3">
        <f>Data!Y138</f>
        <v>0</v>
      </c>
      <c r="G138" s="3">
        <f>Data!X138</f>
        <v>0</v>
      </c>
      <c r="H138" s="3">
        <f>Data!K138+Data!R138</f>
        <v>33569.35</v>
      </c>
      <c r="I138" s="3">
        <f>Data!I138+Data!L138+Data!M138+Data!N138+Data!O138+Data!S138</f>
        <v>0</v>
      </c>
      <c r="J138" s="3">
        <f>Data!Q138</f>
        <v>0</v>
      </c>
      <c r="K138" s="3">
        <f>Data!J138+Data!P138</f>
        <v>5278.18</v>
      </c>
      <c r="L138" s="3">
        <f>Data!T138</f>
        <v>0</v>
      </c>
      <c r="M138" s="3">
        <f>ROUND(Data!AD138*$B$3,2)</f>
        <v>15974.11</v>
      </c>
      <c r="N138" s="3">
        <f>Data!U138</f>
        <v>0</v>
      </c>
      <c r="O138" s="3">
        <f t="shared" si="7"/>
        <v>108488.52999999998</v>
      </c>
      <c r="P138" s="3">
        <f t="shared" si="8"/>
        <v>92514.419999999984</v>
      </c>
      <c r="Q138" s="3">
        <f t="shared" si="9"/>
        <v>15974.11</v>
      </c>
    </row>
    <row r="139" spans="1:17" x14ac:dyDescent="0.2">
      <c r="A139" s="18">
        <v>435</v>
      </c>
      <c r="B139" s="18">
        <v>1</v>
      </c>
      <c r="C139" s="3" t="s">
        <v>136</v>
      </c>
      <c r="D139" s="3">
        <f>ROUND(Data!AC139*$B$3,2)</f>
        <v>79186.03</v>
      </c>
      <c r="E139" s="3">
        <f>MAX(0,Data!AF139-Data!Y139)</f>
        <v>0</v>
      </c>
      <c r="F139" s="3">
        <f>Data!Y139</f>
        <v>0</v>
      </c>
      <c r="G139" s="3">
        <f>Data!X139</f>
        <v>0</v>
      </c>
      <c r="H139" s="3">
        <f>Data!K139+Data!R139</f>
        <v>17446.849999999999</v>
      </c>
      <c r="I139" s="3">
        <f>Data!I139+Data!L139+Data!M139+Data!N139+Data!O139+Data!S139</f>
        <v>0</v>
      </c>
      <c r="J139" s="3">
        <f>Data!Q139</f>
        <v>0</v>
      </c>
      <c r="K139" s="3">
        <f>Data!J139+Data!P139</f>
        <v>2500</v>
      </c>
      <c r="L139" s="3">
        <f>Data!T139</f>
        <v>0</v>
      </c>
      <c r="M139" s="3">
        <f>ROUND(Data!AD139*$B$3,2)</f>
        <v>15354.97</v>
      </c>
      <c r="N139" s="3">
        <f>Data!U139</f>
        <v>0</v>
      </c>
      <c r="O139" s="3">
        <f t="shared" si="7"/>
        <v>114487.85</v>
      </c>
      <c r="P139" s="3">
        <f t="shared" si="8"/>
        <v>99132.88</v>
      </c>
      <c r="Q139" s="3">
        <f t="shared" si="9"/>
        <v>15354.97</v>
      </c>
    </row>
    <row r="140" spans="1:17" x14ac:dyDescent="0.2">
      <c r="A140" s="18">
        <v>441</v>
      </c>
      <c r="B140" s="18">
        <v>1</v>
      </c>
      <c r="C140" s="3" t="s">
        <v>137</v>
      </c>
      <c r="D140" s="3">
        <f>ROUND(Data!AC140*$B$3,2)</f>
        <v>96188.63</v>
      </c>
      <c r="E140" s="3">
        <f>MAX(0,Data!AF140-Data!Y140)</f>
        <v>71557.810000000012</v>
      </c>
      <c r="F140" s="3">
        <f>Data!Y140</f>
        <v>24919.51</v>
      </c>
      <c r="G140" s="3">
        <f>Data!X140</f>
        <v>10876.31</v>
      </c>
      <c r="H140" s="3">
        <f>Data!K140+Data!R140</f>
        <v>10000</v>
      </c>
      <c r="I140" s="3">
        <f>Data!I140+Data!L140+Data!M140+Data!N140+Data!O140+Data!S140</f>
        <v>0</v>
      </c>
      <c r="J140" s="3">
        <f>Data!Q140</f>
        <v>0</v>
      </c>
      <c r="K140" s="3">
        <f>Data!J140+Data!P140</f>
        <v>-4126.3</v>
      </c>
      <c r="L140" s="3">
        <f>Data!T140</f>
        <v>0</v>
      </c>
      <c r="M140" s="3">
        <f>ROUND(Data!AD140*$B$3,2)</f>
        <v>15889.77</v>
      </c>
      <c r="N140" s="3">
        <f>Data!U140</f>
        <v>0</v>
      </c>
      <c r="O140" s="3">
        <f t="shared" si="7"/>
        <v>225305.73</v>
      </c>
      <c r="P140" s="3">
        <f t="shared" si="8"/>
        <v>209415.96000000002</v>
      </c>
      <c r="Q140" s="3">
        <f t="shared" si="9"/>
        <v>15889.77</v>
      </c>
    </row>
    <row r="141" spans="1:17" x14ac:dyDescent="0.2">
      <c r="A141" s="18">
        <v>447</v>
      </c>
      <c r="B141" s="18">
        <v>1</v>
      </c>
      <c r="C141" s="3" t="s">
        <v>138</v>
      </c>
      <c r="D141" s="3">
        <f>ROUND(Data!AC141*$B$3,2)</f>
        <v>25259.57</v>
      </c>
      <c r="E141" s="3">
        <f>MAX(0,Data!AF141-Data!Y141)</f>
        <v>0</v>
      </c>
      <c r="F141" s="3">
        <f>Data!Y141</f>
        <v>4943.41</v>
      </c>
      <c r="G141" s="3">
        <f>Data!X141</f>
        <v>0</v>
      </c>
      <c r="H141" s="3">
        <f>Data!K141+Data!R141</f>
        <v>10000</v>
      </c>
      <c r="I141" s="3">
        <f>Data!I141+Data!L141+Data!M141+Data!N141+Data!O141+Data!S141</f>
        <v>0</v>
      </c>
      <c r="J141" s="3">
        <f>Data!Q141</f>
        <v>0</v>
      </c>
      <c r="K141" s="3">
        <f>Data!J141+Data!P141</f>
        <v>1712.58</v>
      </c>
      <c r="L141" s="3">
        <f>Data!T141</f>
        <v>0</v>
      </c>
      <c r="M141" s="3">
        <f>ROUND(Data!AD141*$B$3,2)</f>
        <v>6027.86</v>
      </c>
      <c r="N141" s="3">
        <f>Data!U141</f>
        <v>0</v>
      </c>
      <c r="O141" s="3">
        <f t="shared" si="7"/>
        <v>47943.42</v>
      </c>
      <c r="P141" s="3">
        <f t="shared" si="8"/>
        <v>41915.56</v>
      </c>
      <c r="Q141" s="3">
        <f t="shared" si="9"/>
        <v>6027.86</v>
      </c>
    </row>
    <row r="142" spans="1:17" x14ac:dyDescent="0.2">
      <c r="A142" s="18">
        <v>458</v>
      </c>
      <c r="B142" s="18">
        <v>1</v>
      </c>
      <c r="C142" s="3" t="s">
        <v>139</v>
      </c>
      <c r="D142" s="3">
        <f>ROUND(Data!AC142*$B$3,2)</f>
        <v>56912.46</v>
      </c>
      <c r="E142" s="3">
        <f>MAX(0,Data!AF142-Data!Y142)</f>
        <v>63637.53</v>
      </c>
      <c r="F142" s="3">
        <f>Data!Y142</f>
        <v>138045.48000000001</v>
      </c>
      <c r="G142" s="3">
        <f>Data!X142</f>
        <v>9301.26</v>
      </c>
      <c r="H142" s="3">
        <f>Data!K142+Data!R142</f>
        <v>10000</v>
      </c>
      <c r="I142" s="3">
        <f>Data!I142+Data!L142+Data!M142+Data!N142+Data!O142+Data!S142</f>
        <v>0</v>
      </c>
      <c r="J142" s="3">
        <f>Data!Q142</f>
        <v>0</v>
      </c>
      <c r="K142" s="3">
        <f>Data!J142+Data!P142</f>
        <v>-4011.0599999999995</v>
      </c>
      <c r="L142" s="3">
        <f>Data!T142</f>
        <v>0</v>
      </c>
      <c r="M142" s="3">
        <f>ROUND(Data!AD142*$B$3,2)</f>
        <v>19672.66</v>
      </c>
      <c r="N142" s="3">
        <f>Data!U142</f>
        <v>0</v>
      </c>
      <c r="O142" s="3">
        <f t="shared" si="7"/>
        <v>293558.32999999996</v>
      </c>
      <c r="P142" s="3">
        <f t="shared" si="8"/>
        <v>273885.67</v>
      </c>
      <c r="Q142" s="3">
        <f t="shared" si="9"/>
        <v>19672.66</v>
      </c>
    </row>
    <row r="143" spans="1:17" x14ac:dyDescent="0.2">
      <c r="A143" s="18">
        <v>463</v>
      </c>
      <c r="B143" s="18">
        <v>1</v>
      </c>
      <c r="C143" s="3" t="s">
        <v>140</v>
      </c>
      <c r="D143" s="3">
        <f>ROUND(Data!AC143*$B$3,2)</f>
        <v>73494.41</v>
      </c>
      <c r="E143" s="3">
        <f>MAX(0,Data!AF143-Data!Y143)</f>
        <v>201692.78999999998</v>
      </c>
      <c r="F143" s="3">
        <f>Data!Y143</f>
        <v>32117.919999999998</v>
      </c>
      <c r="G143" s="3">
        <f>Data!X143</f>
        <v>0</v>
      </c>
      <c r="H143" s="3">
        <f>Data!K143+Data!R143</f>
        <v>10000</v>
      </c>
      <c r="I143" s="3">
        <f>Data!I143+Data!L143+Data!M143+Data!N143+Data!O143+Data!S143</f>
        <v>0</v>
      </c>
      <c r="J143" s="3">
        <f>Data!Q143</f>
        <v>0</v>
      </c>
      <c r="K143" s="3">
        <f>Data!J143+Data!P143</f>
        <v>6674.9400000000005</v>
      </c>
      <c r="L143" s="3">
        <f>Data!T143</f>
        <v>0</v>
      </c>
      <c r="M143" s="3">
        <f>ROUND(Data!AD143*$B$3,2)</f>
        <v>28057.75</v>
      </c>
      <c r="N143" s="3">
        <f>Data!U143</f>
        <v>0</v>
      </c>
      <c r="O143" s="3">
        <f t="shared" si="7"/>
        <v>352037.80999999994</v>
      </c>
      <c r="P143" s="3">
        <f t="shared" si="8"/>
        <v>323980.05999999994</v>
      </c>
      <c r="Q143" s="3">
        <f t="shared" si="9"/>
        <v>28057.75</v>
      </c>
    </row>
    <row r="144" spans="1:17" x14ac:dyDescent="0.2">
      <c r="A144" s="18">
        <v>465</v>
      </c>
      <c r="B144" s="18">
        <v>1</v>
      </c>
      <c r="C144" s="3" t="s">
        <v>141</v>
      </c>
      <c r="D144" s="3">
        <f>ROUND(Data!AC144*$B$3,2)</f>
        <v>499166.88</v>
      </c>
      <c r="E144" s="3">
        <f>MAX(0,Data!AF144-Data!Y144)</f>
        <v>363852.62</v>
      </c>
      <c r="F144" s="3">
        <f>Data!Y144</f>
        <v>97079.01</v>
      </c>
      <c r="G144" s="3">
        <f>Data!X144</f>
        <v>0</v>
      </c>
      <c r="H144" s="3">
        <f>Data!K144+Data!R144</f>
        <v>35575.61</v>
      </c>
      <c r="I144" s="3">
        <f>Data!I144+Data!L144+Data!M144+Data!N144+Data!O144+Data!S144</f>
        <v>0</v>
      </c>
      <c r="J144" s="3">
        <f>Data!Q144</f>
        <v>0</v>
      </c>
      <c r="K144" s="3">
        <f>Data!J144+Data!P144</f>
        <v>11654.05</v>
      </c>
      <c r="L144" s="3">
        <f>Data!T144</f>
        <v>0</v>
      </c>
      <c r="M144" s="3">
        <f>ROUND(Data!AD144*$B$3,2)</f>
        <v>66744.320000000007</v>
      </c>
      <c r="N144" s="3">
        <f>Data!U144</f>
        <v>0</v>
      </c>
      <c r="O144" s="3">
        <f t="shared" si="7"/>
        <v>1074072.49</v>
      </c>
      <c r="P144" s="3">
        <f t="shared" si="8"/>
        <v>1007328.17</v>
      </c>
      <c r="Q144" s="3">
        <f t="shared" si="9"/>
        <v>66744.320000000007</v>
      </c>
    </row>
    <row r="145" spans="1:17" x14ac:dyDescent="0.2">
      <c r="A145" s="18">
        <v>466</v>
      </c>
      <c r="B145" s="18">
        <v>1</v>
      </c>
      <c r="C145" s="3" t="s">
        <v>142</v>
      </c>
      <c r="D145" s="3">
        <f>ROUND(Data!AC145*$B$3,2)</f>
        <v>346946.16</v>
      </c>
      <c r="E145" s="3">
        <f>MAX(0,Data!AF145-Data!Y145)</f>
        <v>241571.61</v>
      </c>
      <c r="F145" s="3">
        <f>Data!Y145</f>
        <v>84376.93</v>
      </c>
      <c r="G145" s="3">
        <f>Data!X145</f>
        <v>0</v>
      </c>
      <c r="H145" s="3">
        <f>Data!K145+Data!R145</f>
        <v>36749.21</v>
      </c>
      <c r="I145" s="3">
        <f>Data!I145+Data!L145+Data!M145+Data!N145+Data!O145+Data!S145</f>
        <v>0</v>
      </c>
      <c r="J145" s="3">
        <f>Data!Q145</f>
        <v>0</v>
      </c>
      <c r="K145" s="3">
        <f>Data!J145+Data!P145</f>
        <v>22609.81</v>
      </c>
      <c r="L145" s="3">
        <f>Data!T145</f>
        <v>0</v>
      </c>
      <c r="M145" s="3">
        <f>ROUND(Data!AD145*$B$3,2)</f>
        <v>64376.05</v>
      </c>
      <c r="N145" s="3">
        <f>Data!U145</f>
        <v>0</v>
      </c>
      <c r="O145" s="3">
        <f t="shared" si="7"/>
        <v>796629.77</v>
      </c>
      <c r="P145" s="3">
        <f t="shared" si="8"/>
        <v>732253.72</v>
      </c>
      <c r="Q145" s="3">
        <f t="shared" si="9"/>
        <v>64376.05</v>
      </c>
    </row>
    <row r="146" spans="1:17" x14ac:dyDescent="0.2">
      <c r="A146" s="18">
        <v>473</v>
      </c>
      <c r="B146" s="18">
        <v>1</v>
      </c>
      <c r="C146" s="3" t="s">
        <v>143</v>
      </c>
      <c r="D146" s="3">
        <f>ROUND(Data!AC146*$B$3,2)</f>
        <v>131987.54</v>
      </c>
      <c r="E146" s="3">
        <f>MAX(0,Data!AF146-Data!Y146)</f>
        <v>0</v>
      </c>
      <c r="F146" s="3">
        <f>Data!Y146</f>
        <v>22384.46</v>
      </c>
      <c r="G146" s="3">
        <f>Data!X146</f>
        <v>3627.63</v>
      </c>
      <c r="H146" s="3">
        <f>Data!K146+Data!R146</f>
        <v>10000</v>
      </c>
      <c r="I146" s="3">
        <f>Data!I146+Data!L146+Data!M146+Data!N146+Data!O146+Data!S146</f>
        <v>0</v>
      </c>
      <c r="J146" s="3">
        <f>Data!Q146</f>
        <v>0</v>
      </c>
      <c r="K146" s="3">
        <f>Data!J146+Data!P146</f>
        <v>28251.15</v>
      </c>
      <c r="L146" s="3">
        <f>Data!T146</f>
        <v>0</v>
      </c>
      <c r="M146" s="3">
        <f>ROUND(Data!AD146*$B$3,2)</f>
        <v>18933.29</v>
      </c>
      <c r="N146" s="3">
        <f>Data!U146</f>
        <v>0</v>
      </c>
      <c r="O146" s="3">
        <f t="shared" si="7"/>
        <v>215184.07</v>
      </c>
      <c r="P146" s="3">
        <f t="shared" si="8"/>
        <v>196250.78</v>
      </c>
      <c r="Q146" s="3">
        <f t="shared" si="9"/>
        <v>18933.29</v>
      </c>
    </row>
    <row r="147" spans="1:17" x14ac:dyDescent="0.2">
      <c r="A147" s="18">
        <v>477</v>
      </c>
      <c r="B147" s="18">
        <v>1</v>
      </c>
      <c r="C147" s="3" t="s">
        <v>144</v>
      </c>
      <c r="D147" s="3">
        <f>ROUND(Data!AC147*$B$3,2)</f>
        <v>680269.19</v>
      </c>
      <c r="E147" s="3">
        <f>MAX(0,Data!AF147-Data!Y147)</f>
        <v>357071.91</v>
      </c>
      <c r="F147" s="3">
        <f>Data!Y147</f>
        <v>117256.13</v>
      </c>
      <c r="G147" s="3">
        <f>Data!X147</f>
        <v>0</v>
      </c>
      <c r="H147" s="3">
        <f>Data!K147+Data!R147</f>
        <v>62282.400000000001</v>
      </c>
      <c r="I147" s="3">
        <f>Data!I147+Data!L147+Data!M147+Data!N147+Data!O147+Data!S147</f>
        <v>0</v>
      </c>
      <c r="J147" s="3">
        <f>Data!Q147</f>
        <v>0</v>
      </c>
      <c r="K147" s="3">
        <f>Data!J147+Data!P147</f>
        <v>38658.949999999997</v>
      </c>
      <c r="L147" s="3">
        <f>Data!T147</f>
        <v>0</v>
      </c>
      <c r="M147" s="3">
        <f>ROUND(Data!AD147*$B$3,2)</f>
        <v>141619.1</v>
      </c>
      <c r="N147" s="3">
        <f>Data!U147</f>
        <v>0</v>
      </c>
      <c r="O147" s="3">
        <f t="shared" si="7"/>
        <v>1397157.68</v>
      </c>
      <c r="P147" s="3">
        <f t="shared" si="8"/>
        <v>1255538.5799999998</v>
      </c>
      <c r="Q147" s="3">
        <f t="shared" si="9"/>
        <v>141619.1</v>
      </c>
    </row>
    <row r="148" spans="1:17" x14ac:dyDescent="0.2">
      <c r="A148" s="18">
        <v>480</v>
      </c>
      <c r="B148" s="18">
        <v>1</v>
      </c>
      <c r="C148" s="3" t="s">
        <v>145</v>
      </c>
      <c r="D148" s="3">
        <f>ROUND(Data!AC148*$B$3,2)</f>
        <v>229352.16</v>
      </c>
      <c r="E148" s="3">
        <f>MAX(0,Data!AF148-Data!Y148)</f>
        <v>237402.29</v>
      </c>
      <c r="F148" s="3">
        <f>Data!Y148</f>
        <v>0</v>
      </c>
      <c r="G148" s="3">
        <f>Data!X148</f>
        <v>0</v>
      </c>
      <c r="H148" s="3">
        <f>Data!K148+Data!R148</f>
        <v>10000</v>
      </c>
      <c r="I148" s="3">
        <f>Data!I148+Data!L148+Data!M148+Data!N148+Data!O148+Data!S148</f>
        <v>0</v>
      </c>
      <c r="J148" s="3">
        <f>Data!Q148</f>
        <v>0</v>
      </c>
      <c r="K148" s="3">
        <f>Data!J148+Data!P148</f>
        <v>12140.57</v>
      </c>
      <c r="L148" s="3">
        <f>Data!T148</f>
        <v>0</v>
      </c>
      <c r="M148" s="3">
        <f>ROUND(Data!AD148*$B$3,2)</f>
        <v>36080.239999999998</v>
      </c>
      <c r="N148" s="3">
        <f>Data!U148</f>
        <v>0</v>
      </c>
      <c r="O148" s="3">
        <f t="shared" si="7"/>
        <v>524975.26</v>
      </c>
      <c r="P148" s="3">
        <f t="shared" si="8"/>
        <v>488895.02</v>
      </c>
      <c r="Q148" s="3">
        <f t="shared" si="9"/>
        <v>36080.239999999998</v>
      </c>
    </row>
    <row r="149" spans="1:17" x14ac:dyDescent="0.2">
      <c r="A149" s="18">
        <v>482</v>
      </c>
      <c r="B149" s="18">
        <v>1</v>
      </c>
      <c r="C149" s="3" t="s">
        <v>146</v>
      </c>
      <c r="D149" s="3">
        <f>ROUND(Data!AC149*$B$3,2)</f>
        <v>336055.13</v>
      </c>
      <c r="E149" s="3">
        <f>MAX(0,Data!AF149-Data!Y149)</f>
        <v>813339.93</v>
      </c>
      <c r="F149" s="3">
        <f>Data!Y149</f>
        <v>98308.58</v>
      </c>
      <c r="G149" s="3">
        <f>Data!X149</f>
        <v>0</v>
      </c>
      <c r="H149" s="3">
        <f>Data!K149+Data!R149</f>
        <v>83723.98</v>
      </c>
      <c r="I149" s="3">
        <f>Data!I149+Data!L149+Data!M149+Data!N149+Data!O149+Data!S149</f>
        <v>0</v>
      </c>
      <c r="J149" s="3">
        <f>Data!Q149</f>
        <v>0</v>
      </c>
      <c r="K149" s="3">
        <f>Data!J149+Data!P149</f>
        <v>67532.61</v>
      </c>
      <c r="L149" s="3">
        <f>Data!T149</f>
        <v>0</v>
      </c>
      <c r="M149" s="3">
        <f>ROUND(Data!AD149*$B$3,2)</f>
        <v>101661.88</v>
      </c>
      <c r="N149" s="3">
        <f>Data!U149</f>
        <v>0</v>
      </c>
      <c r="O149" s="3">
        <f t="shared" si="7"/>
        <v>1500622.1100000003</v>
      </c>
      <c r="P149" s="3">
        <f t="shared" si="8"/>
        <v>1398960.2300000002</v>
      </c>
      <c r="Q149" s="3">
        <f t="shared" si="9"/>
        <v>101661.88</v>
      </c>
    </row>
    <row r="150" spans="1:17" x14ac:dyDescent="0.2">
      <c r="A150" s="18">
        <v>484</v>
      </c>
      <c r="B150" s="18">
        <v>1</v>
      </c>
      <c r="C150" s="3" t="s">
        <v>147</v>
      </c>
      <c r="D150" s="3">
        <f>ROUND(Data!AC150*$B$3,2)</f>
        <v>159230</v>
      </c>
      <c r="E150" s="3">
        <f>MAX(0,Data!AF150-Data!Y150)</f>
        <v>159964.03</v>
      </c>
      <c r="F150" s="3">
        <f>Data!Y150</f>
        <v>31118.21</v>
      </c>
      <c r="G150" s="3">
        <f>Data!X150</f>
        <v>0</v>
      </c>
      <c r="H150" s="3">
        <f>Data!K150+Data!R150</f>
        <v>0</v>
      </c>
      <c r="I150" s="3">
        <f>Data!I150+Data!L150+Data!M150+Data!N150+Data!O150+Data!S150</f>
        <v>0</v>
      </c>
      <c r="J150" s="3">
        <f>Data!Q150</f>
        <v>0</v>
      </c>
      <c r="K150" s="3">
        <f>Data!J150+Data!P150</f>
        <v>0</v>
      </c>
      <c r="L150" s="3">
        <f>Data!T150</f>
        <v>0</v>
      </c>
      <c r="M150" s="3">
        <f>ROUND(Data!AD150*$B$3,2)</f>
        <v>24341.47</v>
      </c>
      <c r="N150" s="3">
        <f>Data!U150</f>
        <v>0</v>
      </c>
      <c r="O150" s="3">
        <f t="shared" si="7"/>
        <v>374653.71000000008</v>
      </c>
      <c r="P150" s="3">
        <f t="shared" si="8"/>
        <v>350312.24000000005</v>
      </c>
      <c r="Q150" s="3">
        <f t="shared" si="9"/>
        <v>24341.47</v>
      </c>
    </row>
    <row r="151" spans="1:17" x14ac:dyDescent="0.2">
      <c r="A151" s="18">
        <v>485</v>
      </c>
      <c r="B151" s="18">
        <v>1</v>
      </c>
      <c r="C151" s="3" t="s">
        <v>148</v>
      </c>
      <c r="D151" s="3">
        <f>ROUND(Data!AC151*$B$3,2)</f>
        <v>119565.69</v>
      </c>
      <c r="E151" s="3">
        <f>MAX(0,Data!AF151-Data!Y151)</f>
        <v>0</v>
      </c>
      <c r="F151" s="3">
        <f>Data!Y151</f>
        <v>29270.26</v>
      </c>
      <c r="G151" s="3">
        <f>Data!X151</f>
        <v>0</v>
      </c>
      <c r="H151" s="3">
        <f>Data!K151+Data!R151</f>
        <v>18549.12</v>
      </c>
      <c r="I151" s="3">
        <f>Data!I151+Data!L151+Data!M151+Data!N151+Data!O151+Data!S151</f>
        <v>0</v>
      </c>
      <c r="J151" s="3">
        <f>Data!Q151</f>
        <v>0</v>
      </c>
      <c r="K151" s="3">
        <f>Data!J151+Data!P151</f>
        <v>11375.730000000001</v>
      </c>
      <c r="L151" s="3">
        <f>Data!T151</f>
        <v>0</v>
      </c>
      <c r="M151" s="3">
        <f>ROUND(Data!AD151*$B$3,2)</f>
        <v>19139.310000000001</v>
      </c>
      <c r="N151" s="3">
        <f>Data!U151</f>
        <v>0</v>
      </c>
      <c r="O151" s="3">
        <f t="shared" si="7"/>
        <v>197900.11000000002</v>
      </c>
      <c r="P151" s="3">
        <f t="shared" si="8"/>
        <v>178760.80000000002</v>
      </c>
      <c r="Q151" s="3">
        <f t="shared" si="9"/>
        <v>19139.310000000001</v>
      </c>
    </row>
    <row r="152" spans="1:17" x14ac:dyDescent="0.2">
      <c r="A152" s="18">
        <v>486</v>
      </c>
      <c r="B152" s="18">
        <v>1</v>
      </c>
      <c r="C152" s="3" t="s">
        <v>149</v>
      </c>
      <c r="D152" s="3">
        <f>ROUND(Data!AC152*$B$3,2)</f>
        <v>49445</v>
      </c>
      <c r="E152" s="3">
        <f>MAX(0,Data!AF152-Data!Y152)</f>
        <v>74327.05</v>
      </c>
      <c r="F152" s="3">
        <f>Data!Y152</f>
        <v>15148.78</v>
      </c>
      <c r="G152" s="3">
        <f>Data!X152</f>
        <v>0</v>
      </c>
      <c r="H152" s="3">
        <f>Data!K152+Data!R152</f>
        <v>0</v>
      </c>
      <c r="I152" s="3">
        <f>Data!I152+Data!L152+Data!M152+Data!N152+Data!O152+Data!S152</f>
        <v>0</v>
      </c>
      <c r="J152" s="3">
        <f>Data!Q152</f>
        <v>0</v>
      </c>
      <c r="K152" s="3">
        <f>Data!J152+Data!P152</f>
        <v>2489.89</v>
      </c>
      <c r="L152" s="3">
        <f>Data!T152</f>
        <v>0</v>
      </c>
      <c r="M152" s="3">
        <f>ROUND(Data!AD152*$B$3,2)</f>
        <v>10003.780000000001</v>
      </c>
      <c r="N152" s="3">
        <f>Data!U152</f>
        <v>0</v>
      </c>
      <c r="O152" s="3">
        <f t="shared" si="7"/>
        <v>151414.50000000003</v>
      </c>
      <c r="P152" s="3">
        <f t="shared" si="8"/>
        <v>141410.72000000003</v>
      </c>
      <c r="Q152" s="3">
        <f t="shared" si="9"/>
        <v>10003.780000000001</v>
      </c>
    </row>
    <row r="153" spans="1:17" x14ac:dyDescent="0.2">
      <c r="A153" s="18">
        <v>487</v>
      </c>
      <c r="B153" s="18">
        <v>1</v>
      </c>
      <c r="C153" s="3" t="s">
        <v>150</v>
      </c>
      <c r="D153" s="3">
        <f>ROUND(Data!AC153*$B$3,2)</f>
        <v>6918.22</v>
      </c>
      <c r="E153" s="3">
        <f>MAX(0,Data!AF153-Data!Y153)</f>
        <v>20809.310000000001</v>
      </c>
      <c r="F153" s="3">
        <f>Data!Y153</f>
        <v>32084.69</v>
      </c>
      <c r="G153" s="3">
        <f>Data!X153</f>
        <v>0</v>
      </c>
      <c r="H153" s="3">
        <f>Data!K153+Data!R153</f>
        <v>10000</v>
      </c>
      <c r="I153" s="3">
        <f>Data!I153+Data!L153+Data!M153+Data!N153+Data!O153+Data!S153</f>
        <v>0</v>
      </c>
      <c r="J153" s="3">
        <f>Data!Q153</f>
        <v>0</v>
      </c>
      <c r="K153" s="3">
        <f>Data!J153+Data!P153</f>
        <v>-6333.51</v>
      </c>
      <c r="L153" s="3">
        <f>Data!T153</f>
        <v>0</v>
      </c>
      <c r="M153" s="3">
        <f>ROUND(Data!AD153*$B$3,2)</f>
        <v>6192.16</v>
      </c>
      <c r="N153" s="3">
        <f>Data!U153</f>
        <v>0</v>
      </c>
      <c r="O153" s="3">
        <f t="shared" si="7"/>
        <v>69670.87</v>
      </c>
      <c r="P153" s="3">
        <f t="shared" si="8"/>
        <v>63478.71</v>
      </c>
      <c r="Q153" s="3">
        <f t="shared" si="9"/>
        <v>6192.16</v>
      </c>
    </row>
    <row r="154" spans="1:17" x14ac:dyDescent="0.2">
      <c r="A154" s="18">
        <v>492</v>
      </c>
      <c r="B154" s="18">
        <v>1</v>
      </c>
      <c r="C154" s="3" t="s">
        <v>151</v>
      </c>
      <c r="D154" s="3">
        <f>ROUND(Data!AC154*$B$3,2)</f>
        <v>661111.82999999996</v>
      </c>
      <c r="E154" s="3">
        <f>MAX(0,Data!AF154-Data!Y154)</f>
        <v>659962</v>
      </c>
      <c r="F154" s="3">
        <f>Data!Y154</f>
        <v>295941.48</v>
      </c>
      <c r="G154" s="3">
        <f>Data!X154</f>
        <v>61476.54</v>
      </c>
      <c r="H154" s="3">
        <f>Data!K154+Data!R154</f>
        <v>79665.600000000006</v>
      </c>
      <c r="I154" s="3">
        <f>Data!I154+Data!L154+Data!M154+Data!N154+Data!O154+Data!S154</f>
        <v>-41787.480000000003</v>
      </c>
      <c r="J154" s="3">
        <f>Data!Q154</f>
        <v>0</v>
      </c>
      <c r="K154" s="3">
        <f>Data!J154+Data!P154</f>
        <v>66672.479999999996</v>
      </c>
      <c r="L154" s="3">
        <f>Data!T154</f>
        <v>0</v>
      </c>
      <c r="M154" s="3">
        <f>ROUND(Data!AD154*$B$3,2)</f>
        <v>103554.94</v>
      </c>
      <c r="N154" s="3">
        <f>Data!U154</f>
        <v>0</v>
      </c>
      <c r="O154" s="3">
        <f t="shared" si="7"/>
        <v>1886597.3900000001</v>
      </c>
      <c r="P154" s="3">
        <f t="shared" si="8"/>
        <v>1783042.4500000002</v>
      </c>
      <c r="Q154" s="3">
        <f t="shared" si="9"/>
        <v>103554.94</v>
      </c>
    </row>
    <row r="155" spans="1:17" x14ac:dyDescent="0.2">
      <c r="A155" s="18">
        <v>495</v>
      </c>
      <c r="B155" s="18">
        <v>1</v>
      </c>
      <c r="C155" s="3" t="s">
        <v>152</v>
      </c>
      <c r="D155" s="3">
        <f>ROUND(Data!AC155*$B$3,2)</f>
        <v>66575.38</v>
      </c>
      <c r="E155" s="3">
        <f>MAX(0,Data!AF155-Data!Y155)</f>
        <v>108658.89000000001</v>
      </c>
      <c r="F155" s="3">
        <f>Data!Y155</f>
        <v>55032.71</v>
      </c>
      <c r="G155" s="3">
        <f>Data!X155</f>
        <v>7031.72</v>
      </c>
      <c r="H155" s="3">
        <f>Data!K155+Data!R155</f>
        <v>10000</v>
      </c>
      <c r="I155" s="3">
        <f>Data!I155+Data!L155+Data!M155+Data!N155+Data!O155+Data!S155</f>
        <v>0</v>
      </c>
      <c r="J155" s="3">
        <f>Data!Q155</f>
        <v>0</v>
      </c>
      <c r="K155" s="3">
        <f>Data!J155+Data!P155</f>
        <v>-4302.09</v>
      </c>
      <c r="L155" s="3">
        <f>Data!T155</f>
        <v>0</v>
      </c>
      <c r="M155" s="3">
        <f>ROUND(Data!AD155*$B$3,2)</f>
        <v>16018.56</v>
      </c>
      <c r="N155" s="3">
        <f>Data!U155</f>
        <v>0</v>
      </c>
      <c r="O155" s="3">
        <f t="shared" si="7"/>
        <v>259015.17</v>
      </c>
      <c r="P155" s="3">
        <f t="shared" si="8"/>
        <v>242996.61000000002</v>
      </c>
      <c r="Q155" s="3">
        <f t="shared" si="9"/>
        <v>16018.56</v>
      </c>
    </row>
    <row r="156" spans="1:17" x14ac:dyDescent="0.2">
      <c r="A156" s="18">
        <v>497</v>
      </c>
      <c r="B156" s="18">
        <v>1</v>
      </c>
      <c r="C156" s="3" t="s">
        <v>153</v>
      </c>
      <c r="D156" s="3">
        <f>ROUND(Data!AC156*$B$3,2)</f>
        <v>33853.269999999997</v>
      </c>
      <c r="E156" s="3">
        <f>MAX(0,Data!AF156-Data!Y156)</f>
        <v>0</v>
      </c>
      <c r="F156" s="3">
        <f>Data!Y156</f>
        <v>65196.27</v>
      </c>
      <c r="G156" s="3">
        <f>Data!X156</f>
        <v>3172.07</v>
      </c>
      <c r="H156" s="3">
        <f>Data!K156+Data!R156</f>
        <v>0</v>
      </c>
      <c r="I156" s="3">
        <f>Data!I156+Data!L156+Data!M156+Data!N156+Data!O156+Data!S156</f>
        <v>0</v>
      </c>
      <c r="J156" s="3">
        <f>Data!Q156</f>
        <v>0</v>
      </c>
      <c r="K156" s="3">
        <f>Data!J156+Data!P156</f>
        <v>-1046</v>
      </c>
      <c r="L156" s="3">
        <f>Data!T156</f>
        <v>0</v>
      </c>
      <c r="M156" s="3">
        <f>ROUND(Data!AD156*$B$3,2)</f>
        <v>6746.65</v>
      </c>
      <c r="N156" s="3">
        <f>Data!U156</f>
        <v>0</v>
      </c>
      <c r="O156" s="3">
        <f t="shared" si="7"/>
        <v>107922.26</v>
      </c>
      <c r="P156" s="3">
        <f t="shared" si="8"/>
        <v>101175.61</v>
      </c>
      <c r="Q156" s="3">
        <f t="shared" si="9"/>
        <v>6746.65</v>
      </c>
    </row>
    <row r="157" spans="1:17" x14ac:dyDescent="0.2">
      <c r="A157" s="18">
        <v>499</v>
      </c>
      <c r="B157" s="18">
        <v>1</v>
      </c>
      <c r="C157" s="3" t="s">
        <v>154</v>
      </c>
      <c r="D157" s="3">
        <f>ROUND(Data!AC157*$B$3,2)</f>
        <v>112824.74</v>
      </c>
      <c r="E157" s="3">
        <f>MAX(0,Data!AF157-Data!Y157)</f>
        <v>99941.610000000015</v>
      </c>
      <c r="F157" s="3">
        <f>Data!Y157</f>
        <v>112134.59</v>
      </c>
      <c r="G157" s="3">
        <f>Data!X157</f>
        <v>0</v>
      </c>
      <c r="H157" s="3">
        <f>Data!K157+Data!R157</f>
        <v>20903.07</v>
      </c>
      <c r="I157" s="3">
        <f>Data!I157+Data!L157+Data!M157+Data!N157+Data!O157+Data!S157</f>
        <v>0</v>
      </c>
      <c r="J157" s="3">
        <f>Data!Q157</f>
        <v>0</v>
      </c>
      <c r="K157" s="3">
        <f>Data!J157+Data!P157</f>
        <v>5391.58</v>
      </c>
      <c r="L157" s="3">
        <f>Data!T157</f>
        <v>0</v>
      </c>
      <c r="M157" s="3">
        <f>ROUND(Data!AD157*$B$3,2)</f>
        <v>23777.119999999999</v>
      </c>
      <c r="N157" s="3">
        <f>Data!U157</f>
        <v>0</v>
      </c>
      <c r="O157" s="3">
        <f t="shared" si="7"/>
        <v>374972.71000000008</v>
      </c>
      <c r="P157" s="3">
        <f t="shared" si="8"/>
        <v>351195.59000000008</v>
      </c>
      <c r="Q157" s="3">
        <f t="shared" si="9"/>
        <v>23777.119999999999</v>
      </c>
    </row>
    <row r="158" spans="1:17" x14ac:dyDescent="0.2">
      <c r="A158" s="18">
        <v>500</v>
      </c>
      <c r="B158" s="18">
        <v>1</v>
      </c>
      <c r="C158" s="3" t="s">
        <v>155</v>
      </c>
      <c r="D158" s="3">
        <f>ROUND(Data!AC158*$B$3,2)</f>
        <v>112652.9</v>
      </c>
      <c r="E158" s="3">
        <f>MAX(0,Data!AF158-Data!Y158)</f>
        <v>250311.95</v>
      </c>
      <c r="F158" s="3">
        <f>Data!Y158</f>
        <v>97648.05</v>
      </c>
      <c r="G158" s="3">
        <f>Data!X158</f>
        <v>5199.95</v>
      </c>
      <c r="H158" s="3">
        <f>Data!K158+Data!R158</f>
        <v>14471.2</v>
      </c>
      <c r="I158" s="3">
        <f>Data!I158+Data!L158+Data!M158+Data!N158+Data!O158+Data!S158</f>
        <v>0</v>
      </c>
      <c r="J158" s="3">
        <f>Data!Q158</f>
        <v>0</v>
      </c>
      <c r="K158" s="3">
        <f>Data!J158+Data!P158</f>
        <v>93.35</v>
      </c>
      <c r="L158" s="3">
        <f>Data!T158</f>
        <v>0</v>
      </c>
      <c r="M158" s="3">
        <f>ROUND(Data!AD158*$B$3,2)</f>
        <v>24116.29</v>
      </c>
      <c r="N158" s="3">
        <f>Data!U158</f>
        <v>0</v>
      </c>
      <c r="O158" s="3">
        <f t="shared" si="7"/>
        <v>504493.68999999994</v>
      </c>
      <c r="P158" s="3">
        <f t="shared" si="8"/>
        <v>480377.39999999997</v>
      </c>
      <c r="Q158" s="3">
        <f t="shared" si="9"/>
        <v>24116.29</v>
      </c>
    </row>
    <row r="159" spans="1:17" x14ac:dyDescent="0.2">
      <c r="A159" s="18">
        <v>505</v>
      </c>
      <c r="B159" s="18">
        <v>1</v>
      </c>
      <c r="C159" s="3" t="s">
        <v>156</v>
      </c>
      <c r="D159" s="3">
        <f>ROUND(Data!AC159*$B$3,2)</f>
        <v>73263.460000000006</v>
      </c>
      <c r="E159" s="3">
        <f>MAX(0,Data!AF159-Data!Y159)</f>
        <v>164733.79</v>
      </c>
      <c r="F159" s="3">
        <f>Data!Y159</f>
        <v>77554.06</v>
      </c>
      <c r="G159" s="3">
        <f>Data!X159</f>
        <v>2413.96</v>
      </c>
      <c r="H159" s="3">
        <f>Data!K159+Data!R159</f>
        <v>17446.849999999999</v>
      </c>
      <c r="I159" s="3">
        <f>Data!I159+Data!L159+Data!M159+Data!N159+Data!O159+Data!S159</f>
        <v>0</v>
      </c>
      <c r="J159" s="3">
        <f>Data!Q159</f>
        <v>0</v>
      </c>
      <c r="K159" s="3">
        <f>Data!J159+Data!P159</f>
        <v>83.89</v>
      </c>
      <c r="L159" s="3">
        <f>Data!T159</f>
        <v>0</v>
      </c>
      <c r="M159" s="3">
        <f>ROUND(Data!AD159*$B$3,2)</f>
        <v>19938.349999999999</v>
      </c>
      <c r="N159" s="3">
        <f>Data!U159</f>
        <v>0</v>
      </c>
      <c r="O159" s="3">
        <f t="shared" si="7"/>
        <v>355434.36</v>
      </c>
      <c r="P159" s="3">
        <f t="shared" si="8"/>
        <v>335496.01</v>
      </c>
      <c r="Q159" s="3">
        <f t="shared" si="9"/>
        <v>19938.349999999999</v>
      </c>
    </row>
    <row r="160" spans="1:17" x14ac:dyDescent="0.2">
      <c r="A160" s="18">
        <v>507</v>
      </c>
      <c r="B160" s="18">
        <v>1</v>
      </c>
      <c r="C160" s="3" t="s">
        <v>157</v>
      </c>
      <c r="D160" s="3">
        <f>ROUND(Data!AC160*$B$3,2)</f>
        <v>94209.1</v>
      </c>
      <c r="E160" s="3">
        <f>MAX(0,Data!AF160-Data!Y160)</f>
        <v>0</v>
      </c>
      <c r="F160" s="3">
        <f>Data!Y160</f>
        <v>124645.82</v>
      </c>
      <c r="G160" s="3">
        <f>Data!X160</f>
        <v>0</v>
      </c>
      <c r="H160" s="3">
        <f>Data!K160+Data!R160</f>
        <v>10000</v>
      </c>
      <c r="I160" s="3">
        <f>Data!I160+Data!L160+Data!M160+Data!N160+Data!O160+Data!S160</f>
        <v>0</v>
      </c>
      <c r="J160" s="3">
        <f>Data!Q160</f>
        <v>0</v>
      </c>
      <c r="K160" s="3">
        <f>Data!J160+Data!P160</f>
        <v>12356.11</v>
      </c>
      <c r="L160" s="3">
        <f>Data!T160</f>
        <v>0</v>
      </c>
      <c r="M160" s="3">
        <f>ROUND(Data!AD160*$B$3,2)</f>
        <v>17471.7</v>
      </c>
      <c r="N160" s="3">
        <f>Data!U160</f>
        <v>0</v>
      </c>
      <c r="O160" s="3">
        <f t="shared" si="7"/>
        <v>258682.73000000004</v>
      </c>
      <c r="P160" s="3">
        <f t="shared" si="8"/>
        <v>241211.03000000003</v>
      </c>
      <c r="Q160" s="3">
        <f t="shared" si="9"/>
        <v>17471.7</v>
      </c>
    </row>
    <row r="161" spans="1:17" x14ac:dyDescent="0.2">
      <c r="A161" s="18">
        <v>508</v>
      </c>
      <c r="B161" s="18">
        <v>1</v>
      </c>
      <c r="C161" s="3" t="s">
        <v>158</v>
      </c>
      <c r="D161" s="3">
        <f>ROUND(Data!AC161*$B$3,2)</f>
        <v>717342.16</v>
      </c>
      <c r="E161" s="3">
        <f>MAX(0,Data!AF161-Data!Y161)</f>
        <v>313707.31999999995</v>
      </c>
      <c r="F161" s="3">
        <f>Data!Y161</f>
        <v>172318.92</v>
      </c>
      <c r="G161" s="3">
        <f>Data!X161</f>
        <v>0</v>
      </c>
      <c r="H161" s="3">
        <f>Data!K161+Data!R161</f>
        <v>8269.49</v>
      </c>
      <c r="I161" s="3">
        <f>Data!I161+Data!L161+Data!M161+Data!N161+Data!O161+Data!S161</f>
        <v>0</v>
      </c>
      <c r="J161" s="3">
        <f>Data!Q161</f>
        <v>0</v>
      </c>
      <c r="K161" s="3">
        <f>Data!J161+Data!P161</f>
        <v>7200.84</v>
      </c>
      <c r="L161" s="3">
        <f>Data!T161</f>
        <v>0</v>
      </c>
      <c r="M161" s="3">
        <f>ROUND(Data!AD161*$B$3,2)</f>
        <v>66905.679999999993</v>
      </c>
      <c r="N161" s="3">
        <f>Data!U161</f>
        <v>0</v>
      </c>
      <c r="O161" s="3">
        <f t="shared" si="7"/>
        <v>1285744.4099999999</v>
      </c>
      <c r="P161" s="3">
        <f t="shared" si="8"/>
        <v>1218838.73</v>
      </c>
      <c r="Q161" s="3">
        <f t="shared" si="9"/>
        <v>66905.679999999993</v>
      </c>
    </row>
    <row r="162" spans="1:17" x14ac:dyDescent="0.2">
      <c r="A162" s="18">
        <v>511</v>
      </c>
      <c r="B162" s="18">
        <v>1</v>
      </c>
      <c r="C162" s="3" t="s">
        <v>159</v>
      </c>
      <c r="D162" s="3">
        <f>ROUND(Data!AC162*$B$3,2)</f>
        <v>122510.83</v>
      </c>
      <c r="E162" s="3">
        <f>MAX(0,Data!AF162-Data!Y162)</f>
        <v>132349.22</v>
      </c>
      <c r="F162" s="3">
        <f>Data!Y162</f>
        <v>21485.18</v>
      </c>
      <c r="G162" s="3">
        <f>Data!X162</f>
        <v>0</v>
      </c>
      <c r="H162" s="3">
        <f>Data!K162+Data!R162</f>
        <v>10000</v>
      </c>
      <c r="I162" s="3">
        <f>Data!I162+Data!L162+Data!M162+Data!N162+Data!O162+Data!S162</f>
        <v>0</v>
      </c>
      <c r="J162" s="3">
        <f>Data!Q162</f>
        <v>0</v>
      </c>
      <c r="K162" s="3">
        <f>Data!J162+Data!P162</f>
        <v>1162.92</v>
      </c>
      <c r="L162" s="3">
        <f>Data!T162</f>
        <v>0</v>
      </c>
      <c r="M162" s="3">
        <f>ROUND(Data!AD162*$B$3,2)</f>
        <v>5986.78</v>
      </c>
      <c r="N162" s="3">
        <f>Data!U162</f>
        <v>0</v>
      </c>
      <c r="O162" s="3">
        <f t="shared" si="7"/>
        <v>293494.93</v>
      </c>
      <c r="P162" s="3">
        <f t="shared" si="8"/>
        <v>287508.14999999997</v>
      </c>
      <c r="Q162" s="3">
        <f t="shared" si="9"/>
        <v>5986.78</v>
      </c>
    </row>
    <row r="163" spans="1:17" x14ac:dyDescent="0.2">
      <c r="A163" s="18">
        <v>513</v>
      </c>
      <c r="B163" s="18">
        <v>1</v>
      </c>
      <c r="C163" s="3" t="s">
        <v>160</v>
      </c>
      <c r="D163" s="3">
        <f>ROUND(Data!AC163*$B$3,2)</f>
        <v>50286.2</v>
      </c>
      <c r="E163" s="3">
        <f>MAX(0,Data!AF163-Data!Y163)</f>
        <v>59754.36</v>
      </c>
      <c r="F163" s="3">
        <f>Data!Y163</f>
        <v>33457.410000000003</v>
      </c>
      <c r="G163" s="3">
        <f>Data!X163</f>
        <v>3066.79</v>
      </c>
      <c r="H163" s="3">
        <f>Data!K163+Data!R163</f>
        <v>0</v>
      </c>
      <c r="I163" s="3">
        <f>Data!I163+Data!L163+Data!M163+Data!N163+Data!O163+Data!S163</f>
        <v>0</v>
      </c>
      <c r="J163" s="3">
        <f>Data!Q163</f>
        <v>0</v>
      </c>
      <c r="K163" s="3">
        <f>Data!J163+Data!P163</f>
        <v>-1357.52</v>
      </c>
      <c r="L163" s="3">
        <f>Data!T163</f>
        <v>0</v>
      </c>
      <c r="M163" s="3">
        <f>ROUND(Data!AD163*$B$3,2)</f>
        <v>7232.24</v>
      </c>
      <c r="N163" s="3">
        <f>Data!U163</f>
        <v>0</v>
      </c>
      <c r="O163" s="3">
        <f t="shared" si="7"/>
        <v>152439.48000000001</v>
      </c>
      <c r="P163" s="3">
        <f t="shared" si="8"/>
        <v>145207.24000000002</v>
      </c>
      <c r="Q163" s="3">
        <f t="shared" si="9"/>
        <v>7232.24</v>
      </c>
    </row>
    <row r="164" spans="1:17" x14ac:dyDescent="0.2">
      <c r="A164" s="18">
        <v>514</v>
      </c>
      <c r="B164" s="18">
        <v>1</v>
      </c>
      <c r="C164" s="3" t="s">
        <v>161</v>
      </c>
      <c r="D164" s="3">
        <f>ROUND(Data!AC164*$B$3,2)</f>
        <v>43146.16</v>
      </c>
      <c r="E164" s="3">
        <f>MAX(0,Data!AF164-Data!Y164)</f>
        <v>0</v>
      </c>
      <c r="F164" s="3">
        <f>Data!Y164</f>
        <v>57410.63</v>
      </c>
      <c r="G164" s="3">
        <f>Data!X164</f>
        <v>0</v>
      </c>
      <c r="H164" s="3">
        <f>Data!K164+Data!R164</f>
        <v>7068.3099999999995</v>
      </c>
      <c r="I164" s="3">
        <f>Data!I164+Data!L164+Data!M164+Data!N164+Data!O164+Data!S164</f>
        <v>0</v>
      </c>
      <c r="J164" s="3">
        <f>Data!Q164</f>
        <v>0</v>
      </c>
      <c r="K164" s="3">
        <f>Data!J164+Data!P164</f>
        <v>15117.970000000001</v>
      </c>
      <c r="L164" s="3">
        <f>Data!T164</f>
        <v>0</v>
      </c>
      <c r="M164" s="3">
        <f>ROUND(Data!AD164*$B$3,2)</f>
        <v>6454.5</v>
      </c>
      <c r="N164" s="3">
        <f>Data!U164</f>
        <v>0</v>
      </c>
      <c r="O164" s="3">
        <f t="shared" si="7"/>
        <v>129197.57</v>
      </c>
      <c r="P164" s="3">
        <f t="shared" si="8"/>
        <v>122743.07</v>
      </c>
      <c r="Q164" s="3">
        <f t="shared" si="9"/>
        <v>6454.5</v>
      </c>
    </row>
    <row r="165" spans="1:17" x14ac:dyDescent="0.2">
      <c r="A165" s="18">
        <v>516</v>
      </c>
      <c r="B165" s="18">
        <v>1</v>
      </c>
      <c r="C165" s="3" t="s">
        <v>162</v>
      </c>
      <c r="D165" s="3">
        <f>ROUND(Data!AC165*$B$3,2)</f>
        <v>19413.79</v>
      </c>
      <c r="E165" s="3">
        <f>MAX(0,Data!AF165-Data!Y165)</f>
        <v>12158.32</v>
      </c>
      <c r="F165" s="3">
        <f>Data!Y165</f>
        <v>43750.91</v>
      </c>
      <c r="G165" s="3">
        <f>Data!X165</f>
        <v>4004.15</v>
      </c>
      <c r="H165" s="3">
        <f>Data!K165+Data!R165</f>
        <v>0</v>
      </c>
      <c r="I165" s="3">
        <f>Data!I165+Data!L165+Data!M165+Data!N165+Data!O165+Data!S165</f>
        <v>0</v>
      </c>
      <c r="J165" s="3">
        <f>Data!Q165</f>
        <v>0</v>
      </c>
      <c r="K165" s="3">
        <f>Data!J165+Data!P165</f>
        <v>-8000</v>
      </c>
      <c r="L165" s="3">
        <f>Data!T165</f>
        <v>0</v>
      </c>
      <c r="M165" s="3">
        <f>ROUND(Data!AD165*$B$3,2)</f>
        <v>7879.73</v>
      </c>
      <c r="N165" s="3">
        <f>Data!U165</f>
        <v>0</v>
      </c>
      <c r="O165" s="3">
        <f t="shared" si="7"/>
        <v>79206.899999999994</v>
      </c>
      <c r="P165" s="3">
        <f t="shared" si="8"/>
        <v>71327.17</v>
      </c>
      <c r="Q165" s="3">
        <f t="shared" si="9"/>
        <v>7879.73</v>
      </c>
    </row>
    <row r="166" spans="1:17" x14ac:dyDescent="0.2">
      <c r="A166" s="18">
        <v>518</v>
      </c>
      <c r="B166" s="18">
        <v>1</v>
      </c>
      <c r="C166" s="3" t="s">
        <v>163</v>
      </c>
      <c r="D166" s="3">
        <f>ROUND(Data!AC166*$B$3,2)</f>
        <v>219304.04</v>
      </c>
      <c r="E166" s="3">
        <f>MAX(0,Data!AF166-Data!Y166)</f>
        <v>713290.82000000007</v>
      </c>
      <c r="F166" s="3">
        <f>Data!Y166</f>
        <v>75872.61</v>
      </c>
      <c r="G166" s="3">
        <f>Data!X166</f>
        <v>0</v>
      </c>
      <c r="H166" s="3">
        <f>Data!K166+Data!R166</f>
        <v>46667.44</v>
      </c>
      <c r="I166" s="3">
        <f>Data!I166+Data!L166+Data!M166+Data!N166+Data!O166+Data!S166</f>
        <v>0</v>
      </c>
      <c r="J166" s="3">
        <f>Data!Q166</f>
        <v>0</v>
      </c>
      <c r="K166" s="3">
        <f>Data!J166+Data!P166</f>
        <v>3703.7700000000004</v>
      </c>
      <c r="L166" s="3">
        <f>Data!T166</f>
        <v>0</v>
      </c>
      <c r="M166" s="3">
        <f>ROUND(Data!AD166*$B$3,2)</f>
        <v>78537.25</v>
      </c>
      <c r="N166" s="3">
        <f>Data!U166</f>
        <v>0</v>
      </c>
      <c r="O166" s="3">
        <f t="shared" si="7"/>
        <v>1137375.9300000002</v>
      </c>
      <c r="P166" s="3">
        <f t="shared" si="8"/>
        <v>1058838.6800000002</v>
      </c>
      <c r="Q166" s="3">
        <f t="shared" si="9"/>
        <v>78537.25</v>
      </c>
    </row>
    <row r="167" spans="1:17" x14ac:dyDescent="0.2">
      <c r="A167" s="18">
        <v>531</v>
      </c>
      <c r="B167" s="18">
        <v>1</v>
      </c>
      <c r="C167" s="3" t="s">
        <v>164</v>
      </c>
      <c r="D167" s="3">
        <f>ROUND(Data!AC167*$B$3,2)</f>
        <v>252108.35</v>
      </c>
      <c r="E167" s="3">
        <f>MAX(0,Data!AF167-Data!Y167)</f>
        <v>31674.539999999994</v>
      </c>
      <c r="F167" s="3">
        <f>Data!Y167</f>
        <v>45629.11</v>
      </c>
      <c r="G167" s="3">
        <f>Data!X167</f>
        <v>0</v>
      </c>
      <c r="H167" s="3">
        <f>Data!K167+Data!R167</f>
        <v>28256</v>
      </c>
      <c r="I167" s="3">
        <f>Data!I167+Data!L167+Data!M167+Data!N167+Data!O167+Data!S167</f>
        <v>0</v>
      </c>
      <c r="J167" s="3">
        <f>Data!Q167</f>
        <v>0</v>
      </c>
      <c r="K167" s="3">
        <f>Data!J167+Data!P167</f>
        <v>-974.46</v>
      </c>
      <c r="L167" s="3">
        <f>Data!T167</f>
        <v>0</v>
      </c>
      <c r="M167" s="3">
        <f>ROUND(Data!AD167*$B$3,2)</f>
        <v>42475.91</v>
      </c>
      <c r="N167" s="3">
        <f>Data!U167</f>
        <v>0</v>
      </c>
      <c r="O167" s="3">
        <f t="shared" si="7"/>
        <v>399169.44999999995</v>
      </c>
      <c r="P167" s="3">
        <f t="shared" si="8"/>
        <v>356693.54</v>
      </c>
      <c r="Q167" s="3">
        <f t="shared" si="9"/>
        <v>42475.91</v>
      </c>
    </row>
    <row r="168" spans="1:17" x14ac:dyDescent="0.2">
      <c r="A168" s="18">
        <v>533</v>
      </c>
      <c r="B168" s="18">
        <v>1</v>
      </c>
      <c r="C168" s="3" t="s">
        <v>165</v>
      </c>
      <c r="D168" s="3">
        <f>ROUND(Data!AC168*$B$3,2)</f>
        <v>181090.56</v>
      </c>
      <c r="E168" s="3">
        <f>MAX(0,Data!AF168-Data!Y168)</f>
        <v>33807.620000000003</v>
      </c>
      <c r="F168" s="3">
        <f>Data!Y168</f>
        <v>0</v>
      </c>
      <c r="G168" s="3">
        <f>Data!X168</f>
        <v>0</v>
      </c>
      <c r="H168" s="3">
        <f>Data!K168+Data!R168</f>
        <v>16849.57</v>
      </c>
      <c r="I168" s="3">
        <f>Data!I168+Data!L168+Data!M168+Data!N168+Data!O168+Data!S168</f>
        <v>0</v>
      </c>
      <c r="J168" s="3">
        <f>Data!Q168</f>
        <v>0</v>
      </c>
      <c r="K168" s="3">
        <f>Data!J168+Data!P168</f>
        <v>-4565.8999999999996</v>
      </c>
      <c r="L168" s="3">
        <f>Data!T168</f>
        <v>0</v>
      </c>
      <c r="M168" s="3">
        <f>ROUND(Data!AD168*$B$3,2)</f>
        <v>9505.67</v>
      </c>
      <c r="N168" s="3">
        <f>Data!U168</f>
        <v>0</v>
      </c>
      <c r="O168" s="3">
        <f t="shared" si="7"/>
        <v>236687.52000000002</v>
      </c>
      <c r="P168" s="3">
        <f t="shared" si="8"/>
        <v>227181.85</v>
      </c>
      <c r="Q168" s="3">
        <f t="shared" si="9"/>
        <v>9505.67</v>
      </c>
    </row>
    <row r="169" spans="1:17" x14ac:dyDescent="0.2">
      <c r="A169" s="18">
        <v>534</v>
      </c>
      <c r="B169" s="18">
        <v>1</v>
      </c>
      <c r="C169" s="3" t="s">
        <v>166</v>
      </c>
      <c r="D169" s="3">
        <f>ROUND(Data!AC169*$B$3,2)</f>
        <v>418764.79</v>
      </c>
      <c r="E169" s="3">
        <f>MAX(0,Data!AF169-Data!Y169)</f>
        <v>454335.69</v>
      </c>
      <c r="F169" s="3">
        <f>Data!Y169</f>
        <v>67031.990000000005</v>
      </c>
      <c r="G169" s="3">
        <f>Data!X169</f>
        <v>13095.74</v>
      </c>
      <c r="H169" s="3">
        <f>Data!K169+Data!R169</f>
        <v>31660</v>
      </c>
      <c r="I169" s="3">
        <f>Data!I169+Data!L169+Data!M169+Data!N169+Data!O169+Data!S169</f>
        <v>0</v>
      </c>
      <c r="J169" s="3">
        <f>Data!Q169</f>
        <v>0</v>
      </c>
      <c r="K169" s="3">
        <f>Data!J169+Data!P169</f>
        <v>29684.32</v>
      </c>
      <c r="L169" s="3">
        <f>Data!T169</f>
        <v>0</v>
      </c>
      <c r="M169" s="3">
        <f>ROUND(Data!AD169*$B$3,2)</f>
        <v>54200.66</v>
      </c>
      <c r="N169" s="3">
        <f>Data!U169</f>
        <v>0</v>
      </c>
      <c r="O169" s="3">
        <f t="shared" si="7"/>
        <v>1068773.19</v>
      </c>
      <c r="P169" s="3">
        <f t="shared" si="8"/>
        <v>1014572.5299999999</v>
      </c>
      <c r="Q169" s="3">
        <f t="shared" si="9"/>
        <v>54200.66</v>
      </c>
    </row>
    <row r="170" spans="1:17" x14ac:dyDescent="0.2">
      <c r="A170" s="18">
        <v>535</v>
      </c>
      <c r="B170" s="18">
        <v>1</v>
      </c>
      <c r="C170" s="3" t="s">
        <v>167</v>
      </c>
      <c r="D170" s="3">
        <f>ROUND(Data!AC170*$B$3,2)</f>
        <v>8272998.2300000004</v>
      </c>
      <c r="E170" s="3">
        <f>MAX(0,Data!AF170-Data!Y170)</f>
        <v>2644782.2599999998</v>
      </c>
      <c r="F170" s="3">
        <f>Data!Y170</f>
        <v>1455888.91</v>
      </c>
      <c r="G170" s="3">
        <f>Data!X170</f>
        <v>317690.53999999998</v>
      </c>
      <c r="H170" s="3">
        <f>Data!K170+Data!R170</f>
        <v>258384.65000000002</v>
      </c>
      <c r="I170" s="3">
        <f>Data!I170+Data!L170+Data!M170+Data!N170+Data!O170+Data!S170</f>
        <v>0</v>
      </c>
      <c r="J170" s="3">
        <f>Data!Q170</f>
        <v>0</v>
      </c>
      <c r="K170" s="3">
        <f>Data!J170+Data!P170</f>
        <v>229392.71</v>
      </c>
      <c r="L170" s="3">
        <f>Data!T170</f>
        <v>0</v>
      </c>
      <c r="M170" s="3">
        <f>ROUND(Data!AD170*$B$3,2)</f>
        <v>813458.05</v>
      </c>
      <c r="N170" s="3">
        <f>Data!U170</f>
        <v>0</v>
      </c>
      <c r="O170" s="3">
        <f t="shared" si="7"/>
        <v>13992595.350000001</v>
      </c>
      <c r="P170" s="3">
        <f t="shared" si="8"/>
        <v>13179137.300000001</v>
      </c>
      <c r="Q170" s="3">
        <f t="shared" si="9"/>
        <v>813458.05</v>
      </c>
    </row>
    <row r="171" spans="1:17" x14ac:dyDescent="0.2">
      <c r="A171" s="18">
        <v>542</v>
      </c>
      <c r="B171" s="18">
        <v>1</v>
      </c>
      <c r="C171" s="3" t="s">
        <v>168</v>
      </c>
      <c r="D171" s="3">
        <f>ROUND(Data!AC171*$B$3,2)</f>
        <v>162860.48000000001</v>
      </c>
      <c r="E171" s="3">
        <f>MAX(0,Data!AF171-Data!Y171)</f>
        <v>0</v>
      </c>
      <c r="F171" s="3">
        <f>Data!Y171</f>
        <v>0</v>
      </c>
      <c r="G171" s="3">
        <f>Data!X171</f>
        <v>0</v>
      </c>
      <c r="H171" s="3">
        <f>Data!K171+Data!R171</f>
        <v>15455.13</v>
      </c>
      <c r="I171" s="3">
        <f>Data!I171+Data!L171+Data!M171+Data!N171+Data!O171+Data!S171</f>
        <v>0</v>
      </c>
      <c r="J171" s="3">
        <f>Data!Q171</f>
        <v>0</v>
      </c>
      <c r="K171" s="3">
        <f>Data!J171+Data!P171</f>
        <v>-42.970000000000027</v>
      </c>
      <c r="L171" s="3">
        <f>Data!T171</f>
        <v>0</v>
      </c>
      <c r="M171" s="3">
        <f>ROUND(Data!AD171*$B$3,2)</f>
        <v>29679.85</v>
      </c>
      <c r="N171" s="3">
        <f>Data!U171</f>
        <v>0</v>
      </c>
      <c r="O171" s="3">
        <f t="shared" si="7"/>
        <v>207952.49000000002</v>
      </c>
      <c r="P171" s="3">
        <f t="shared" si="8"/>
        <v>178272.64000000001</v>
      </c>
      <c r="Q171" s="3">
        <f t="shared" si="9"/>
        <v>29679.85</v>
      </c>
    </row>
    <row r="172" spans="1:17" x14ac:dyDescent="0.2">
      <c r="A172" s="18">
        <v>544</v>
      </c>
      <c r="B172" s="18">
        <v>1</v>
      </c>
      <c r="C172" s="3" t="s">
        <v>169</v>
      </c>
      <c r="D172" s="3">
        <f>ROUND(Data!AC172*$B$3,2)</f>
        <v>843075.52</v>
      </c>
      <c r="E172" s="3">
        <f>MAX(0,Data!AF172-Data!Y172)</f>
        <v>328144.82</v>
      </c>
      <c r="F172" s="3">
        <f>Data!Y172</f>
        <v>194521.26</v>
      </c>
      <c r="G172" s="3">
        <f>Data!X172</f>
        <v>0</v>
      </c>
      <c r="H172" s="3">
        <f>Data!K172+Data!R172</f>
        <v>64625.31</v>
      </c>
      <c r="I172" s="3">
        <f>Data!I172+Data!L172+Data!M172+Data!N172+Data!O172+Data!S172</f>
        <v>0</v>
      </c>
      <c r="J172" s="3">
        <f>Data!Q172</f>
        <v>0</v>
      </c>
      <c r="K172" s="3">
        <f>Data!J172+Data!P172</f>
        <v>48549.72</v>
      </c>
      <c r="L172" s="3">
        <f>Data!T172</f>
        <v>0</v>
      </c>
      <c r="M172" s="3">
        <f>ROUND(Data!AD172*$B$3,2)</f>
        <v>106829.46</v>
      </c>
      <c r="N172" s="3">
        <f>Data!U172</f>
        <v>0</v>
      </c>
      <c r="O172" s="3">
        <f t="shared" si="7"/>
        <v>1585746.09</v>
      </c>
      <c r="P172" s="3">
        <f t="shared" si="8"/>
        <v>1478916.6300000001</v>
      </c>
      <c r="Q172" s="3">
        <f t="shared" si="9"/>
        <v>106829.46</v>
      </c>
    </row>
    <row r="173" spans="1:17" x14ac:dyDescent="0.2">
      <c r="A173" s="18">
        <v>545</v>
      </c>
      <c r="B173" s="18">
        <v>1</v>
      </c>
      <c r="C173" s="3" t="s">
        <v>170</v>
      </c>
      <c r="D173" s="3">
        <f>ROUND(Data!AC173*$B$3,2)</f>
        <v>98858.33</v>
      </c>
      <c r="E173" s="3">
        <f>MAX(0,Data!AF173-Data!Y173)</f>
        <v>180871.58</v>
      </c>
      <c r="F173" s="3">
        <f>Data!Y173</f>
        <v>37137.35</v>
      </c>
      <c r="G173" s="3">
        <f>Data!X173</f>
        <v>0</v>
      </c>
      <c r="H173" s="3">
        <f>Data!K173+Data!R173</f>
        <v>7850</v>
      </c>
      <c r="I173" s="3">
        <f>Data!I173+Data!L173+Data!M173+Data!N173+Data!O173+Data!S173</f>
        <v>0</v>
      </c>
      <c r="J173" s="3">
        <f>Data!Q173</f>
        <v>0</v>
      </c>
      <c r="K173" s="3">
        <f>Data!J173+Data!P173</f>
        <v>3355.45</v>
      </c>
      <c r="L173" s="3">
        <f>Data!T173</f>
        <v>0</v>
      </c>
      <c r="M173" s="3">
        <f>ROUND(Data!AD173*$B$3,2)</f>
        <v>20273.68</v>
      </c>
      <c r="N173" s="3">
        <f>Data!U173</f>
        <v>0</v>
      </c>
      <c r="O173" s="3">
        <f t="shared" si="7"/>
        <v>348346.38999999996</v>
      </c>
      <c r="P173" s="3">
        <f t="shared" si="8"/>
        <v>328072.70999999996</v>
      </c>
      <c r="Q173" s="3">
        <f t="shared" si="9"/>
        <v>20273.68</v>
      </c>
    </row>
    <row r="174" spans="1:17" x14ac:dyDescent="0.2">
      <c r="A174" s="18">
        <v>547</v>
      </c>
      <c r="B174" s="18">
        <v>1</v>
      </c>
      <c r="C174" s="3" t="s">
        <v>171</v>
      </c>
      <c r="D174" s="3">
        <f>ROUND(Data!AC174*$B$3,2)</f>
        <v>65939.44</v>
      </c>
      <c r="E174" s="3">
        <f>MAX(0,Data!AF174-Data!Y174)</f>
        <v>237103.88</v>
      </c>
      <c r="F174" s="3">
        <f>Data!Y174</f>
        <v>24144.3</v>
      </c>
      <c r="G174" s="3">
        <f>Data!X174</f>
        <v>0</v>
      </c>
      <c r="H174" s="3">
        <f>Data!K174+Data!R174</f>
        <v>18089.939999999999</v>
      </c>
      <c r="I174" s="3">
        <f>Data!I174+Data!L174+Data!M174+Data!N174+Data!O174+Data!S174</f>
        <v>0</v>
      </c>
      <c r="J174" s="3">
        <f>Data!Q174</f>
        <v>0</v>
      </c>
      <c r="K174" s="3">
        <f>Data!J174+Data!P174</f>
        <v>500</v>
      </c>
      <c r="L174" s="3">
        <f>Data!T174</f>
        <v>0</v>
      </c>
      <c r="M174" s="3">
        <f>ROUND(Data!AD174*$B$3,2)</f>
        <v>27648.23</v>
      </c>
      <c r="N174" s="3">
        <f>Data!U174</f>
        <v>0</v>
      </c>
      <c r="O174" s="3">
        <f t="shared" si="7"/>
        <v>373425.79</v>
      </c>
      <c r="P174" s="3">
        <f t="shared" si="8"/>
        <v>345777.56</v>
      </c>
      <c r="Q174" s="3">
        <f t="shared" si="9"/>
        <v>27648.23</v>
      </c>
    </row>
    <row r="175" spans="1:17" x14ac:dyDescent="0.2">
      <c r="A175" s="18">
        <v>548</v>
      </c>
      <c r="B175" s="18">
        <v>1</v>
      </c>
      <c r="C175" s="3" t="s">
        <v>172</v>
      </c>
      <c r="D175" s="3">
        <f>ROUND(Data!AC175*$B$3,2)</f>
        <v>232593.22</v>
      </c>
      <c r="E175" s="3">
        <f>MAX(0,Data!AF175-Data!Y175)</f>
        <v>0</v>
      </c>
      <c r="F175" s="3">
        <f>Data!Y175</f>
        <v>0</v>
      </c>
      <c r="G175" s="3">
        <f>Data!X175</f>
        <v>0</v>
      </c>
      <c r="H175" s="3">
        <f>Data!K175+Data!R175</f>
        <v>22937.57</v>
      </c>
      <c r="I175" s="3">
        <f>Data!I175+Data!L175+Data!M175+Data!N175+Data!O175+Data!S175</f>
        <v>0</v>
      </c>
      <c r="J175" s="3">
        <f>Data!Q175</f>
        <v>0</v>
      </c>
      <c r="K175" s="3">
        <f>Data!J175+Data!P175</f>
        <v>8650.49</v>
      </c>
      <c r="L175" s="3">
        <f>Data!T175</f>
        <v>0</v>
      </c>
      <c r="M175" s="3">
        <f>ROUND(Data!AD175*$B$3,2)</f>
        <v>51277.45</v>
      </c>
      <c r="N175" s="3">
        <f>Data!U175</f>
        <v>0</v>
      </c>
      <c r="O175" s="3">
        <f t="shared" si="7"/>
        <v>315458.73000000004</v>
      </c>
      <c r="P175" s="3">
        <f t="shared" si="8"/>
        <v>264181.28000000003</v>
      </c>
      <c r="Q175" s="3">
        <f t="shared" si="9"/>
        <v>51277.45</v>
      </c>
    </row>
    <row r="176" spans="1:17" x14ac:dyDescent="0.2">
      <c r="A176" s="18">
        <v>549</v>
      </c>
      <c r="B176" s="18">
        <v>1</v>
      </c>
      <c r="C176" s="3" t="s">
        <v>173</v>
      </c>
      <c r="D176" s="3">
        <f>ROUND(Data!AC176*$B$3,2)</f>
        <v>447649.69</v>
      </c>
      <c r="E176" s="3">
        <f>MAX(0,Data!AF176-Data!Y176)</f>
        <v>0</v>
      </c>
      <c r="F176" s="3">
        <f>Data!Y176</f>
        <v>134947.70000000001</v>
      </c>
      <c r="G176" s="3">
        <f>Data!X176</f>
        <v>0</v>
      </c>
      <c r="H176" s="3">
        <f>Data!K176+Data!R176</f>
        <v>34988.800000000003</v>
      </c>
      <c r="I176" s="3">
        <f>Data!I176+Data!L176+Data!M176+Data!N176+Data!O176+Data!S176</f>
        <v>0</v>
      </c>
      <c r="J176" s="3">
        <f>Data!Q176</f>
        <v>0</v>
      </c>
      <c r="K176" s="3">
        <f>Data!J176+Data!P176</f>
        <v>82932.260000000009</v>
      </c>
      <c r="L176" s="3">
        <f>Data!T176</f>
        <v>0</v>
      </c>
      <c r="M176" s="3">
        <f>ROUND(Data!AD176*$B$3,2)</f>
        <v>66163.199999999997</v>
      </c>
      <c r="N176" s="3">
        <f>Data!U176</f>
        <v>0</v>
      </c>
      <c r="O176" s="3">
        <f t="shared" si="7"/>
        <v>766681.65</v>
      </c>
      <c r="P176" s="3">
        <f t="shared" si="8"/>
        <v>700518.45000000007</v>
      </c>
      <c r="Q176" s="3">
        <f t="shared" si="9"/>
        <v>66163.199999999997</v>
      </c>
    </row>
    <row r="177" spans="1:17" x14ac:dyDescent="0.2">
      <c r="A177" s="18">
        <v>550</v>
      </c>
      <c r="B177" s="18">
        <v>1</v>
      </c>
      <c r="C177" s="3" t="s">
        <v>174</v>
      </c>
      <c r="D177" s="3">
        <f>ROUND(Data!AC177*$B$3,2)</f>
        <v>50779.83</v>
      </c>
      <c r="E177" s="3">
        <f>MAX(0,Data!AF177-Data!Y177)</f>
        <v>0</v>
      </c>
      <c r="F177" s="3">
        <f>Data!Y177</f>
        <v>11066.56</v>
      </c>
      <c r="G177" s="3">
        <f>Data!X177</f>
        <v>0</v>
      </c>
      <c r="H177" s="3">
        <f>Data!K177+Data!R177</f>
        <v>10000</v>
      </c>
      <c r="I177" s="3">
        <f>Data!I177+Data!L177+Data!M177+Data!N177+Data!O177+Data!S177</f>
        <v>0</v>
      </c>
      <c r="J177" s="3">
        <f>Data!Q177</f>
        <v>0</v>
      </c>
      <c r="K177" s="3">
        <f>Data!J177+Data!P177</f>
        <v>2162.83</v>
      </c>
      <c r="L177" s="3">
        <f>Data!T177</f>
        <v>0</v>
      </c>
      <c r="M177" s="3">
        <f>ROUND(Data!AD177*$B$3,2)</f>
        <v>14961.54</v>
      </c>
      <c r="N177" s="3">
        <f>Data!U177</f>
        <v>0</v>
      </c>
      <c r="O177" s="3">
        <f t="shared" si="7"/>
        <v>88970.760000000009</v>
      </c>
      <c r="P177" s="3">
        <f t="shared" si="8"/>
        <v>74009.22</v>
      </c>
      <c r="Q177" s="3">
        <f t="shared" si="9"/>
        <v>14961.54</v>
      </c>
    </row>
    <row r="178" spans="1:17" x14ac:dyDescent="0.2">
      <c r="A178" s="18">
        <v>553</v>
      </c>
      <c r="B178" s="18">
        <v>1</v>
      </c>
      <c r="C178" s="3" t="s">
        <v>175</v>
      </c>
      <c r="D178" s="3">
        <f>ROUND(Data!AC178*$B$3,2)</f>
        <v>52387.17</v>
      </c>
      <c r="E178" s="3">
        <f>MAX(0,Data!AF178-Data!Y178)</f>
        <v>58816.429999999993</v>
      </c>
      <c r="F178" s="3">
        <f>Data!Y178</f>
        <v>19531.990000000002</v>
      </c>
      <c r="G178" s="3">
        <f>Data!X178</f>
        <v>0</v>
      </c>
      <c r="H178" s="3">
        <f>Data!K178+Data!R178</f>
        <v>23150.959999999999</v>
      </c>
      <c r="I178" s="3">
        <f>Data!I178+Data!L178+Data!M178+Data!N178+Data!O178+Data!S178</f>
        <v>0</v>
      </c>
      <c r="J178" s="3">
        <f>Data!Q178</f>
        <v>0</v>
      </c>
      <c r="K178" s="3">
        <f>Data!J178+Data!P178</f>
        <v>10341.24</v>
      </c>
      <c r="L178" s="3">
        <f>Data!T178</f>
        <v>0</v>
      </c>
      <c r="M178" s="3">
        <f>ROUND(Data!AD178*$B$3,2)</f>
        <v>19144.77</v>
      </c>
      <c r="N178" s="3">
        <f>Data!U178</f>
        <v>0</v>
      </c>
      <c r="O178" s="3">
        <f t="shared" si="7"/>
        <v>183372.55999999997</v>
      </c>
      <c r="P178" s="3">
        <f t="shared" si="8"/>
        <v>164227.78999999998</v>
      </c>
      <c r="Q178" s="3">
        <f t="shared" si="9"/>
        <v>19144.77</v>
      </c>
    </row>
    <row r="179" spans="1:17" x14ac:dyDescent="0.2">
      <c r="A179" s="18">
        <v>561</v>
      </c>
      <c r="B179" s="18">
        <v>1</v>
      </c>
      <c r="C179" s="3" t="s">
        <v>176</v>
      </c>
      <c r="D179" s="3">
        <f>ROUND(Data!AC179*$B$3,2)</f>
        <v>22275.83</v>
      </c>
      <c r="E179" s="3">
        <f>MAX(0,Data!AF179-Data!Y179)</f>
        <v>44677.479999999996</v>
      </c>
      <c r="F179" s="3">
        <f>Data!Y179</f>
        <v>11548.19</v>
      </c>
      <c r="G179" s="3">
        <f>Data!X179</f>
        <v>0</v>
      </c>
      <c r="H179" s="3">
        <f>Data!K179+Data!R179</f>
        <v>0</v>
      </c>
      <c r="I179" s="3">
        <f>Data!I179+Data!L179+Data!M179+Data!N179+Data!O179+Data!S179</f>
        <v>0</v>
      </c>
      <c r="J179" s="3">
        <f>Data!Q179</f>
        <v>0</v>
      </c>
      <c r="K179" s="3">
        <f>Data!J179+Data!P179</f>
        <v>42.639999999999986</v>
      </c>
      <c r="L179" s="3">
        <f>Data!T179</f>
        <v>0</v>
      </c>
      <c r="M179" s="3">
        <f>ROUND(Data!AD179*$B$3,2)</f>
        <v>6009.59</v>
      </c>
      <c r="N179" s="3">
        <f>Data!U179</f>
        <v>0</v>
      </c>
      <c r="O179" s="3">
        <f t="shared" si="7"/>
        <v>84553.73</v>
      </c>
      <c r="P179" s="3">
        <f t="shared" si="8"/>
        <v>78544.14</v>
      </c>
      <c r="Q179" s="3">
        <f t="shared" si="9"/>
        <v>6009.59</v>
      </c>
    </row>
    <row r="180" spans="1:17" x14ac:dyDescent="0.2">
      <c r="A180" s="18">
        <v>564</v>
      </c>
      <c r="B180" s="18">
        <v>1</v>
      </c>
      <c r="C180" s="3" t="s">
        <v>177</v>
      </c>
      <c r="D180" s="3">
        <f>ROUND(Data!AC180*$B$3,2)</f>
        <v>423838.17</v>
      </c>
      <c r="E180" s="3">
        <f>MAX(0,Data!AF180-Data!Y180)</f>
        <v>367222.16</v>
      </c>
      <c r="F180" s="3">
        <f>Data!Y180</f>
        <v>76655.520000000004</v>
      </c>
      <c r="G180" s="3">
        <f>Data!X180</f>
        <v>0</v>
      </c>
      <c r="H180" s="3">
        <f>Data!K180+Data!R180</f>
        <v>43293.38</v>
      </c>
      <c r="I180" s="3">
        <f>Data!I180+Data!L180+Data!M180+Data!N180+Data!O180+Data!S180</f>
        <v>0</v>
      </c>
      <c r="J180" s="3">
        <f>Data!Q180</f>
        <v>0</v>
      </c>
      <c r="K180" s="3">
        <f>Data!J180+Data!P180</f>
        <v>43046.02</v>
      </c>
      <c r="L180" s="3">
        <f>Data!T180</f>
        <v>0</v>
      </c>
      <c r="M180" s="3">
        <f>ROUND(Data!AD180*$B$3,2)</f>
        <v>55817.78</v>
      </c>
      <c r="N180" s="3">
        <f>Data!U180</f>
        <v>0</v>
      </c>
      <c r="O180" s="3">
        <f t="shared" si="7"/>
        <v>1009873.03</v>
      </c>
      <c r="P180" s="3">
        <f t="shared" si="8"/>
        <v>954055.25</v>
      </c>
      <c r="Q180" s="3">
        <f t="shared" si="9"/>
        <v>55817.78</v>
      </c>
    </row>
    <row r="181" spans="1:17" x14ac:dyDescent="0.2">
      <c r="A181" s="18">
        <v>577</v>
      </c>
      <c r="B181" s="18">
        <v>1</v>
      </c>
      <c r="C181" s="3" t="s">
        <v>178</v>
      </c>
      <c r="D181" s="3">
        <f>ROUND(Data!AC181*$B$3,2)</f>
        <v>124206.81</v>
      </c>
      <c r="E181" s="3">
        <f>MAX(0,Data!AF181-Data!Y181)</f>
        <v>4735.4900000000016</v>
      </c>
      <c r="F181" s="3">
        <f>Data!Y181</f>
        <v>20976.46</v>
      </c>
      <c r="G181" s="3">
        <f>Data!X181</f>
        <v>0</v>
      </c>
      <c r="H181" s="3">
        <f>Data!K181+Data!R181</f>
        <v>10000</v>
      </c>
      <c r="I181" s="3">
        <f>Data!I181+Data!L181+Data!M181+Data!N181+Data!O181+Data!S181</f>
        <v>0</v>
      </c>
      <c r="J181" s="3">
        <f>Data!Q181</f>
        <v>0</v>
      </c>
      <c r="K181" s="3">
        <f>Data!J181+Data!P181</f>
        <v>21599.040000000001</v>
      </c>
      <c r="L181" s="3">
        <f>Data!T181</f>
        <v>0</v>
      </c>
      <c r="M181" s="3">
        <f>ROUND(Data!AD181*$B$3,2)</f>
        <v>18890.64</v>
      </c>
      <c r="N181" s="3">
        <f>Data!U181</f>
        <v>0</v>
      </c>
      <c r="O181" s="3">
        <f t="shared" si="7"/>
        <v>200408.44</v>
      </c>
      <c r="P181" s="3">
        <f t="shared" si="8"/>
        <v>181517.80000000002</v>
      </c>
      <c r="Q181" s="3">
        <f t="shared" si="9"/>
        <v>18890.64</v>
      </c>
    </row>
    <row r="182" spans="1:17" x14ac:dyDescent="0.2">
      <c r="A182" s="18">
        <v>578</v>
      </c>
      <c r="B182" s="18">
        <v>1</v>
      </c>
      <c r="C182" s="3" t="s">
        <v>179</v>
      </c>
      <c r="D182" s="3">
        <f>ROUND(Data!AC182*$B$3,2)</f>
        <v>344022.86</v>
      </c>
      <c r="E182" s="3">
        <f>MAX(0,Data!AF182-Data!Y182)</f>
        <v>554293.27</v>
      </c>
      <c r="F182" s="3">
        <f>Data!Y182</f>
        <v>95310.14</v>
      </c>
      <c r="G182" s="3">
        <f>Data!X182</f>
        <v>0</v>
      </c>
      <c r="H182" s="3">
        <f>Data!K182+Data!R182</f>
        <v>31078.400000000001</v>
      </c>
      <c r="I182" s="3">
        <f>Data!I182+Data!L182+Data!M182+Data!N182+Data!O182+Data!S182</f>
        <v>0</v>
      </c>
      <c r="J182" s="3">
        <f>Data!Q182</f>
        <v>-349.06</v>
      </c>
      <c r="K182" s="3">
        <f>Data!J182+Data!P182</f>
        <v>18936.75</v>
      </c>
      <c r="L182" s="3">
        <f>Data!T182</f>
        <v>0</v>
      </c>
      <c r="M182" s="3">
        <f>ROUND(Data!AD182*$B$3,2)</f>
        <v>64311.82</v>
      </c>
      <c r="N182" s="3">
        <f>Data!U182</f>
        <v>0</v>
      </c>
      <c r="O182" s="3">
        <f t="shared" si="7"/>
        <v>1107604.18</v>
      </c>
      <c r="P182" s="3">
        <f t="shared" si="8"/>
        <v>1043292.36</v>
      </c>
      <c r="Q182" s="3">
        <f t="shared" si="9"/>
        <v>64311.82</v>
      </c>
    </row>
    <row r="183" spans="1:17" x14ac:dyDescent="0.2">
      <c r="A183" s="18">
        <v>581</v>
      </c>
      <c r="B183" s="18">
        <v>1</v>
      </c>
      <c r="C183" s="3" t="s">
        <v>180</v>
      </c>
      <c r="D183" s="3">
        <f>ROUND(Data!AC183*$B$3,2)</f>
        <v>77229.23</v>
      </c>
      <c r="E183" s="3">
        <f>MAX(0,Data!AF183-Data!Y183)</f>
        <v>74216.31</v>
      </c>
      <c r="F183" s="3">
        <f>Data!Y183</f>
        <v>52073.1</v>
      </c>
      <c r="G183" s="3">
        <f>Data!X183</f>
        <v>2335.4899999999998</v>
      </c>
      <c r="H183" s="3">
        <f>Data!K183+Data!R183</f>
        <v>10000</v>
      </c>
      <c r="I183" s="3">
        <f>Data!I183+Data!L183+Data!M183+Data!N183+Data!O183+Data!S183</f>
        <v>0</v>
      </c>
      <c r="J183" s="3">
        <f>Data!Q183</f>
        <v>0</v>
      </c>
      <c r="K183" s="3">
        <f>Data!J183+Data!P183</f>
        <v>-5000</v>
      </c>
      <c r="L183" s="3">
        <f>Data!T183</f>
        <v>0</v>
      </c>
      <c r="M183" s="3">
        <f>ROUND(Data!AD183*$B$3,2)</f>
        <v>15552.52</v>
      </c>
      <c r="N183" s="3">
        <f>Data!U183</f>
        <v>0</v>
      </c>
      <c r="O183" s="3">
        <f t="shared" si="7"/>
        <v>226406.64999999997</v>
      </c>
      <c r="P183" s="3">
        <f t="shared" si="8"/>
        <v>210854.12999999998</v>
      </c>
      <c r="Q183" s="3">
        <f t="shared" si="9"/>
        <v>15552.52</v>
      </c>
    </row>
    <row r="184" spans="1:17" x14ac:dyDescent="0.2">
      <c r="A184" s="18">
        <v>592</v>
      </c>
      <c r="B184" s="18">
        <v>1</v>
      </c>
      <c r="C184" s="3" t="s">
        <v>181</v>
      </c>
      <c r="D184" s="3">
        <f>ROUND(Data!AC184*$B$3,2)</f>
        <v>31051.11</v>
      </c>
      <c r="E184" s="3">
        <f>MAX(0,Data!AF184-Data!Y184)</f>
        <v>6928.0599999999977</v>
      </c>
      <c r="F184" s="3">
        <f>Data!Y184</f>
        <v>59852.66</v>
      </c>
      <c r="G184" s="3">
        <f>Data!X184</f>
        <v>0</v>
      </c>
      <c r="H184" s="3">
        <f>Data!K184+Data!R184</f>
        <v>10000</v>
      </c>
      <c r="I184" s="3">
        <f>Data!I184+Data!L184+Data!M184+Data!N184+Data!O184+Data!S184</f>
        <v>0</v>
      </c>
      <c r="J184" s="3">
        <f>Data!Q184</f>
        <v>0</v>
      </c>
      <c r="K184" s="3">
        <f>Data!J184+Data!P184</f>
        <v>17.6200000000008</v>
      </c>
      <c r="L184" s="3">
        <f>Data!T184</f>
        <v>0</v>
      </c>
      <c r="M184" s="3">
        <f>ROUND(Data!AD184*$B$3,2)</f>
        <v>5787.22</v>
      </c>
      <c r="N184" s="3">
        <f>Data!U184</f>
        <v>0</v>
      </c>
      <c r="O184" s="3">
        <f t="shared" si="7"/>
        <v>113636.67</v>
      </c>
      <c r="P184" s="3">
        <f t="shared" si="8"/>
        <v>107849.45</v>
      </c>
      <c r="Q184" s="3">
        <f t="shared" si="9"/>
        <v>5787.22</v>
      </c>
    </row>
    <row r="185" spans="1:17" x14ac:dyDescent="0.2">
      <c r="A185" s="18">
        <v>593</v>
      </c>
      <c r="B185" s="18">
        <v>1</v>
      </c>
      <c r="C185" s="3" t="s">
        <v>182</v>
      </c>
      <c r="D185" s="3">
        <f>ROUND(Data!AC185*$B$3,2)</f>
        <v>295885.15999999997</v>
      </c>
      <c r="E185" s="3">
        <f>MAX(0,Data!AF185-Data!Y185)</f>
        <v>215368.12</v>
      </c>
      <c r="F185" s="3">
        <f>Data!Y185</f>
        <v>0</v>
      </c>
      <c r="G185" s="3">
        <f>Data!X185</f>
        <v>0</v>
      </c>
      <c r="H185" s="3">
        <f>Data!K185+Data!R185</f>
        <v>36483.379999999997</v>
      </c>
      <c r="I185" s="3">
        <f>Data!I185+Data!L185+Data!M185+Data!N185+Data!O185+Data!S185</f>
        <v>0</v>
      </c>
      <c r="J185" s="3">
        <f>Data!Q185</f>
        <v>0</v>
      </c>
      <c r="K185" s="3">
        <f>Data!J185+Data!P185</f>
        <v>13778.680000000002</v>
      </c>
      <c r="L185" s="3">
        <f>Data!T185</f>
        <v>0</v>
      </c>
      <c r="M185" s="3">
        <f>ROUND(Data!AD185*$B$3,2)</f>
        <v>61997.8</v>
      </c>
      <c r="N185" s="3">
        <f>Data!U185</f>
        <v>0</v>
      </c>
      <c r="O185" s="3">
        <f t="shared" si="7"/>
        <v>623513.14</v>
      </c>
      <c r="P185" s="3">
        <f t="shared" si="8"/>
        <v>561515.34</v>
      </c>
      <c r="Q185" s="3">
        <f t="shared" si="9"/>
        <v>61997.8</v>
      </c>
    </row>
    <row r="186" spans="1:17" x14ac:dyDescent="0.2">
      <c r="A186" s="18">
        <v>595</v>
      </c>
      <c r="B186" s="18">
        <v>1</v>
      </c>
      <c r="C186" s="3" t="s">
        <v>183</v>
      </c>
      <c r="D186" s="3">
        <f>ROUND(Data!AC186*$B$3,2)</f>
        <v>295676.25</v>
      </c>
      <c r="E186" s="3">
        <f>MAX(0,Data!AF186-Data!Y186)</f>
        <v>345638.88</v>
      </c>
      <c r="F186" s="3">
        <f>Data!Y186</f>
        <v>0</v>
      </c>
      <c r="G186" s="3">
        <f>Data!X186</f>
        <v>0</v>
      </c>
      <c r="H186" s="3">
        <f>Data!K186+Data!R186</f>
        <v>46701.04</v>
      </c>
      <c r="I186" s="3">
        <f>Data!I186+Data!L186+Data!M186+Data!N186+Data!O186+Data!S186</f>
        <v>0</v>
      </c>
      <c r="J186" s="3">
        <f>Data!Q186</f>
        <v>0</v>
      </c>
      <c r="K186" s="3">
        <f>Data!J186+Data!P186</f>
        <v>-3926.3</v>
      </c>
      <c r="L186" s="3">
        <f>Data!T186</f>
        <v>0</v>
      </c>
      <c r="M186" s="3">
        <f>ROUND(Data!AD186*$B$3,2)</f>
        <v>53278.87</v>
      </c>
      <c r="N186" s="3">
        <f>Data!U186</f>
        <v>0</v>
      </c>
      <c r="O186" s="3">
        <f t="shared" si="7"/>
        <v>737368.74</v>
      </c>
      <c r="P186" s="3">
        <f t="shared" si="8"/>
        <v>684089.87</v>
      </c>
      <c r="Q186" s="3">
        <f t="shared" si="9"/>
        <v>53278.87</v>
      </c>
    </row>
    <row r="187" spans="1:17" x14ac:dyDescent="0.2">
      <c r="A187" s="18">
        <v>599</v>
      </c>
      <c r="B187" s="18">
        <v>1</v>
      </c>
      <c r="C187" s="3" t="s">
        <v>184</v>
      </c>
      <c r="D187" s="3">
        <f>ROUND(Data!AC187*$B$3,2)</f>
        <v>115641.2</v>
      </c>
      <c r="E187" s="3">
        <f>MAX(0,Data!AF187-Data!Y187)</f>
        <v>172683.17</v>
      </c>
      <c r="F187" s="3">
        <f>Data!Y187</f>
        <v>37537.56</v>
      </c>
      <c r="G187" s="3">
        <f>Data!X187</f>
        <v>0</v>
      </c>
      <c r="H187" s="3">
        <f>Data!K187+Data!R187</f>
        <v>17446.849999999999</v>
      </c>
      <c r="I187" s="3">
        <f>Data!I187+Data!L187+Data!M187+Data!N187+Data!O187+Data!S187</f>
        <v>0</v>
      </c>
      <c r="J187" s="3">
        <f>Data!Q187</f>
        <v>0</v>
      </c>
      <c r="K187" s="3">
        <f>Data!J187+Data!P187</f>
        <v>22.680000000000291</v>
      </c>
      <c r="L187" s="3">
        <f>Data!T187</f>
        <v>0</v>
      </c>
      <c r="M187" s="3">
        <f>ROUND(Data!AD187*$B$3,2)</f>
        <v>19140.11</v>
      </c>
      <c r="N187" s="3">
        <f>Data!U187</f>
        <v>0</v>
      </c>
      <c r="O187" s="3">
        <f t="shared" si="7"/>
        <v>362471.56999999995</v>
      </c>
      <c r="P187" s="3">
        <f t="shared" si="8"/>
        <v>343331.45999999996</v>
      </c>
      <c r="Q187" s="3">
        <f t="shared" si="9"/>
        <v>19140.11</v>
      </c>
    </row>
    <row r="188" spans="1:17" x14ac:dyDescent="0.2">
      <c r="A188" s="18">
        <v>600</v>
      </c>
      <c r="B188" s="18">
        <v>1</v>
      </c>
      <c r="C188" s="3" t="s">
        <v>185</v>
      </c>
      <c r="D188" s="3">
        <f>ROUND(Data!AC188*$B$3,2)</f>
        <v>49641.29</v>
      </c>
      <c r="E188" s="3">
        <f>MAX(0,Data!AF188-Data!Y188)</f>
        <v>0</v>
      </c>
      <c r="F188" s="3">
        <f>Data!Y188</f>
        <v>75126.47</v>
      </c>
      <c r="G188" s="3">
        <f>Data!X188</f>
        <v>0</v>
      </c>
      <c r="H188" s="3">
        <f>Data!K188+Data!R188</f>
        <v>10000</v>
      </c>
      <c r="I188" s="3">
        <f>Data!I188+Data!L188+Data!M188+Data!N188+Data!O188+Data!S188</f>
        <v>0</v>
      </c>
      <c r="J188" s="3">
        <f>Data!Q188</f>
        <v>-15576.03</v>
      </c>
      <c r="K188" s="3">
        <f>Data!J188+Data!P188</f>
        <v>15576.03</v>
      </c>
      <c r="L188" s="3">
        <f>Data!T188</f>
        <v>0</v>
      </c>
      <c r="M188" s="3">
        <f>ROUND(Data!AD188*$B$3,2)</f>
        <v>9239.8700000000008</v>
      </c>
      <c r="N188" s="3">
        <f>Data!U188</f>
        <v>0</v>
      </c>
      <c r="O188" s="3">
        <f t="shared" si="7"/>
        <v>144007.63</v>
      </c>
      <c r="P188" s="3">
        <f t="shared" si="8"/>
        <v>134767.76</v>
      </c>
      <c r="Q188" s="3">
        <f t="shared" si="9"/>
        <v>9239.8700000000008</v>
      </c>
    </row>
    <row r="189" spans="1:17" x14ac:dyDescent="0.2">
      <c r="A189" s="18">
        <v>601</v>
      </c>
      <c r="B189" s="18">
        <v>1</v>
      </c>
      <c r="C189" s="3" t="s">
        <v>186</v>
      </c>
      <c r="D189" s="3">
        <f>ROUND(Data!AC189*$B$3,2)</f>
        <v>131241.43</v>
      </c>
      <c r="E189" s="3">
        <f>MAX(0,Data!AF189-Data!Y189)</f>
        <v>102985.76999999999</v>
      </c>
      <c r="F189" s="3">
        <f>Data!Y189</f>
        <v>10280.629999999999</v>
      </c>
      <c r="G189" s="3">
        <f>Data!X189</f>
        <v>5949.94</v>
      </c>
      <c r="H189" s="3">
        <f>Data!K189+Data!R189</f>
        <v>17446.849999999999</v>
      </c>
      <c r="I189" s="3">
        <f>Data!I189+Data!L189+Data!M189+Data!N189+Data!O189+Data!S189</f>
        <v>0</v>
      </c>
      <c r="J189" s="3">
        <f>Data!Q189</f>
        <v>0</v>
      </c>
      <c r="K189" s="3">
        <f>Data!J189+Data!P189</f>
        <v>-2666.13</v>
      </c>
      <c r="L189" s="3">
        <f>Data!T189</f>
        <v>0</v>
      </c>
      <c r="M189" s="3">
        <f>ROUND(Data!AD189*$B$3,2)</f>
        <v>21009.97</v>
      </c>
      <c r="N189" s="3">
        <f>Data!U189</f>
        <v>0</v>
      </c>
      <c r="O189" s="3">
        <f t="shared" si="7"/>
        <v>286248.45999999996</v>
      </c>
      <c r="P189" s="3">
        <f t="shared" si="8"/>
        <v>265238.49</v>
      </c>
      <c r="Q189" s="3">
        <f t="shared" si="9"/>
        <v>21009.97</v>
      </c>
    </row>
    <row r="190" spans="1:17" x14ac:dyDescent="0.2">
      <c r="A190" s="18">
        <v>611</v>
      </c>
      <c r="B190" s="18">
        <v>1</v>
      </c>
      <c r="C190" s="3" t="s">
        <v>187</v>
      </c>
      <c r="D190" s="3">
        <f>ROUND(Data!AC190*$B$3,2)</f>
        <v>10629.31</v>
      </c>
      <c r="E190" s="3">
        <f>MAX(0,Data!AF190-Data!Y190)</f>
        <v>0</v>
      </c>
      <c r="F190" s="3">
        <f>Data!Y190</f>
        <v>23770.639999999999</v>
      </c>
      <c r="G190" s="3">
        <f>Data!X190</f>
        <v>0</v>
      </c>
      <c r="H190" s="3">
        <f>Data!K190+Data!R190</f>
        <v>0</v>
      </c>
      <c r="I190" s="3">
        <f>Data!I190+Data!L190+Data!M190+Data!N190+Data!O190+Data!S190</f>
        <v>0</v>
      </c>
      <c r="J190" s="3">
        <f>Data!Q190</f>
        <v>0</v>
      </c>
      <c r="K190" s="3">
        <f>Data!J190+Data!P190</f>
        <v>3000</v>
      </c>
      <c r="L190" s="3">
        <f>Data!T190</f>
        <v>0</v>
      </c>
      <c r="M190" s="3">
        <f>ROUND(Data!AD190*$B$3,2)</f>
        <v>8381.07</v>
      </c>
      <c r="N190" s="3">
        <f>Data!U190</f>
        <v>0</v>
      </c>
      <c r="O190" s="3">
        <f t="shared" si="7"/>
        <v>45781.02</v>
      </c>
      <c r="P190" s="3">
        <f t="shared" si="8"/>
        <v>37399.949999999997</v>
      </c>
      <c r="Q190" s="3">
        <f t="shared" si="9"/>
        <v>8381.07</v>
      </c>
    </row>
    <row r="191" spans="1:17" x14ac:dyDescent="0.2">
      <c r="A191" s="18">
        <v>621</v>
      </c>
      <c r="B191" s="18">
        <v>1</v>
      </c>
      <c r="C191" s="3" t="s">
        <v>188</v>
      </c>
      <c r="D191" s="3">
        <f>ROUND(Data!AC191*$B$3,2)</f>
        <v>3757031.66</v>
      </c>
      <c r="E191" s="3">
        <f>MAX(0,Data!AF191-Data!Y191)</f>
        <v>5966012.5899999999</v>
      </c>
      <c r="F191" s="3">
        <f>Data!Y191</f>
        <v>2472890.44</v>
      </c>
      <c r="G191" s="3">
        <f>Data!X191</f>
        <v>212864.42</v>
      </c>
      <c r="H191" s="3">
        <f>Data!K191+Data!R191</f>
        <v>191457.6</v>
      </c>
      <c r="I191" s="3">
        <f>Data!I191+Data!L191+Data!M191+Data!N191+Data!O191+Data!S191</f>
        <v>-8075.6600000000035</v>
      </c>
      <c r="J191" s="3">
        <f>Data!Q191</f>
        <v>0</v>
      </c>
      <c r="K191" s="3">
        <f>Data!J191+Data!P191</f>
        <v>97039.82</v>
      </c>
      <c r="L191" s="3">
        <f>Data!T191</f>
        <v>0</v>
      </c>
      <c r="M191" s="3">
        <f>ROUND(Data!AD191*$B$3,2)</f>
        <v>519152</v>
      </c>
      <c r="N191" s="3">
        <f>Data!U191</f>
        <v>0</v>
      </c>
      <c r="O191" s="3">
        <f t="shared" si="7"/>
        <v>13208372.869999999</v>
      </c>
      <c r="P191" s="3">
        <f t="shared" si="8"/>
        <v>12689220.869999999</v>
      </c>
      <c r="Q191" s="3">
        <f t="shared" si="9"/>
        <v>519152</v>
      </c>
    </row>
    <row r="192" spans="1:17" x14ac:dyDescent="0.2">
      <c r="A192" s="18">
        <v>622</v>
      </c>
      <c r="B192" s="18">
        <v>1</v>
      </c>
      <c r="C192" s="3" t="s">
        <v>189</v>
      </c>
      <c r="D192" s="3">
        <f>ROUND(Data!AC192*$B$3,2)</f>
        <v>3868464.3</v>
      </c>
      <c r="E192" s="3">
        <f>MAX(0,Data!AF192-Data!Y192)</f>
        <v>2535329.2700000005</v>
      </c>
      <c r="F192" s="3">
        <f>Data!Y192</f>
        <v>2611114.7599999998</v>
      </c>
      <c r="G192" s="3">
        <f>Data!X192</f>
        <v>46112.3</v>
      </c>
      <c r="H192" s="3">
        <f>Data!K192+Data!R192</f>
        <v>258315.19999999998</v>
      </c>
      <c r="I192" s="3">
        <f>Data!I192+Data!L192+Data!M192+Data!N192+Data!O192+Data!S192</f>
        <v>0</v>
      </c>
      <c r="J192" s="3">
        <f>Data!Q192</f>
        <v>0</v>
      </c>
      <c r="K192" s="3">
        <f>Data!J192+Data!P192</f>
        <v>148524.40999999997</v>
      </c>
      <c r="L192" s="3">
        <f>Data!T192</f>
        <v>0</v>
      </c>
      <c r="M192" s="3">
        <f>ROUND(Data!AD192*$B$3,2)</f>
        <v>745201.78</v>
      </c>
      <c r="N192" s="3">
        <f>Data!U192</f>
        <v>0</v>
      </c>
      <c r="O192" s="3">
        <f t="shared" si="7"/>
        <v>10213062.02</v>
      </c>
      <c r="P192" s="3">
        <f t="shared" si="8"/>
        <v>9467860.2400000002</v>
      </c>
      <c r="Q192" s="3">
        <f t="shared" si="9"/>
        <v>745201.78</v>
      </c>
    </row>
    <row r="193" spans="1:17" x14ac:dyDescent="0.2">
      <c r="A193" s="18">
        <v>623</v>
      </c>
      <c r="B193" s="18">
        <v>1</v>
      </c>
      <c r="C193" s="3" t="s">
        <v>190</v>
      </c>
      <c r="D193" s="3">
        <f>ROUND(Data!AC193*$B$3,2)</f>
        <v>2320942.62</v>
      </c>
      <c r="E193" s="3">
        <f>MAX(0,Data!AF193-Data!Y193)</f>
        <v>2604241.7199999997</v>
      </c>
      <c r="F193" s="3">
        <f>Data!Y193</f>
        <v>2907226.7</v>
      </c>
      <c r="G193" s="3">
        <f>Data!X193</f>
        <v>0</v>
      </c>
      <c r="H193" s="3">
        <f>Data!K193+Data!R193</f>
        <v>132002.4</v>
      </c>
      <c r="I193" s="3">
        <f>Data!I193+Data!L193+Data!M193+Data!N193+Data!O193+Data!S193</f>
        <v>0</v>
      </c>
      <c r="J193" s="3">
        <f>Data!Q193</f>
        <v>0</v>
      </c>
      <c r="K193" s="3">
        <f>Data!J193+Data!P193</f>
        <v>157866.51</v>
      </c>
      <c r="L193" s="3">
        <f>Data!T193</f>
        <v>0</v>
      </c>
      <c r="M193" s="3">
        <f>ROUND(Data!AD193*$B$3,2)</f>
        <v>417599.87</v>
      </c>
      <c r="N193" s="3">
        <f>Data!U193</f>
        <v>0</v>
      </c>
      <c r="O193" s="3">
        <f t="shared" si="7"/>
        <v>8539879.8200000003</v>
      </c>
      <c r="P193" s="3">
        <f t="shared" si="8"/>
        <v>8122279.9500000002</v>
      </c>
      <c r="Q193" s="3">
        <f t="shared" si="9"/>
        <v>417599.87</v>
      </c>
    </row>
    <row r="194" spans="1:17" x14ac:dyDescent="0.2">
      <c r="A194" s="18">
        <v>624</v>
      </c>
      <c r="B194" s="18">
        <v>1</v>
      </c>
      <c r="C194" s="3" t="s">
        <v>191</v>
      </c>
      <c r="D194" s="3">
        <f>ROUND(Data!AC194*$B$3,2)</f>
        <v>2322620.62</v>
      </c>
      <c r="E194" s="3">
        <f>MAX(0,Data!AF194-Data!Y194)</f>
        <v>6524154.5800000001</v>
      </c>
      <c r="F194" s="3">
        <f>Data!Y194</f>
        <v>1582149</v>
      </c>
      <c r="G194" s="3">
        <f>Data!X194</f>
        <v>0</v>
      </c>
      <c r="H194" s="3">
        <f>Data!K194+Data!R194</f>
        <v>171017.1</v>
      </c>
      <c r="I194" s="3">
        <f>Data!I194+Data!L194+Data!M194+Data!N194+Data!O194+Data!S194</f>
        <v>0</v>
      </c>
      <c r="J194" s="3">
        <f>Data!Q194</f>
        <v>0</v>
      </c>
      <c r="K194" s="3">
        <f>Data!J194+Data!P194</f>
        <v>30618.13</v>
      </c>
      <c r="L194" s="3">
        <f>Data!T194</f>
        <v>0</v>
      </c>
      <c r="M194" s="3">
        <f>ROUND(Data!AD194*$B$3,2)</f>
        <v>412764.17</v>
      </c>
      <c r="N194" s="3">
        <f>Data!U194</f>
        <v>0</v>
      </c>
      <c r="O194" s="3">
        <f t="shared" ref="O194:O255" si="10">SUM(D194:N194)</f>
        <v>11043323.6</v>
      </c>
      <c r="P194" s="3">
        <f t="shared" si="8"/>
        <v>10630559.43</v>
      </c>
      <c r="Q194" s="3">
        <f t="shared" si="9"/>
        <v>412764.17</v>
      </c>
    </row>
    <row r="195" spans="1:17" x14ac:dyDescent="0.2">
      <c r="A195" s="18">
        <v>625</v>
      </c>
      <c r="B195" s="18">
        <v>1</v>
      </c>
      <c r="C195" s="3" t="s">
        <v>192</v>
      </c>
      <c r="D195" s="3">
        <f>ROUND(Data!AC195*$B$3,2)</f>
        <v>14912367.77</v>
      </c>
      <c r="E195" s="3">
        <f>MAX(0,Data!AF195-Data!Y195)</f>
        <v>10563144.77</v>
      </c>
      <c r="F195" s="3">
        <f>Data!Y195</f>
        <v>2473342.0699999998</v>
      </c>
      <c r="G195" s="3">
        <f>Data!X195</f>
        <v>0</v>
      </c>
      <c r="H195" s="3">
        <f>Data!K195+Data!R195</f>
        <v>669874.27999999991</v>
      </c>
      <c r="I195" s="3">
        <f>Data!I195+Data!L195+Data!M195+Data!N195+Data!O195+Data!S195</f>
        <v>16015008.710000001</v>
      </c>
      <c r="J195" s="3">
        <f>Data!Q195</f>
        <v>0</v>
      </c>
      <c r="K195" s="3">
        <f>Data!J195+Data!P195</f>
        <v>2009726.7</v>
      </c>
      <c r="L195" s="3">
        <f>Data!T195</f>
        <v>0</v>
      </c>
      <c r="M195" s="3">
        <f>ROUND(Data!AD195*$B$3,2)</f>
        <v>1735783.02</v>
      </c>
      <c r="N195" s="3">
        <f>Data!U195</f>
        <v>0</v>
      </c>
      <c r="O195" s="3">
        <f t="shared" si="10"/>
        <v>48379247.320000008</v>
      </c>
      <c r="P195" s="3">
        <f t="shared" si="8"/>
        <v>46643464.300000004</v>
      </c>
      <c r="Q195" s="3">
        <f t="shared" si="9"/>
        <v>1735783.02</v>
      </c>
    </row>
    <row r="196" spans="1:17" x14ac:dyDescent="0.2">
      <c r="A196" s="18">
        <v>627</v>
      </c>
      <c r="B196" s="18">
        <v>1</v>
      </c>
      <c r="C196" s="3" t="s">
        <v>193</v>
      </c>
      <c r="D196" s="3">
        <f>ROUND(Data!AC196*$B$3,2)</f>
        <v>66246.98</v>
      </c>
      <c r="E196" s="3">
        <f>MAX(0,Data!AF196-Data!Y196)</f>
        <v>0</v>
      </c>
      <c r="F196" s="3">
        <f>Data!Y196</f>
        <v>75830.539999999994</v>
      </c>
      <c r="G196" s="3">
        <f>Data!X196</f>
        <v>0</v>
      </c>
      <c r="H196" s="3">
        <f>Data!K196+Data!R196</f>
        <v>12224.69</v>
      </c>
      <c r="I196" s="3">
        <f>Data!I196+Data!L196+Data!M196+Data!N196+Data!O196+Data!S196</f>
        <v>0</v>
      </c>
      <c r="J196" s="3">
        <f>Data!Q196</f>
        <v>0</v>
      </c>
      <c r="K196" s="3">
        <f>Data!J196+Data!P196</f>
        <v>-521.33999999999992</v>
      </c>
      <c r="L196" s="3">
        <f>Data!T196</f>
        <v>0</v>
      </c>
      <c r="M196" s="3">
        <f>ROUND(Data!AD196*$B$3,2)</f>
        <v>8186.18</v>
      </c>
      <c r="N196" s="3">
        <f>Data!U196</f>
        <v>0</v>
      </c>
      <c r="O196" s="3">
        <f t="shared" si="10"/>
        <v>161967.04999999999</v>
      </c>
      <c r="P196" s="3">
        <f t="shared" si="8"/>
        <v>153780.87</v>
      </c>
      <c r="Q196" s="3">
        <f t="shared" si="9"/>
        <v>8186.18</v>
      </c>
    </row>
    <row r="197" spans="1:17" x14ac:dyDescent="0.2">
      <c r="A197" s="18">
        <v>628</v>
      </c>
      <c r="B197" s="18">
        <v>1</v>
      </c>
      <c r="C197" s="3" t="s">
        <v>194</v>
      </c>
      <c r="D197" s="3">
        <f>ROUND(Data!AC197*$B$3,2)</f>
        <v>29141.87</v>
      </c>
      <c r="E197" s="3">
        <f>MAX(0,Data!AF197-Data!Y197)</f>
        <v>56225.87000000001</v>
      </c>
      <c r="F197" s="3">
        <f>Data!Y197</f>
        <v>23405.23</v>
      </c>
      <c r="G197" s="3">
        <f>Data!X197</f>
        <v>5099.47</v>
      </c>
      <c r="H197" s="3">
        <f>Data!K197+Data!R197</f>
        <v>10000</v>
      </c>
      <c r="I197" s="3">
        <f>Data!I197+Data!L197+Data!M197+Data!N197+Data!O197+Data!S197</f>
        <v>0</v>
      </c>
      <c r="J197" s="3">
        <f>Data!Q197</f>
        <v>0</v>
      </c>
      <c r="K197" s="3">
        <f>Data!J197+Data!P197</f>
        <v>6213.84</v>
      </c>
      <c r="L197" s="3">
        <f>Data!T197</f>
        <v>0</v>
      </c>
      <c r="M197" s="3">
        <f>ROUND(Data!AD197*$B$3,2)</f>
        <v>16712.080000000002</v>
      </c>
      <c r="N197" s="3">
        <f>Data!U197</f>
        <v>0</v>
      </c>
      <c r="O197" s="3">
        <f t="shared" si="10"/>
        <v>146798.35999999999</v>
      </c>
      <c r="P197" s="3">
        <f t="shared" ref="P197:P260" si="11">SUM(D197:L197)</f>
        <v>130086.28</v>
      </c>
      <c r="Q197" s="3">
        <f t="shared" ref="Q197:Q260" si="12">SUM(M197:N197)</f>
        <v>16712.080000000002</v>
      </c>
    </row>
    <row r="198" spans="1:17" x14ac:dyDescent="0.2">
      <c r="A198" s="18">
        <v>630</v>
      </c>
      <c r="B198" s="18">
        <v>1</v>
      </c>
      <c r="C198" s="3" t="s">
        <v>195</v>
      </c>
      <c r="D198" s="3">
        <f>ROUND(Data!AC198*$B$3,2)</f>
        <v>53214.81</v>
      </c>
      <c r="E198" s="3">
        <f>MAX(0,Data!AF198-Data!Y198)</f>
        <v>132397.18</v>
      </c>
      <c r="F198" s="3">
        <f>Data!Y198</f>
        <v>15914.47</v>
      </c>
      <c r="G198" s="3">
        <f>Data!X198</f>
        <v>0</v>
      </c>
      <c r="H198" s="3">
        <f>Data!K198+Data!R198</f>
        <v>11057.51</v>
      </c>
      <c r="I198" s="3">
        <f>Data!I198+Data!L198+Data!M198+Data!N198+Data!O198+Data!S198</f>
        <v>0</v>
      </c>
      <c r="J198" s="3">
        <f>Data!Q198</f>
        <v>-84.83</v>
      </c>
      <c r="K198" s="3">
        <f>Data!J198+Data!P198</f>
        <v>84.83</v>
      </c>
      <c r="L198" s="3">
        <f>Data!T198</f>
        <v>0</v>
      </c>
      <c r="M198" s="3">
        <f>ROUND(Data!AD198*$B$3,2)</f>
        <v>9403.1299999999992</v>
      </c>
      <c r="N198" s="3">
        <f>Data!U198</f>
        <v>0</v>
      </c>
      <c r="O198" s="3">
        <f t="shared" si="10"/>
        <v>221987.1</v>
      </c>
      <c r="P198" s="3">
        <f t="shared" si="11"/>
        <v>212583.97</v>
      </c>
      <c r="Q198" s="3">
        <f t="shared" si="12"/>
        <v>9403.1299999999992</v>
      </c>
    </row>
    <row r="199" spans="1:17" x14ac:dyDescent="0.2">
      <c r="A199" s="18">
        <v>635</v>
      </c>
      <c r="B199" s="18">
        <v>1</v>
      </c>
      <c r="C199" s="3" t="s">
        <v>196</v>
      </c>
      <c r="D199" s="3">
        <f>ROUND(Data!AC199*$B$3,2)</f>
        <v>26941.41</v>
      </c>
      <c r="E199" s="3">
        <f>MAX(0,Data!AF199-Data!Y199)</f>
        <v>13912.939999999995</v>
      </c>
      <c r="F199" s="3">
        <f>Data!Y199</f>
        <v>34554.870000000003</v>
      </c>
      <c r="G199" s="3">
        <f>Data!X199</f>
        <v>0</v>
      </c>
      <c r="H199" s="3">
        <f>Data!K199+Data!R199</f>
        <v>0</v>
      </c>
      <c r="I199" s="3">
        <f>Data!I199+Data!L199+Data!M199+Data!N199+Data!O199+Data!S199</f>
        <v>0</v>
      </c>
      <c r="J199" s="3">
        <f>Data!Q199</f>
        <v>0</v>
      </c>
      <c r="K199" s="3">
        <f>Data!J199+Data!P199</f>
        <v>0</v>
      </c>
      <c r="L199" s="3">
        <f>Data!T199</f>
        <v>0</v>
      </c>
      <c r="M199" s="3">
        <f>ROUND(Data!AD199*$B$3,2)</f>
        <v>6217.88</v>
      </c>
      <c r="N199" s="3">
        <f>Data!U199</f>
        <v>0</v>
      </c>
      <c r="O199" s="3">
        <f t="shared" si="10"/>
        <v>81627.100000000006</v>
      </c>
      <c r="P199" s="3">
        <f t="shared" si="11"/>
        <v>75409.22</v>
      </c>
      <c r="Q199" s="3">
        <f t="shared" si="12"/>
        <v>6217.88</v>
      </c>
    </row>
    <row r="200" spans="1:17" x14ac:dyDescent="0.2">
      <c r="A200" s="18">
        <v>640</v>
      </c>
      <c r="B200" s="18">
        <v>1</v>
      </c>
      <c r="C200" s="3" t="s">
        <v>197</v>
      </c>
      <c r="D200" s="3">
        <f>ROUND(Data!AC200*$B$3,2)</f>
        <v>109847.28</v>
      </c>
      <c r="E200" s="3">
        <f>MAX(0,Data!AF200-Data!Y200)</f>
        <v>83777.009999999995</v>
      </c>
      <c r="F200" s="3">
        <f>Data!Y200</f>
        <v>21257.8</v>
      </c>
      <c r="G200" s="3">
        <f>Data!X200</f>
        <v>3893.65</v>
      </c>
      <c r="H200" s="3">
        <f>Data!K200+Data!R200</f>
        <v>10000</v>
      </c>
      <c r="I200" s="3">
        <f>Data!I200+Data!L200+Data!M200+Data!N200+Data!O200+Data!S200</f>
        <v>0</v>
      </c>
      <c r="J200" s="3">
        <f>Data!Q200</f>
        <v>0</v>
      </c>
      <c r="K200" s="3">
        <f>Data!J200+Data!P200</f>
        <v>8943.15</v>
      </c>
      <c r="L200" s="3">
        <f>Data!T200</f>
        <v>0</v>
      </c>
      <c r="M200" s="3">
        <f>ROUND(Data!AD200*$B$3,2)</f>
        <v>20377.490000000002</v>
      </c>
      <c r="N200" s="3">
        <f>Data!U200</f>
        <v>0</v>
      </c>
      <c r="O200" s="3">
        <f t="shared" si="10"/>
        <v>258096.37999999995</v>
      </c>
      <c r="P200" s="3">
        <f t="shared" si="11"/>
        <v>237718.88999999996</v>
      </c>
      <c r="Q200" s="3">
        <f t="shared" si="12"/>
        <v>20377.490000000002</v>
      </c>
    </row>
    <row r="201" spans="1:17" x14ac:dyDescent="0.2">
      <c r="A201" s="18">
        <v>656</v>
      </c>
      <c r="B201" s="18">
        <v>1</v>
      </c>
      <c r="C201" s="3" t="s">
        <v>198</v>
      </c>
      <c r="D201" s="3">
        <f>ROUND(Data!AC201*$B$3,2)</f>
        <v>904360.36</v>
      </c>
      <c r="E201" s="3">
        <f>MAX(0,Data!AF201-Data!Y201)</f>
        <v>526859.33000000007</v>
      </c>
      <c r="F201" s="3">
        <f>Data!Y201</f>
        <v>329972.17</v>
      </c>
      <c r="G201" s="3">
        <f>Data!X201</f>
        <v>0</v>
      </c>
      <c r="H201" s="3">
        <f>Data!K201+Data!R201</f>
        <v>53531.75</v>
      </c>
      <c r="I201" s="3">
        <f>Data!I201+Data!L201+Data!M201+Data!N201+Data!O201+Data!S201</f>
        <v>0</v>
      </c>
      <c r="J201" s="3">
        <f>Data!Q201</f>
        <v>0</v>
      </c>
      <c r="K201" s="3">
        <f>Data!J201+Data!P201</f>
        <v>36858.82</v>
      </c>
      <c r="L201" s="3">
        <f>Data!T201</f>
        <v>0</v>
      </c>
      <c r="M201" s="3">
        <f>ROUND(Data!AD201*$B$3,2)</f>
        <v>171063.74</v>
      </c>
      <c r="N201" s="3">
        <f>Data!U201</f>
        <v>0</v>
      </c>
      <c r="O201" s="3">
        <f t="shared" si="10"/>
        <v>2022646.17</v>
      </c>
      <c r="P201" s="3">
        <f t="shared" si="11"/>
        <v>1851582.43</v>
      </c>
      <c r="Q201" s="3">
        <f t="shared" si="12"/>
        <v>171063.74</v>
      </c>
    </row>
    <row r="202" spans="1:17" x14ac:dyDescent="0.2">
      <c r="A202" s="18">
        <v>659</v>
      </c>
      <c r="B202" s="18">
        <v>1</v>
      </c>
      <c r="C202" s="3" t="s">
        <v>199</v>
      </c>
      <c r="D202" s="3">
        <f>ROUND(Data!AC202*$B$3,2)</f>
        <v>1442999.31</v>
      </c>
      <c r="E202" s="3">
        <f>MAX(0,Data!AF202-Data!Y202)</f>
        <v>2144453.6799999997</v>
      </c>
      <c r="F202" s="3">
        <f>Data!Y202</f>
        <v>374465.93</v>
      </c>
      <c r="G202" s="3">
        <f>Data!X202</f>
        <v>0</v>
      </c>
      <c r="H202" s="3">
        <f>Data!K202+Data!R202</f>
        <v>16096.53</v>
      </c>
      <c r="I202" s="3">
        <f>Data!I202+Data!L202+Data!M202+Data!N202+Data!O202+Data!S202</f>
        <v>0</v>
      </c>
      <c r="J202" s="3">
        <f>Data!Q202</f>
        <v>0</v>
      </c>
      <c r="K202" s="3">
        <f>Data!J202+Data!P202</f>
        <v>41.069999999999709</v>
      </c>
      <c r="L202" s="3">
        <f>Data!T202</f>
        <v>0</v>
      </c>
      <c r="M202" s="3">
        <f>ROUND(Data!AD202*$B$3,2)</f>
        <v>212088.15</v>
      </c>
      <c r="N202" s="3">
        <f>Data!U202</f>
        <v>0</v>
      </c>
      <c r="O202" s="3">
        <f t="shared" si="10"/>
        <v>4190144.6699999995</v>
      </c>
      <c r="P202" s="3">
        <f t="shared" si="11"/>
        <v>3978056.5199999996</v>
      </c>
      <c r="Q202" s="3">
        <f t="shared" si="12"/>
        <v>212088.15</v>
      </c>
    </row>
    <row r="203" spans="1:17" x14ac:dyDescent="0.2">
      <c r="A203" s="18">
        <v>671</v>
      </c>
      <c r="B203" s="18">
        <v>1</v>
      </c>
      <c r="C203" s="3" t="s">
        <v>200</v>
      </c>
      <c r="D203" s="3">
        <f>ROUND(Data!AC203*$B$3,2)</f>
        <v>78204.960000000006</v>
      </c>
      <c r="E203" s="3">
        <f>MAX(0,Data!AF203-Data!Y203)</f>
        <v>17881.18</v>
      </c>
      <c r="F203" s="3">
        <f>Data!Y203</f>
        <v>64894.85</v>
      </c>
      <c r="G203" s="3">
        <f>Data!X203</f>
        <v>0</v>
      </c>
      <c r="H203" s="3">
        <f>Data!K203+Data!R203</f>
        <v>2638.42</v>
      </c>
      <c r="I203" s="3">
        <f>Data!I203+Data!L203+Data!M203+Data!N203+Data!O203+Data!S203</f>
        <v>0</v>
      </c>
      <c r="J203" s="3">
        <f>Data!Q203</f>
        <v>0</v>
      </c>
      <c r="K203" s="3">
        <f>Data!J203+Data!P203</f>
        <v>0</v>
      </c>
      <c r="L203" s="3">
        <f>Data!T203</f>
        <v>0</v>
      </c>
      <c r="M203" s="3">
        <f>ROUND(Data!AD203*$B$3,2)</f>
        <v>12900.94</v>
      </c>
      <c r="N203" s="3">
        <f>Data!U203</f>
        <v>0</v>
      </c>
      <c r="O203" s="3">
        <f t="shared" si="10"/>
        <v>176520.35000000003</v>
      </c>
      <c r="P203" s="3">
        <f t="shared" si="11"/>
        <v>163619.41000000003</v>
      </c>
      <c r="Q203" s="3">
        <f t="shared" si="12"/>
        <v>12900.94</v>
      </c>
    </row>
    <row r="204" spans="1:17" x14ac:dyDescent="0.2">
      <c r="A204" s="18">
        <v>676</v>
      </c>
      <c r="B204" s="18">
        <v>1</v>
      </c>
      <c r="C204" s="3" t="s">
        <v>201</v>
      </c>
      <c r="D204" s="3">
        <f>ROUND(Data!AC204*$B$3,2)</f>
        <v>47825.62</v>
      </c>
      <c r="E204" s="3">
        <f>MAX(0,Data!AF204-Data!Y204)</f>
        <v>0</v>
      </c>
      <c r="F204" s="3">
        <f>Data!Y204</f>
        <v>82150</v>
      </c>
      <c r="G204" s="3">
        <f>Data!X204</f>
        <v>0</v>
      </c>
      <c r="H204" s="3">
        <f>Data!K204+Data!R204</f>
        <v>10000</v>
      </c>
      <c r="I204" s="3">
        <f>Data!I204+Data!L204+Data!M204+Data!N204+Data!O204+Data!S204</f>
        <v>0</v>
      </c>
      <c r="J204" s="3">
        <f>Data!Q204</f>
        <v>0</v>
      </c>
      <c r="K204" s="3">
        <f>Data!J204+Data!P204</f>
        <v>2237.38</v>
      </c>
      <c r="L204" s="3">
        <f>Data!T204</f>
        <v>0</v>
      </c>
      <c r="M204" s="3">
        <f>ROUND(Data!AD204*$B$3,2)</f>
        <v>5402.86</v>
      </c>
      <c r="N204" s="3">
        <f>Data!U204</f>
        <v>0</v>
      </c>
      <c r="O204" s="3">
        <f t="shared" si="10"/>
        <v>147615.85999999999</v>
      </c>
      <c r="P204" s="3">
        <f t="shared" si="11"/>
        <v>142213</v>
      </c>
      <c r="Q204" s="3">
        <f t="shared" si="12"/>
        <v>5402.86</v>
      </c>
    </row>
    <row r="205" spans="1:17" x14ac:dyDescent="0.2">
      <c r="A205" s="18">
        <v>682</v>
      </c>
      <c r="B205" s="18">
        <v>1</v>
      </c>
      <c r="C205" s="3" t="s">
        <v>202</v>
      </c>
      <c r="D205" s="3">
        <f>ROUND(Data!AC205*$B$3,2)</f>
        <v>205948.05</v>
      </c>
      <c r="E205" s="3">
        <f>MAX(0,Data!AF205-Data!Y205)</f>
        <v>102170.54000000001</v>
      </c>
      <c r="F205" s="3">
        <f>Data!Y205</f>
        <v>45551.1</v>
      </c>
      <c r="G205" s="3">
        <f>Data!X205</f>
        <v>17470.36</v>
      </c>
      <c r="H205" s="3">
        <f>Data!K205+Data!R205</f>
        <v>25061.34</v>
      </c>
      <c r="I205" s="3">
        <f>Data!I205+Data!L205+Data!M205+Data!N205+Data!O205+Data!S205</f>
        <v>0</v>
      </c>
      <c r="J205" s="3">
        <f>Data!Q205</f>
        <v>0</v>
      </c>
      <c r="K205" s="3">
        <f>Data!J205+Data!P205</f>
        <v>7338.88</v>
      </c>
      <c r="L205" s="3">
        <f>Data!T205</f>
        <v>0</v>
      </c>
      <c r="M205" s="3">
        <f>ROUND(Data!AD205*$B$3,2)</f>
        <v>42677.599999999999</v>
      </c>
      <c r="N205" s="3">
        <f>Data!U205</f>
        <v>0</v>
      </c>
      <c r="O205" s="3">
        <f t="shared" si="10"/>
        <v>446217.86999999994</v>
      </c>
      <c r="P205" s="3">
        <f t="shared" si="11"/>
        <v>403540.26999999996</v>
      </c>
      <c r="Q205" s="3">
        <f t="shared" si="12"/>
        <v>42677.599999999999</v>
      </c>
    </row>
    <row r="206" spans="1:17" x14ac:dyDescent="0.2">
      <c r="A206" s="18">
        <v>690</v>
      </c>
      <c r="B206" s="18">
        <v>1</v>
      </c>
      <c r="C206" s="3" t="s">
        <v>203</v>
      </c>
      <c r="D206" s="3">
        <f>ROUND(Data!AC206*$B$3,2)</f>
        <v>240737.69</v>
      </c>
      <c r="E206" s="3">
        <f>MAX(0,Data!AF206-Data!Y206)</f>
        <v>121242.78</v>
      </c>
      <c r="F206" s="3">
        <f>Data!Y206</f>
        <v>36984.730000000003</v>
      </c>
      <c r="G206" s="3">
        <f>Data!X206</f>
        <v>0</v>
      </c>
      <c r="H206" s="3">
        <f>Data!K206+Data!R206</f>
        <v>24698.400000000001</v>
      </c>
      <c r="I206" s="3">
        <f>Data!I206+Data!L206+Data!M206+Data!N206+Data!O206+Data!S206</f>
        <v>0</v>
      </c>
      <c r="J206" s="3">
        <f>Data!Q206</f>
        <v>0</v>
      </c>
      <c r="K206" s="3">
        <f>Data!J206+Data!P206</f>
        <v>53398.55</v>
      </c>
      <c r="L206" s="3">
        <f>Data!T206</f>
        <v>0</v>
      </c>
      <c r="M206" s="3">
        <f>ROUND(Data!AD206*$B$3,2)</f>
        <v>38414.9</v>
      </c>
      <c r="N206" s="3">
        <f>Data!U206</f>
        <v>0</v>
      </c>
      <c r="O206" s="3">
        <f t="shared" si="10"/>
        <v>515477.05</v>
      </c>
      <c r="P206" s="3">
        <f t="shared" si="11"/>
        <v>477062.14999999997</v>
      </c>
      <c r="Q206" s="3">
        <f t="shared" si="12"/>
        <v>38414.9</v>
      </c>
    </row>
    <row r="207" spans="1:17" x14ac:dyDescent="0.2">
      <c r="A207" s="18">
        <v>695</v>
      </c>
      <c r="B207" s="18">
        <v>1</v>
      </c>
      <c r="C207" s="3" t="s">
        <v>204</v>
      </c>
      <c r="D207" s="3">
        <f>ROUND(Data!AC207*$B$3,2)</f>
        <v>0</v>
      </c>
      <c r="E207" s="3">
        <f>MAX(0,Data!AF207-Data!Y207)</f>
        <v>161226.49</v>
      </c>
      <c r="F207" s="3">
        <f>Data!Y207</f>
        <v>27688.080000000002</v>
      </c>
      <c r="G207" s="3">
        <f>Data!X207</f>
        <v>8880.85</v>
      </c>
      <c r="H207" s="3">
        <f>Data!K207+Data!R207</f>
        <v>12074.4</v>
      </c>
      <c r="I207" s="3">
        <f>Data!I207+Data!L207+Data!M207+Data!N207+Data!O207+Data!S207</f>
        <v>140500.43999999997</v>
      </c>
      <c r="J207" s="3">
        <f>Data!Q207</f>
        <v>0</v>
      </c>
      <c r="K207" s="3">
        <f>Data!J207+Data!P207</f>
        <v>11712.77</v>
      </c>
      <c r="L207" s="3">
        <f>Data!T207</f>
        <v>0</v>
      </c>
      <c r="M207" s="3">
        <f>ROUND(Data!AD207*$B$3,2)</f>
        <v>0</v>
      </c>
      <c r="N207" s="3">
        <f>Data!U207</f>
        <v>0</v>
      </c>
      <c r="O207" s="3">
        <f t="shared" si="10"/>
        <v>362083.03</v>
      </c>
      <c r="P207" s="3">
        <f t="shared" si="11"/>
        <v>362083.03</v>
      </c>
      <c r="Q207" s="3">
        <f t="shared" si="12"/>
        <v>0</v>
      </c>
    </row>
    <row r="208" spans="1:17" x14ac:dyDescent="0.2">
      <c r="A208" s="18">
        <v>696</v>
      </c>
      <c r="B208" s="18">
        <v>1</v>
      </c>
      <c r="C208" s="3" t="s">
        <v>205</v>
      </c>
      <c r="D208" s="3">
        <f>ROUND(Data!AC208*$B$3,2)</f>
        <v>365106.74</v>
      </c>
      <c r="E208" s="3">
        <f>MAX(0,Data!AF208-Data!Y208)</f>
        <v>109513.19</v>
      </c>
      <c r="F208" s="3">
        <f>Data!Y208</f>
        <v>61464.47</v>
      </c>
      <c r="G208" s="3">
        <f>Data!X208</f>
        <v>2504.4899999999998</v>
      </c>
      <c r="H208" s="3">
        <f>Data!K208+Data!R208</f>
        <v>0</v>
      </c>
      <c r="I208" s="3">
        <f>Data!I208+Data!L208+Data!M208+Data!N208+Data!O208+Data!S208</f>
        <v>219043.62</v>
      </c>
      <c r="J208" s="3">
        <f>Data!Q208</f>
        <v>0</v>
      </c>
      <c r="K208" s="3">
        <f>Data!J208+Data!P208</f>
        <v>35898.58</v>
      </c>
      <c r="L208" s="3">
        <f>Data!T208</f>
        <v>0</v>
      </c>
      <c r="M208" s="3">
        <f>ROUND(Data!AD208*$B$3,2)</f>
        <v>10976.39</v>
      </c>
      <c r="N208" s="3">
        <f>Data!U208</f>
        <v>0</v>
      </c>
      <c r="O208" s="3">
        <f t="shared" si="10"/>
        <v>804507.48</v>
      </c>
      <c r="P208" s="3">
        <f t="shared" si="11"/>
        <v>793531.09</v>
      </c>
      <c r="Q208" s="3">
        <f t="shared" si="12"/>
        <v>10976.39</v>
      </c>
    </row>
    <row r="209" spans="1:17" x14ac:dyDescent="0.2">
      <c r="A209" s="18">
        <v>698</v>
      </c>
      <c r="B209" s="18">
        <v>1</v>
      </c>
      <c r="C209" s="3" t="s">
        <v>206</v>
      </c>
      <c r="D209" s="3">
        <f>ROUND(Data!AC209*$B$3,2)</f>
        <v>88456.7</v>
      </c>
      <c r="E209" s="3">
        <f>MAX(0,Data!AF209-Data!Y209)</f>
        <v>0</v>
      </c>
      <c r="F209" s="3">
        <f>Data!Y209</f>
        <v>14891.46</v>
      </c>
      <c r="G209" s="3">
        <f>Data!X209</f>
        <v>5557.25</v>
      </c>
      <c r="H209" s="3">
        <f>Data!K209+Data!R209</f>
        <v>10000</v>
      </c>
      <c r="I209" s="3">
        <f>Data!I209+Data!L209+Data!M209+Data!N209+Data!O209+Data!S209</f>
        <v>0</v>
      </c>
      <c r="J209" s="3">
        <f>Data!Q209</f>
        <v>0</v>
      </c>
      <c r="K209" s="3">
        <f>Data!J209+Data!P209</f>
        <v>17482.5</v>
      </c>
      <c r="L209" s="3">
        <f>Data!T209</f>
        <v>0</v>
      </c>
      <c r="M209" s="3">
        <f>ROUND(Data!AD209*$B$3,2)</f>
        <v>10869.69</v>
      </c>
      <c r="N209" s="3">
        <f>Data!U209</f>
        <v>0</v>
      </c>
      <c r="O209" s="3">
        <f t="shared" si="10"/>
        <v>147257.60000000001</v>
      </c>
      <c r="P209" s="3">
        <f t="shared" si="11"/>
        <v>136387.91</v>
      </c>
      <c r="Q209" s="3">
        <f t="shared" si="12"/>
        <v>10869.69</v>
      </c>
    </row>
    <row r="210" spans="1:17" x14ac:dyDescent="0.2">
      <c r="A210" s="18">
        <v>700</v>
      </c>
      <c r="B210" s="18">
        <v>1</v>
      </c>
      <c r="C210" s="3" t="s">
        <v>207</v>
      </c>
      <c r="D210" s="3">
        <f>ROUND(Data!AC210*$B$3,2)</f>
        <v>616693.87</v>
      </c>
      <c r="E210" s="3">
        <f>MAX(0,Data!AF210-Data!Y210)</f>
        <v>0</v>
      </c>
      <c r="F210" s="3">
        <f>Data!Y210</f>
        <v>83202.59</v>
      </c>
      <c r="G210" s="3">
        <f>Data!X210</f>
        <v>0</v>
      </c>
      <c r="H210" s="3">
        <f>Data!K210+Data!R210</f>
        <v>10000</v>
      </c>
      <c r="I210" s="3">
        <f>Data!I210+Data!L210+Data!M210+Data!N210+Data!O210+Data!S210</f>
        <v>0</v>
      </c>
      <c r="J210" s="3">
        <f>Data!Q210</f>
        <v>0</v>
      </c>
      <c r="K210" s="3">
        <f>Data!J210+Data!P210</f>
        <v>13062.82</v>
      </c>
      <c r="L210" s="3">
        <f>Data!T210</f>
        <v>0</v>
      </c>
      <c r="M210" s="3">
        <f>ROUND(Data!AD210*$B$3,2)</f>
        <v>66138.09</v>
      </c>
      <c r="N210" s="3">
        <f>Data!U210</f>
        <v>0</v>
      </c>
      <c r="O210" s="3">
        <f t="shared" si="10"/>
        <v>789097.36999999988</v>
      </c>
      <c r="P210" s="3">
        <f t="shared" si="11"/>
        <v>722959.27999999991</v>
      </c>
      <c r="Q210" s="3">
        <f t="shared" si="12"/>
        <v>66138.09</v>
      </c>
    </row>
    <row r="211" spans="1:17" x14ac:dyDescent="0.2">
      <c r="A211" s="18">
        <v>701</v>
      </c>
      <c r="B211" s="18">
        <v>1</v>
      </c>
      <c r="C211" s="3" t="s">
        <v>208</v>
      </c>
      <c r="D211" s="3">
        <f>ROUND(Data!AC211*$B$3,2)</f>
        <v>0</v>
      </c>
      <c r="E211" s="3">
        <f>MAX(0,Data!AF211-Data!Y211)</f>
        <v>503988.43</v>
      </c>
      <c r="F211" s="3">
        <f>Data!Y211</f>
        <v>109071.21</v>
      </c>
      <c r="G211" s="3">
        <f>Data!X211</f>
        <v>59276.87</v>
      </c>
      <c r="H211" s="3">
        <f>Data!K211+Data!R211</f>
        <v>26694.2</v>
      </c>
      <c r="I211" s="3">
        <f>Data!I211+Data!L211+Data!M211+Data!N211+Data!O211+Data!S211</f>
        <v>478252.6</v>
      </c>
      <c r="J211" s="3">
        <f>Data!Q211</f>
        <v>0</v>
      </c>
      <c r="K211" s="3">
        <f>Data!J211+Data!P211</f>
        <v>19848.82</v>
      </c>
      <c r="L211" s="3">
        <f>Data!T211</f>
        <v>0</v>
      </c>
      <c r="M211" s="3">
        <f>ROUND(Data!AD211*$B$3,2)</f>
        <v>0</v>
      </c>
      <c r="N211" s="3">
        <f>Data!U211</f>
        <v>0</v>
      </c>
      <c r="O211" s="3">
        <f t="shared" si="10"/>
        <v>1197132.1300000001</v>
      </c>
      <c r="P211" s="3">
        <f t="shared" si="11"/>
        <v>1197132.1300000001</v>
      </c>
      <c r="Q211" s="3">
        <f t="shared" si="12"/>
        <v>0</v>
      </c>
    </row>
    <row r="212" spans="1:17" x14ac:dyDescent="0.2">
      <c r="A212" s="18">
        <v>704</v>
      </c>
      <c r="B212" s="18">
        <v>1</v>
      </c>
      <c r="C212" s="3" t="s">
        <v>209</v>
      </c>
      <c r="D212" s="3">
        <f>ROUND(Data!AC212*$B$3,2)</f>
        <v>559441.97</v>
      </c>
      <c r="E212" s="3">
        <f>MAX(0,Data!AF212-Data!Y212)</f>
        <v>0</v>
      </c>
      <c r="F212" s="3">
        <f>Data!Y212</f>
        <v>96036.52</v>
      </c>
      <c r="G212" s="3">
        <f>Data!X212</f>
        <v>0</v>
      </c>
      <c r="H212" s="3">
        <f>Data!K212+Data!R212</f>
        <v>21283.72</v>
      </c>
      <c r="I212" s="3">
        <f>Data!I212+Data!L212+Data!M212+Data!N212+Data!O212+Data!S212</f>
        <v>0</v>
      </c>
      <c r="J212" s="3">
        <f>Data!Q212</f>
        <v>0</v>
      </c>
      <c r="K212" s="3">
        <f>Data!J212+Data!P212</f>
        <v>7735.95</v>
      </c>
      <c r="L212" s="3">
        <f>Data!T212</f>
        <v>0</v>
      </c>
      <c r="M212" s="3">
        <f>ROUND(Data!AD212*$B$3,2)</f>
        <v>69646.91</v>
      </c>
      <c r="N212" s="3">
        <f>Data!U212</f>
        <v>0</v>
      </c>
      <c r="O212" s="3">
        <f t="shared" si="10"/>
        <v>754145.07</v>
      </c>
      <c r="P212" s="3">
        <f t="shared" si="11"/>
        <v>684498.15999999992</v>
      </c>
      <c r="Q212" s="3">
        <f t="shared" si="12"/>
        <v>69646.91</v>
      </c>
    </row>
    <row r="213" spans="1:17" x14ac:dyDescent="0.2">
      <c r="A213" s="18">
        <v>706</v>
      </c>
      <c r="B213" s="18">
        <v>1</v>
      </c>
      <c r="C213" s="3" t="s">
        <v>210</v>
      </c>
      <c r="D213" s="3">
        <f>ROUND(Data!AC213*$B$3,2)</f>
        <v>11796.59</v>
      </c>
      <c r="E213" s="3">
        <f>MAX(0,Data!AF213-Data!Y213)</f>
        <v>358122.63</v>
      </c>
      <c r="F213" s="3">
        <f>Data!Y213</f>
        <v>66181.42</v>
      </c>
      <c r="G213" s="3">
        <f>Data!X213</f>
        <v>46429.98</v>
      </c>
      <c r="H213" s="3">
        <f>Data!K213+Data!R213</f>
        <v>34941.81</v>
      </c>
      <c r="I213" s="3">
        <f>Data!I213+Data!L213+Data!M213+Data!N213+Data!O213+Data!S213</f>
        <v>525891.83999999997</v>
      </c>
      <c r="J213" s="3">
        <f>Data!Q213</f>
        <v>0</v>
      </c>
      <c r="K213" s="3">
        <f>Data!J213+Data!P213</f>
        <v>22452.85</v>
      </c>
      <c r="L213" s="3">
        <f>Data!T213</f>
        <v>0</v>
      </c>
      <c r="M213" s="3">
        <f>ROUND(Data!AD213*$B$3,2)</f>
        <v>0</v>
      </c>
      <c r="N213" s="3">
        <f>Data!U213</f>
        <v>0</v>
      </c>
      <c r="O213" s="3">
        <f t="shared" si="10"/>
        <v>1065817.1200000001</v>
      </c>
      <c r="P213" s="3">
        <f t="shared" si="11"/>
        <v>1065817.1200000001</v>
      </c>
      <c r="Q213" s="3">
        <f t="shared" si="12"/>
        <v>0</v>
      </c>
    </row>
    <row r="214" spans="1:17" x14ac:dyDescent="0.2">
      <c r="A214" s="18">
        <v>707</v>
      </c>
      <c r="B214" s="18">
        <v>1</v>
      </c>
      <c r="C214" s="3" t="s">
        <v>211</v>
      </c>
      <c r="D214" s="3">
        <f>ROUND(Data!AC214*$B$3,2)</f>
        <v>9021.48</v>
      </c>
      <c r="E214" s="3">
        <f>MAX(0,Data!AF214-Data!Y214)</f>
        <v>0</v>
      </c>
      <c r="F214" s="3">
        <f>Data!Y214</f>
        <v>38.729999999999997</v>
      </c>
      <c r="G214" s="3">
        <f>Data!X214</f>
        <v>0</v>
      </c>
      <c r="H214" s="3">
        <f>Data!K214+Data!R214</f>
        <v>0</v>
      </c>
      <c r="I214" s="3">
        <f>Data!I214+Data!L214+Data!M214+Data!N214+Data!O214+Data!S214</f>
        <v>0</v>
      </c>
      <c r="J214" s="3">
        <f>Data!Q214</f>
        <v>0</v>
      </c>
      <c r="K214" s="3">
        <f>Data!J214+Data!P214</f>
        <v>1824.41</v>
      </c>
      <c r="L214" s="3">
        <f>Data!T214</f>
        <v>0</v>
      </c>
      <c r="M214" s="3">
        <f>ROUND(Data!AD214*$B$3,2)</f>
        <v>826.09</v>
      </c>
      <c r="N214" s="3">
        <f>Data!U214</f>
        <v>0</v>
      </c>
      <c r="O214" s="3">
        <f t="shared" si="10"/>
        <v>11710.71</v>
      </c>
      <c r="P214" s="3">
        <f t="shared" si="11"/>
        <v>10884.619999999999</v>
      </c>
      <c r="Q214" s="3">
        <f t="shared" si="12"/>
        <v>826.09</v>
      </c>
    </row>
    <row r="215" spans="1:17" x14ac:dyDescent="0.2">
      <c r="A215" s="18">
        <v>709</v>
      </c>
      <c r="B215" s="18">
        <v>1</v>
      </c>
      <c r="C215" s="3" t="s">
        <v>212</v>
      </c>
      <c r="D215" s="3">
        <f>ROUND(Data!AC215*$B$3,2)</f>
        <v>2003408.01</v>
      </c>
      <c r="E215" s="3">
        <f>MAX(0,Data!AF215-Data!Y215)</f>
        <v>1801495.55</v>
      </c>
      <c r="F215" s="3">
        <f>Data!Y215</f>
        <v>563244.99</v>
      </c>
      <c r="G215" s="3">
        <f>Data!X215</f>
        <v>0</v>
      </c>
      <c r="H215" s="3">
        <f>Data!K215+Data!R215</f>
        <v>262185.24</v>
      </c>
      <c r="I215" s="3">
        <f>Data!I215+Data!L215+Data!M215+Data!N215+Data!O215+Data!S215</f>
        <v>625402.44999999995</v>
      </c>
      <c r="J215" s="3">
        <f>Data!Q215</f>
        <v>0</v>
      </c>
      <c r="K215" s="3">
        <f>Data!J215+Data!P215</f>
        <v>380646.43000000005</v>
      </c>
      <c r="L215" s="3">
        <f>Data!T215</f>
        <v>0</v>
      </c>
      <c r="M215" s="3">
        <f>ROUND(Data!AD215*$B$3,2)</f>
        <v>518821.32</v>
      </c>
      <c r="N215" s="3">
        <f>Data!U215</f>
        <v>0</v>
      </c>
      <c r="O215" s="3">
        <f t="shared" si="10"/>
        <v>6155203.9900000002</v>
      </c>
      <c r="P215" s="3">
        <f t="shared" si="11"/>
        <v>5636382.6699999999</v>
      </c>
      <c r="Q215" s="3">
        <f t="shared" si="12"/>
        <v>518821.32</v>
      </c>
    </row>
    <row r="216" spans="1:17" x14ac:dyDescent="0.2">
      <c r="A216" s="18">
        <v>712</v>
      </c>
      <c r="B216" s="18">
        <v>1</v>
      </c>
      <c r="C216" s="3" t="s">
        <v>213</v>
      </c>
      <c r="D216" s="3">
        <f>ROUND(Data!AC216*$B$3,2)</f>
        <v>0</v>
      </c>
      <c r="E216" s="3">
        <f>MAX(0,Data!AF216-Data!Y216)</f>
        <v>117731.77</v>
      </c>
      <c r="F216" s="3">
        <f>Data!Y216</f>
        <v>26674.799999999999</v>
      </c>
      <c r="G216" s="3">
        <f>Data!X216</f>
        <v>21715.31</v>
      </c>
      <c r="H216" s="3">
        <f>Data!K216+Data!R216</f>
        <v>17446.849999999999</v>
      </c>
      <c r="I216" s="3">
        <f>Data!I216+Data!L216+Data!M216+Data!N216+Data!O216+Data!S216</f>
        <v>36516</v>
      </c>
      <c r="J216" s="3">
        <f>Data!Q216</f>
        <v>0</v>
      </c>
      <c r="K216" s="3">
        <f>Data!J216+Data!P216</f>
        <v>8430.32</v>
      </c>
      <c r="L216" s="3">
        <f>Data!T216</f>
        <v>0</v>
      </c>
      <c r="M216" s="3">
        <f>ROUND(Data!AD216*$B$3,2)</f>
        <v>0</v>
      </c>
      <c r="N216" s="3">
        <f>Data!U216</f>
        <v>0</v>
      </c>
      <c r="O216" s="3">
        <f t="shared" si="10"/>
        <v>228515.05000000002</v>
      </c>
      <c r="P216" s="3">
        <f t="shared" si="11"/>
        <v>228515.05000000002</v>
      </c>
      <c r="Q216" s="3">
        <f t="shared" si="12"/>
        <v>0</v>
      </c>
    </row>
    <row r="217" spans="1:17" x14ac:dyDescent="0.2">
      <c r="A217" s="18">
        <v>716</v>
      </c>
      <c r="B217" s="18">
        <v>1</v>
      </c>
      <c r="C217" s="3" t="s">
        <v>214</v>
      </c>
      <c r="D217" s="3">
        <f>ROUND(Data!AC217*$B$3,2)</f>
        <v>316305.88</v>
      </c>
      <c r="E217" s="3">
        <f>MAX(0,Data!AF217-Data!Y217)</f>
        <v>158841.96</v>
      </c>
      <c r="F217" s="3">
        <f>Data!Y217</f>
        <v>63260.97</v>
      </c>
      <c r="G217" s="3">
        <f>Data!X217</f>
        <v>0</v>
      </c>
      <c r="H217" s="3">
        <f>Data!K217+Data!R217</f>
        <v>27150.399999999998</v>
      </c>
      <c r="I217" s="3">
        <f>Data!I217+Data!L217+Data!M217+Data!N217+Data!O217+Data!S217</f>
        <v>0</v>
      </c>
      <c r="J217" s="3">
        <f>Data!Q217</f>
        <v>0</v>
      </c>
      <c r="K217" s="3">
        <f>Data!J217+Data!P217</f>
        <v>2137.12</v>
      </c>
      <c r="L217" s="3">
        <f>Data!T217</f>
        <v>0</v>
      </c>
      <c r="M217" s="3">
        <f>ROUND(Data!AD217*$B$3,2)</f>
        <v>65606.399999999994</v>
      </c>
      <c r="N217" s="3">
        <f>Data!U217</f>
        <v>0</v>
      </c>
      <c r="O217" s="3">
        <f t="shared" si="10"/>
        <v>633302.73</v>
      </c>
      <c r="P217" s="3">
        <f t="shared" si="11"/>
        <v>567696.32999999996</v>
      </c>
      <c r="Q217" s="3">
        <f t="shared" si="12"/>
        <v>65606.399999999994</v>
      </c>
    </row>
    <row r="218" spans="1:17" x14ac:dyDescent="0.2">
      <c r="A218" s="18">
        <v>717</v>
      </c>
      <c r="B218" s="18">
        <v>1</v>
      </c>
      <c r="C218" s="3" t="s">
        <v>215</v>
      </c>
      <c r="D218" s="3">
        <f>ROUND(Data!AC218*$B$3,2)</f>
        <v>350892.69</v>
      </c>
      <c r="E218" s="3">
        <f>MAX(0,Data!AF218-Data!Y218)</f>
        <v>464286.82</v>
      </c>
      <c r="F218" s="3">
        <f>Data!Y218</f>
        <v>55047.71</v>
      </c>
      <c r="G218" s="3">
        <f>Data!X218</f>
        <v>14022.14</v>
      </c>
      <c r="H218" s="3">
        <f>Data!K218+Data!R218</f>
        <v>24162.27</v>
      </c>
      <c r="I218" s="3">
        <f>Data!I218+Data!L218+Data!M218+Data!N218+Data!O218+Data!S218</f>
        <v>0</v>
      </c>
      <c r="J218" s="3">
        <f>Data!Q218</f>
        <v>0</v>
      </c>
      <c r="K218" s="3">
        <f>Data!J218+Data!P218</f>
        <v>5369.9699999999993</v>
      </c>
      <c r="L218" s="3">
        <f>Data!T218</f>
        <v>0</v>
      </c>
      <c r="M218" s="3">
        <f>ROUND(Data!AD218*$B$3,2)</f>
        <v>63508.59</v>
      </c>
      <c r="N218" s="3">
        <f>Data!U218</f>
        <v>0</v>
      </c>
      <c r="O218" s="3">
        <f t="shared" si="10"/>
        <v>977290.19</v>
      </c>
      <c r="P218" s="3">
        <f t="shared" si="11"/>
        <v>913781.6</v>
      </c>
      <c r="Q218" s="3">
        <f t="shared" si="12"/>
        <v>63508.59</v>
      </c>
    </row>
    <row r="219" spans="1:17" x14ac:dyDescent="0.2">
      <c r="A219" s="18">
        <v>719</v>
      </c>
      <c r="B219" s="18">
        <v>1</v>
      </c>
      <c r="C219" s="3" t="s">
        <v>345</v>
      </c>
      <c r="D219" s="3">
        <f>ROUND(Data!AC219*$B$3,2)</f>
        <v>1656983.96</v>
      </c>
      <c r="E219" s="3">
        <f>MAX(0,Data!AF219-Data!Y219)</f>
        <v>3077300.45</v>
      </c>
      <c r="F219" s="3">
        <f>Data!Y219</f>
        <v>893301.55</v>
      </c>
      <c r="G219" s="3">
        <f>Data!X219</f>
        <v>0</v>
      </c>
      <c r="H219" s="3">
        <f>Data!K219+Data!R219</f>
        <v>99248.75</v>
      </c>
      <c r="I219" s="3">
        <f>Data!I219+Data!L219+Data!M219+Data!N219+Data!O219+Data!S219</f>
        <v>0</v>
      </c>
      <c r="J219" s="3">
        <f>Data!Q219</f>
        <v>0</v>
      </c>
      <c r="K219" s="3">
        <f>Data!J219+Data!P219</f>
        <v>213079.26</v>
      </c>
      <c r="L219" s="3">
        <f>Data!T219</f>
        <v>0</v>
      </c>
      <c r="M219" s="3">
        <f>ROUND(Data!AD219*$B$3,2)</f>
        <v>306929.84000000003</v>
      </c>
      <c r="N219" s="3">
        <f>Data!U219</f>
        <v>0</v>
      </c>
      <c r="O219" s="3">
        <f t="shared" si="10"/>
        <v>6246843.8099999996</v>
      </c>
      <c r="P219" s="3">
        <f t="shared" si="11"/>
        <v>5939913.9699999997</v>
      </c>
      <c r="Q219" s="3">
        <f t="shared" si="12"/>
        <v>306929.84000000003</v>
      </c>
    </row>
    <row r="220" spans="1:17" x14ac:dyDescent="0.2">
      <c r="A220" s="18">
        <v>720</v>
      </c>
      <c r="B220" s="18">
        <v>1</v>
      </c>
      <c r="C220" s="3" t="s">
        <v>217</v>
      </c>
      <c r="D220" s="3">
        <f>ROUND(Data!AC220*$B$3,2)</f>
        <v>1327397.81</v>
      </c>
      <c r="E220" s="3">
        <f>MAX(0,Data!AF220-Data!Y220)</f>
        <v>1565648.5</v>
      </c>
      <c r="F220" s="3">
        <f>Data!Y220</f>
        <v>747920.6</v>
      </c>
      <c r="G220" s="3">
        <f>Data!X220</f>
        <v>5134.3100000000004</v>
      </c>
      <c r="H220" s="3">
        <f>Data!K220+Data!R220</f>
        <v>79315.78</v>
      </c>
      <c r="I220" s="3">
        <f>Data!I220+Data!L220+Data!M220+Data!N220+Data!O220+Data!S220</f>
        <v>0</v>
      </c>
      <c r="J220" s="3">
        <f>Data!Q220</f>
        <v>0</v>
      </c>
      <c r="K220" s="3">
        <f>Data!J220+Data!P220</f>
        <v>24203.690000000002</v>
      </c>
      <c r="L220" s="3">
        <f>Data!T220</f>
        <v>0</v>
      </c>
      <c r="M220" s="3">
        <f>ROUND(Data!AD220*$B$3,2)</f>
        <v>232311.27</v>
      </c>
      <c r="N220" s="3">
        <f>Data!U220</f>
        <v>0</v>
      </c>
      <c r="O220" s="3">
        <f t="shared" si="10"/>
        <v>3981931.96</v>
      </c>
      <c r="P220" s="3">
        <f t="shared" si="11"/>
        <v>3749620.69</v>
      </c>
      <c r="Q220" s="3">
        <f t="shared" si="12"/>
        <v>232311.27</v>
      </c>
    </row>
    <row r="221" spans="1:17" x14ac:dyDescent="0.2">
      <c r="A221" s="18">
        <v>721</v>
      </c>
      <c r="B221" s="18">
        <v>1</v>
      </c>
      <c r="C221" s="3" t="s">
        <v>218</v>
      </c>
      <c r="D221" s="3">
        <f>ROUND(Data!AC221*$B$3,2)</f>
        <v>844714.73</v>
      </c>
      <c r="E221" s="3">
        <f>MAX(0,Data!AF221-Data!Y221)</f>
        <v>1251514.9100000001</v>
      </c>
      <c r="F221" s="3">
        <f>Data!Y221</f>
        <v>161681.19</v>
      </c>
      <c r="G221" s="3">
        <f>Data!X221</f>
        <v>0</v>
      </c>
      <c r="H221" s="3">
        <f>Data!K221+Data!R221</f>
        <v>69431.62</v>
      </c>
      <c r="I221" s="3">
        <f>Data!I221+Data!L221+Data!M221+Data!N221+Data!O221+Data!S221</f>
        <v>0</v>
      </c>
      <c r="J221" s="3">
        <f>Data!Q221</f>
        <v>0</v>
      </c>
      <c r="K221" s="3">
        <f>Data!J221+Data!P221</f>
        <v>43737.25</v>
      </c>
      <c r="L221" s="3">
        <f>Data!T221</f>
        <v>0</v>
      </c>
      <c r="M221" s="3">
        <f>ROUND(Data!AD221*$B$3,2)</f>
        <v>106273.60000000001</v>
      </c>
      <c r="N221" s="3">
        <f>Data!U221</f>
        <v>0</v>
      </c>
      <c r="O221" s="3">
        <f t="shared" si="10"/>
        <v>2477353.3000000003</v>
      </c>
      <c r="P221" s="3">
        <f t="shared" si="11"/>
        <v>2371079.7000000002</v>
      </c>
      <c r="Q221" s="3">
        <f t="shared" si="12"/>
        <v>106273.60000000001</v>
      </c>
    </row>
    <row r="222" spans="1:17" x14ac:dyDescent="0.2">
      <c r="A222" s="18">
        <v>726</v>
      </c>
      <c r="B222" s="18">
        <v>1</v>
      </c>
      <c r="C222" s="3" t="s">
        <v>219</v>
      </c>
      <c r="D222" s="3">
        <f>ROUND(Data!AC222*$B$3,2)</f>
        <v>915638.75</v>
      </c>
      <c r="E222" s="3">
        <f>MAX(0,Data!AF222-Data!Y222)</f>
        <v>295785.60999999987</v>
      </c>
      <c r="F222" s="3">
        <f>Data!Y222</f>
        <v>783519.3</v>
      </c>
      <c r="G222" s="3">
        <f>Data!X222</f>
        <v>0</v>
      </c>
      <c r="H222" s="3">
        <f>Data!K222+Data!R222</f>
        <v>28850.52</v>
      </c>
      <c r="I222" s="3">
        <f>Data!I222+Data!L222+Data!M222+Data!N222+Data!O222+Data!S222</f>
        <v>0</v>
      </c>
      <c r="J222" s="3">
        <f>Data!Q222</f>
        <v>-12787.62</v>
      </c>
      <c r="K222" s="3">
        <f>Data!J222+Data!P222</f>
        <v>53337.41</v>
      </c>
      <c r="L222" s="3">
        <f>Data!T222</f>
        <v>0</v>
      </c>
      <c r="M222" s="3">
        <f>ROUND(Data!AD222*$B$3,2)</f>
        <v>93921.69</v>
      </c>
      <c r="N222" s="3">
        <f>Data!U222</f>
        <v>0</v>
      </c>
      <c r="O222" s="3">
        <f t="shared" si="10"/>
        <v>2158265.6599999997</v>
      </c>
      <c r="P222" s="3">
        <f t="shared" si="11"/>
        <v>2064343.9699999997</v>
      </c>
      <c r="Q222" s="3">
        <f t="shared" si="12"/>
        <v>93921.69</v>
      </c>
    </row>
    <row r="223" spans="1:17" x14ac:dyDescent="0.2">
      <c r="A223" s="18">
        <v>727</v>
      </c>
      <c r="B223" s="18">
        <v>1</v>
      </c>
      <c r="C223" s="3" t="s">
        <v>220</v>
      </c>
      <c r="D223" s="3">
        <f>ROUND(Data!AC223*$B$3,2)</f>
        <v>514529.42</v>
      </c>
      <c r="E223" s="3">
        <f>MAX(0,Data!AF223-Data!Y223)</f>
        <v>562382.24</v>
      </c>
      <c r="F223" s="3">
        <f>Data!Y223</f>
        <v>115044.4</v>
      </c>
      <c r="G223" s="3">
        <f>Data!X223</f>
        <v>0</v>
      </c>
      <c r="H223" s="3">
        <f>Data!K223+Data!R223</f>
        <v>32513.68</v>
      </c>
      <c r="I223" s="3">
        <f>Data!I223+Data!L223+Data!M223+Data!N223+Data!O223+Data!S223</f>
        <v>0</v>
      </c>
      <c r="J223" s="3">
        <f>Data!Q223</f>
        <v>0</v>
      </c>
      <c r="K223" s="3">
        <f>Data!J223+Data!P223</f>
        <v>64527.66</v>
      </c>
      <c r="L223" s="3">
        <f>Data!T223</f>
        <v>0</v>
      </c>
      <c r="M223" s="3">
        <f>ROUND(Data!AD223*$B$3,2)</f>
        <v>121563.61</v>
      </c>
      <c r="N223" s="3">
        <f>Data!U223</f>
        <v>0</v>
      </c>
      <c r="O223" s="3">
        <f t="shared" si="10"/>
        <v>1410561.0099999998</v>
      </c>
      <c r="P223" s="3">
        <f t="shared" si="11"/>
        <v>1288997.3999999997</v>
      </c>
      <c r="Q223" s="3">
        <f t="shared" si="12"/>
        <v>121563.61</v>
      </c>
    </row>
    <row r="224" spans="1:17" x14ac:dyDescent="0.2">
      <c r="A224" s="18">
        <v>728</v>
      </c>
      <c r="B224" s="18">
        <v>1</v>
      </c>
      <c r="C224" s="3" t="s">
        <v>221</v>
      </c>
      <c r="D224" s="3">
        <f>ROUND(Data!AC224*$B$3,2)</f>
        <v>3740798.38</v>
      </c>
      <c r="E224" s="3">
        <f>MAX(0,Data!AF224-Data!Y224)</f>
        <v>3121132.08</v>
      </c>
      <c r="F224" s="3">
        <f>Data!Y224</f>
        <v>1478546.91</v>
      </c>
      <c r="G224" s="3">
        <f>Data!X224</f>
        <v>118407.02</v>
      </c>
      <c r="H224" s="3">
        <f>Data!K224+Data!R224</f>
        <v>149787</v>
      </c>
      <c r="I224" s="3">
        <f>Data!I224+Data!L224+Data!M224+Data!N224+Data!O224+Data!S224</f>
        <v>0</v>
      </c>
      <c r="J224" s="3">
        <f>Data!Q224</f>
        <v>0</v>
      </c>
      <c r="K224" s="3">
        <f>Data!J224+Data!P224</f>
        <v>295385.67</v>
      </c>
      <c r="L224" s="3">
        <f>Data!T224</f>
        <v>0</v>
      </c>
      <c r="M224" s="3">
        <f>ROUND(Data!AD224*$B$3,2)</f>
        <v>419074.02</v>
      </c>
      <c r="N224" s="3">
        <f>Data!U224</f>
        <v>0</v>
      </c>
      <c r="O224" s="3">
        <f t="shared" si="10"/>
        <v>9323131.0800000001</v>
      </c>
      <c r="P224" s="3">
        <f t="shared" si="11"/>
        <v>8904057.0600000005</v>
      </c>
      <c r="Q224" s="3">
        <f t="shared" si="12"/>
        <v>419074.02</v>
      </c>
    </row>
    <row r="225" spans="1:17" x14ac:dyDescent="0.2">
      <c r="A225" s="18">
        <v>738</v>
      </c>
      <c r="B225" s="18">
        <v>1</v>
      </c>
      <c r="C225" s="3" t="s">
        <v>222</v>
      </c>
      <c r="D225" s="3">
        <f>ROUND(Data!AC225*$B$3,2)</f>
        <v>42158.57</v>
      </c>
      <c r="E225" s="3">
        <f>MAX(0,Data!AF225-Data!Y225)</f>
        <v>121763.21999999999</v>
      </c>
      <c r="F225" s="3">
        <f>Data!Y225</f>
        <v>34772.33</v>
      </c>
      <c r="G225" s="3">
        <f>Data!X225</f>
        <v>0</v>
      </c>
      <c r="H225" s="3">
        <f>Data!K225+Data!R225</f>
        <v>22375.33</v>
      </c>
      <c r="I225" s="3">
        <f>Data!I225+Data!L225+Data!M225+Data!N225+Data!O225+Data!S225</f>
        <v>0</v>
      </c>
      <c r="J225" s="3">
        <f>Data!Q225</f>
        <v>0</v>
      </c>
      <c r="K225" s="3">
        <f>Data!J225+Data!P225</f>
        <v>106.68000000000029</v>
      </c>
      <c r="L225" s="3">
        <f>Data!T225</f>
        <v>0</v>
      </c>
      <c r="M225" s="3">
        <f>ROUND(Data!AD225*$B$3,2)</f>
        <v>28284.18</v>
      </c>
      <c r="N225" s="3">
        <f>Data!U225</f>
        <v>0</v>
      </c>
      <c r="O225" s="3">
        <f t="shared" si="10"/>
        <v>249460.31</v>
      </c>
      <c r="P225" s="3">
        <f t="shared" si="11"/>
        <v>221176.13</v>
      </c>
      <c r="Q225" s="3">
        <f t="shared" si="12"/>
        <v>28284.18</v>
      </c>
    </row>
    <row r="226" spans="1:17" x14ac:dyDescent="0.2">
      <c r="A226" s="18">
        <v>739</v>
      </c>
      <c r="B226" s="18">
        <v>1</v>
      </c>
      <c r="C226" s="3" t="s">
        <v>223</v>
      </c>
      <c r="D226" s="3">
        <f>ROUND(Data!AC226*$B$3,2)</f>
        <v>164357.32</v>
      </c>
      <c r="E226" s="3">
        <f>MAX(0,Data!AF226-Data!Y226)</f>
        <v>275037.26</v>
      </c>
      <c r="F226" s="3">
        <f>Data!Y226</f>
        <v>43638.03</v>
      </c>
      <c r="G226" s="3">
        <f>Data!X226</f>
        <v>0</v>
      </c>
      <c r="H226" s="3">
        <f>Data!K226+Data!R226</f>
        <v>16124</v>
      </c>
      <c r="I226" s="3">
        <f>Data!I226+Data!L226+Data!M226+Data!N226+Data!O226+Data!S226</f>
        <v>0</v>
      </c>
      <c r="J226" s="3">
        <f>Data!Q226</f>
        <v>0</v>
      </c>
      <c r="K226" s="3">
        <f>Data!J226+Data!P226</f>
        <v>-8965.9000000000015</v>
      </c>
      <c r="L226" s="3">
        <f>Data!T226</f>
        <v>0</v>
      </c>
      <c r="M226" s="3">
        <f>ROUND(Data!AD226*$B$3,2)</f>
        <v>31910.48</v>
      </c>
      <c r="N226" s="3">
        <f>Data!U226</f>
        <v>0</v>
      </c>
      <c r="O226" s="3">
        <f t="shared" si="10"/>
        <v>522101.18999999994</v>
      </c>
      <c r="P226" s="3">
        <f t="shared" si="11"/>
        <v>490190.70999999996</v>
      </c>
      <c r="Q226" s="3">
        <f t="shared" si="12"/>
        <v>31910.48</v>
      </c>
    </row>
    <row r="227" spans="1:17" x14ac:dyDescent="0.2">
      <c r="A227" s="18">
        <v>740</v>
      </c>
      <c r="B227" s="18">
        <v>1</v>
      </c>
      <c r="C227" s="3" t="s">
        <v>224</v>
      </c>
      <c r="D227" s="3">
        <f>ROUND(Data!AC227*$B$3,2)</f>
        <v>270868.83</v>
      </c>
      <c r="E227" s="3">
        <f>MAX(0,Data!AF227-Data!Y227)</f>
        <v>296563.93</v>
      </c>
      <c r="F227" s="3">
        <f>Data!Y227</f>
        <v>52270.81</v>
      </c>
      <c r="G227" s="3">
        <f>Data!X227</f>
        <v>0</v>
      </c>
      <c r="H227" s="3">
        <f>Data!K227+Data!R227</f>
        <v>30156</v>
      </c>
      <c r="I227" s="3">
        <f>Data!I227+Data!L227+Data!M227+Data!N227+Data!O227+Data!S227</f>
        <v>0</v>
      </c>
      <c r="J227" s="3">
        <f>Data!Q227</f>
        <v>0</v>
      </c>
      <c r="K227" s="3">
        <f>Data!J227+Data!P227</f>
        <v>10884.42</v>
      </c>
      <c r="L227" s="3">
        <f>Data!T227</f>
        <v>0</v>
      </c>
      <c r="M227" s="3">
        <f>ROUND(Data!AD227*$B$3,2)</f>
        <v>49428.09</v>
      </c>
      <c r="N227" s="3">
        <f>Data!U227</f>
        <v>0</v>
      </c>
      <c r="O227" s="3">
        <f t="shared" si="10"/>
        <v>710172.08000000007</v>
      </c>
      <c r="P227" s="3">
        <f t="shared" si="11"/>
        <v>660743.99000000011</v>
      </c>
      <c r="Q227" s="3">
        <f t="shared" si="12"/>
        <v>49428.09</v>
      </c>
    </row>
    <row r="228" spans="1:17" x14ac:dyDescent="0.2">
      <c r="A228" s="18">
        <v>741</v>
      </c>
      <c r="B228" s="18">
        <v>1</v>
      </c>
      <c r="C228" s="3" t="s">
        <v>225</v>
      </c>
      <c r="D228" s="3">
        <f>ROUND(Data!AC228*$B$3,2)</f>
        <v>217406.9</v>
      </c>
      <c r="E228" s="3">
        <f>MAX(0,Data!AF228-Data!Y228)</f>
        <v>135564.65999999997</v>
      </c>
      <c r="F228" s="3">
        <f>Data!Y228</f>
        <v>50390.3</v>
      </c>
      <c r="G228" s="3">
        <f>Data!X228</f>
        <v>14724.96</v>
      </c>
      <c r="H228" s="3">
        <f>Data!K228+Data!R228</f>
        <v>23914.080000000002</v>
      </c>
      <c r="I228" s="3">
        <f>Data!I228+Data!L228+Data!M228+Data!N228+Data!O228+Data!S228</f>
        <v>0</v>
      </c>
      <c r="J228" s="3">
        <f>Data!Q228</f>
        <v>0</v>
      </c>
      <c r="K228" s="3">
        <f>Data!J228+Data!P228</f>
        <v>2792.1899999999996</v>
      </c>
      <c r="L228" s="3">
        <f>Data!T228</f>
        <v>0</v>
      </c>
      <c r="M228" s="3">
        <f>ROUND(Data!AD228*$B$3,2)</f>
        <v>38879.589999999997</v>
      </c>
      <c r="N228" s="3">
        <f>Data!U228</f>
        <v>0</v>
      </c>
      <c r="O228" s="3">
        <f t="shared" si="10"/>
        <v>483672.67999999993</v>
      </c>
      <c r="P228" s="3">
        <f t="shared" si="11"/>
        <v>444793.08999999997</v>
      </c>
      <c r="Q228" s="3">
        <f t="shared" si="12"/>
        <v>38879.589999999997</v>
      </c>
    </row>
    <row r="229" spans="1:17" x14ac:dyDescent="0.2">
      <c r="A229" s="18">
        <v>742</v>
      </c>
      <c r="B229" s="18">
        <v>1</v>
      </c>
      <c r="C229" s="3" t="s">
        <v>226</v>
      </c>
      <c r="D229" s="3">
        <f>ROUND(Data!AC229*$B$3,2)</f>
        <v>3678262.36</v>
      </c>
      <c r="E229" s="3">
        <f>MAX(0,Data!AF229-Data!Y229)</f>
        <v>1712057.95</v>
      </c>
      <c r="F229" s="3">
        <f>Data!Y229</f>
        <v>1164341.68</v>
      </c>
      <c r="G229" s="3">
        <f>Data!X229</f>
        <v>0</v>
      </c>
      <c r="H229" s="3">
        <f>Data!K229+Data!R229</f>
        <v>188634.78</v>
      </c>
      <c r="I229" s="3">
        <f>Data!I229+Data!L229+Data!M229+Data!N229+Data!O229+Data!S229</f>
        <v>4673.3999999999996</v>
      </c>
      <c r="J229" s="3">
        <f>Data!Q229</f>
        <v>0</v>
      </c>
      <c r="K229" s="3">
        <f>Data!J229+Data!P229</f>
        <v>106012.55</v>
      </c>
      <c r="L229" s="3">
        <f>Data!T229</f>
        <v>0</v>
      </c>
      <c r="M229" s="3">
        <f>ROUND(Data!AD229*$B$3,2)</f>
        <v>622030.99</v>
      </c>
      <c r="N229" s="3">
        <f>Data!U229</f>
        <v>0</v>
      </c>
      <c r="O229" s="3">
        <f t="shared" si="10"/>
        <v>7476013.71</v>
      </c>
      <c r="P229" s="3">
        <f t="shared" si="11"/>
        <v>6853982.7199999997</v>
      </c>
      <c r="Q229" s="3">
        <f t="shared" si="12"/>
        <v>622030.99</v>
      </c>
    </row>
    <row r="230" spans="1:17" x14ac:dyDescent="0.2">
      <c r="A230" s="18">
        <v>743</v>
      </c>
      <c r="B230" s="18">
        <v>1</v>
      </c>
      <c r="C230" s="3" t="s">
        <v>227</v>
      </c>
      <c r="D230" s="3">
        <f>ROUND(Data!AC230*$B$3,2)</f>
        <v>123114.63</v>
      </c>
      <c r="E230" s="3">
        <f>MAX(0,Data!AF230-Data!Y230)</f>
        <v>487715.88</v>
      </c>
      <c r="F230" s="3">
        <f>Data!Y230</f>
        <v>35407.78</v>
      </c>
      <c r="G230" s="3">
        <f>Data!X230</f>
        <v>0</v>
      </c>
      <c r="H230" s="3">
        <f>Data!K230+Data!R230</f>
        <v>28432.77</v>
      </c>
      <c r="I230" s="3">
        <f>Data!I230+Data!L230+Data!M230+Data!N230+Data!O230+Data!S230</f>
        <v>0</v>
      </c>
      <c r="J230" s="3">
        <f>Data!Q230</f>
        <v>0</v>
      </c>
      <c r="K230" s="3">
        <f>Data!J230+Data!P230</f>
        <v>8396.64</v>
      </c>
      <c r="L230" s="3">
        <f>Data!T230</f>
        <v>0</v>
      </c>
      <c r="M230" s="3">
        <f>ROUND(Data!AD230*$B$3,2)</f>
        <v>42321.05</v>
      </c>
      <c r="N230" s="3">
        <f>Data!U230</f>
        <v>0</v>
      </c>
      <c r="O230" s="3">
        <f t="shared" si="10"/>
        <v>725388.75000000012</v>
      </c>
      <c r="P230" s="3">
        <f t="shared" si="11"/>
        <v>683067.70000000007</v>
      </c>
      <c r="Q230" s="3">
        <f t="shared" si="12"/>
        <v>42321.05</v>
      </c>
    </row>
    <row r="231" spans="1:17" x14ac:dyDescent="0.2">
      <c r="A231" s="18">
        <v>745</v>
      </c>
      <c r="B231" s="18">
        <v>1</v>
      </c>
      <c r="C231" s="3" t="s">
        <v>228</v>
      </c>
      <c r="D231" s="3">
        <f>ROUND(Data!AC231*$B$3,2)</f>
        <v>225429.94</v>
      </c>
      <c r="E231" s="3">
        <f>MAX(0,Data!AF231-Data!Y231)</f>
        <v>203527.87000000002</v>
      </c>
      <c r="F231" s="3">
        <f>Data!Y231</f>
        <v>60324.53</v>
      </c>
      <c r="G231" s="3">
        <f>Data!X231</f>
        <v>0</v>
      </c>
      <c r="H231" s="3">
        <f>Data!K231+Data!R231</f>
        <v>35480.19</v>
      </c>
      <c r="I231" s="3">
        <f>Data!I231+Data!L231+Data!M231+Data!N231+Data!O231+Data!S231</f>
        <v>0</v>
      </c>
      <c r="J231" s="3">
        <f>Data!Q231</f>
        <v>0</v>
      </c>
      <c r="K231" s="3">
        <f>Data!J231+Data!P231</f>
        <v>12.819999999999993</v>
      </c>
      <c r="L231" s="3">
        <f>Data!T231</f>
        <v>0</v>
      </c>
      <c r="M231" s="3">
        <f>ROUND(Data!AD231*$B$3,2)</f>
        <v>48758.41</v>
      </c>
      <c r="N231" s="3">
        <f>Data!U231</f>
        <v>0</v>
      </c>
      <c r="O231" s="3">
        <f t="shared" si="10"/>
        <v>573533.76</v>
      </c>
      <c r="P231" s="3">
        <f t="shared" si="11"/>
        <v>524775.35</v>
      </c>
      <c r="Q231" s="3">
        <f t="shared" si="12"/>
        <v>48758.41</v>
      </c>
    </row>
    <row r="232" spans="1:17" x14ac:dyDescent="0.2">
      <c r="A232" s="18">
        <v>748</v>
      </c>
      <c r="B232" s="18">
        <v>1</v>
      </c>
      <c r="C232" s="3" t="s">
        <v>229</v>
      </c>
      <c r="D232" s="3">
        <f>ROUND(Data!AC232*$B$3,2)</f>
        <v>518679.97</v>
      </c>
      <c r="E232" s="3">
        <f>MAX(0,Data!AF232-Data!Y232)</f>
        <v>317554.68000000005</v>
      </c>
      <c r="F232" s="3">
        <f>Data!Y232</f>
        <v>92655.9</v>
      </c>
      <c r="G232" s="3">
        <f>Data!X232</f>
        <v>0</v>
      </c>
      <c r="H232" s="3">
        <f>Data!K232+Data!R232</f>
        <v>58681.049999999996</v>
      </c>
      <c r="I232" s="3">
        <f>Data!I232+Data!L232+Data!M232+Data!N232+Data!O232+Data!S232</f>
        <v>0</v>
      </c>
      <c r="J232" s="3">
        <f>Data!Q232</f>
        <v>0</v>
      </c>
      <c r="K232" s="3">
        <f>Data!J232+Data!P232</f>
        <v>114969.45</v>
      </c>
      <c r="L232" s="3">
        <f>Data!T232</f>
        <v>0</v>
      </c>
      <c r="M232" s="3">
        <f>ROUND(Data!AD232*$B$3,2)</f>
        <v>84020.81</v>
      </c>
      <c r="N232" s="3">
        <f>Data!U232</f>
        <v>0</v>
      </c>
      <c r="O232" s="3">
        <f t="shared" si="10"/>
        <v>1186561.8600000001</v>
      </c>
      <c r="P232" s="3">
        <f t="shared" si="11"/>
        <v>1102541.05</v>
      </c>
      <c r="Q232" s="3">
        <f t="shared" si="12"/>
        <v>84020.81</v>
      </c>
    </row>
    <row r="233" spans="1:17" x14ac:dyDescent="0.2">
      <c r="A233" s="18">
        <v>750</v>
      </c>
      <c r="B233" s="18">
        <v>1</v>
      </c>
      <c r="C233" s="3" t="s">
        <v>230</v>
      </c>
      <c r="D233" s="3">
        <f>ROUND(Data!AC233*$B$3,2)</f>
        <v>487242.88</v>
      </c>
      <c r="E233" s="3">
        <f>MAX(0,Data!AF233-Data!Y233)</f>
        <v>420952.44</v>
      </c>
      <c r="F233" s="3">
        <f>Data!Y233</f>
        <v>110156.45</v>
      </c>
      <c r="G233" s="3">
        <f>Data!X233</f>
        <v>0</v>
      </c>
      <c r="H233" s="3">
        <f>Data!K233+Data!R233</f>
        <v>22982.959999999999</v>
      </c>
      <c r="I233" s="3">
        <f>Data!I233+Data!L233+Data!M233+Data!N233+Data!O233+Data!S233</f>
        <v>0</v>
      </c>
      <c r="J233" s="3">
        <f>Data!Q233</f>
        <v>0</v>
      </c>
      <c r="K233" s="3">
        <f>Data!J233+Data!P233</f>
        <v>-6527.8300000000017</v>
      </c>
      <c r="L233" s="3">
        <f>Data!T233</f>
        <v>0</v>
      </c>
      <c r="M233" s="3">
        <f>ROUND(Data!AD233*$B$3,2)</f>
        <v>70715</v>
      </c>
      <c r="N233" s="3">
        <f>Data!U233</f>
        <v>0</v>
      </c>
      <c r="O233" s="3">
        <f t="shared" si="10"/>
        <v>1105521.8999999999</v>
      </c>
      <c r="P233" s="3">
        <f t="shared" si="11"/>
        <v>1034806.9</v>
      </c>
      <c r="Q233" s="3">
        <f t="shared" si="12"/>
        <v>70715</v>
      </c>
    </row>
    <row r="234" spans="1:17" x14ac:dyDescent="0.2">
      <c r="A234" s="18">
        <v>756</v>
      </c>
      <c r="B234" s="18">
        <v>1</v>
      </c>
      <c r="C234" s="3" t="s">
        <v>231</v>
      </c>
      <c r="D234" s="3">
        <f>ROUND(Data!AC234*$B$3,2)</f>
        <v>169116.9</v>
      </c>
      <c r="E234" s="3">
        <f>MAX(0,Data!AF234-Data!Y234)</f>
        <v>109780.26000000001</v>
      </c>
      <c r="F234" s="3">
        <f>Data!Y234</f>
        <v>49372.4</v>
      </c>
      <c r="G234" s="3">
        <f>Data!X234</f>
        <v>0</v>
      </c>
      <c r="H234" s="3">
        <f>Data!K234+Data!R234</f>
        <v>15323.4</v>
      </c>
      <c r="I234" s="3">
        <f>Data!I234+Data!L234+Data!M234+Data!N234+Data!O234+Data!S234</f>
        <v>0</v>
      </c>
      <c r="J234" s="3">
        <f>Data!Q234</f>
        <v>0</v>
      </c>
      <c r="K234" s="3">
        <f>Data!J234+Data!P234</f>
        <v>9379.7000000000007</v>
      </c>
      <c r="L234" s="3">
        <f>Data!T234</f>
        <v>0</v>
      </c>
      <c r="M234" s="3">
        <f>ROUND(Data!AD234*$B$3,2)</f>
        <v>21848.47</v>
      </c>
      <c r="N234" s="3">
        <f>Data!U234</f>
        <v>0</v>
      </c>
      <c r="O234" s="3">
        <f t="shared" si="10"/>
        <v>374821.13000000012</v>
      </c>
      <c r="P234" s="3">
        <f t="shared" si="11"/>
        <v>352972.66000000009</v>
      </c>
      <c r="Q234" s="3">
        <f t="shared" si="12"/>
        <v>21848.47</v>
      </c>
    </row>
    <row r="235" spans="1:17" x14ac:dyDescent="0.2">
      <c r="A235" s="18">
        <v>761</v>
      </c>
      <c r="B235" s="18">
        <v>1</v>
      </c>
      <c r="C235" s="3" t="s">
        <v>232</v>
      </c>
      <c r="D235" s="3">
        <f>ROUND(Data!AC235*$B$3,2)</f>
        <v>979727.09</v>
      </c>
      <c r="E235" s="3">
        <f>MAX(0,Data!AF235-Data!Y235)</f>
        <v>1098470.2400000002</v>
      </c>
      <c r="F235" s="3">
        <f>Data!Y235</f>
        <v>339315.37</v>
      </c>
      <c r="G235" s="3">
        <f>Data!X235</f>
        <v>0</v>
      </c>
      <c r="H235" s="3">
        <f>Data!K235+Data!R235</f>
        <v>98712.909999999989</v>
      </c>
      <c r="I235" s="3">
        <f>Data!I235+Data!L235+Data!M235+Data!N235+Data!O235+Data!S235</f>
        <v>0</v>
      </c>
      <c r="J235" s="3">
        <f>Data!Q235</f>
        <v>0</v>
      </c>
      <c r="K235" s="3">
        <f>Data!J235+Data!P235</f>
        <v>52335.23</v>
      </c>
      <c r="L235" s="3">
        <f>Data!T235</f>
        <v>0</v>
      </c>
      <c r="M235" s="3">
        <f>ROUND(Data!AD235*$B$3,2)</f>
        <v>150770.48000000001</v>
      </c>
      <c r="N235" s="3">
        <f>Data!U235</f>
        <v>0</v>
      </c>
      <c r="O235" s="3">
        <f t="shared" si="10"/>
        <v>2719331.3200000003</v>
      </c>
      <c r="P235" s="3">
        <f t="shared" si="11"/>
        <v>2568560.8400000003</v>
      </c>
      <c r="Q235" s="3">
        <f t="shared" si="12"/>
        <v>150770.48000000001</v>
      </c>
    </row>
    <row r="236" spans="1:17" x14ac:dyDescent="0.2">
      <c r="A236" s="18">
        <v>763</v>
      </c>
      <c r="B236" s="18">
        <v>1</v>
      </c>
      <c r="C236" s="3" t="s">
        <v>233</v>
      </c>
      <c r="D236" s="3">
        <f>ROUND(Data!AC236*$B$3,2)</f>
        <v>109830.73</v>
      </c>
      <c r="E236" s="3">
        <f>MAX(0,Data!AF236-Data!Y236)</f>
        <v>0</v>
      </c>
      <c r="F236" s="3">
        <f>Data!Y236</f>
        <v>82496.66</v>
      </c>
      <c r="G236" s="3">
        <f>Data!X236</f>
        <v>2287.08</v>
      </c>
      <c r="H236" s="3">
        <f>Data!K236+Data!R236</f>
        <v>10000</v>
      </c>
      <c r="I236" s="3">
        <f>Data!I236+Data!L236+Data!M236+Data!N236+Data!O236+Data!S236</f>
        <v>0</v>
      </c>
      <c r="J236" s="3">
        <f>Data!Q236</f>
        <v>0</v>
      </c>
      <c r="K236" s="3">
        <f>Data!J236+Data!P236</f>
        <v>25734.83</v>
      </c>
      <c r="L236" s="3">
        <f>Data!T236</f>
        <v>0</v>
      </c>
      <c r="M236" s="3">
        <f>ROUND(Data!AD236*$B$3,2)</f>
        <v>16867.669999999998</v>
      </c>
      <c r="N236" s="3">
        <f>Data!U236</f>
        <v>0</v>
      </c>
      <c r="O236" s="3">
        <f t="shared" si="10"/>
        <v>247216.96999999997</v>
      </c>
      <c r="P236" s="3">
        <f t="shared" si="11"/>
        <v>230349.3</v>
      </c>
      <c r="Q236" s="3">
        <f t="shared" si="12"/>
        <v>16867.669999999998</v>
      </c>
    </row>
    <row r="237" spans="1:17" x14ac:dyDescent="0.2">
      <c r="A237" s="18">
        <v>768</v>
      </c>
      <c r="B237" s="18">
        <v>1</v>
      </c>
      <c r="C237" s="3" t="s">
        <v>234</v>
      </c>
      <c r="D237" s="3">
        <f>ROUND(Data!AC237*$B$3,2)</f>
        <v>33460.129999999997</v>
      </c>
      <c r="E237" s="3">
        <f>MAX(0,Data!AF237-Data!Y237)</f>
        <v>54673.759999999995</v>
      </c>
      <c r="F237" s="3">
        <f>Data!Y237</f>
        <v>16918.64</v>
      </c>
      <c r="G237" s="3">
        <f>Data!X237</f>
        <v>0</v>
      </c>
      <c r="H237" s="3">
        <f>Data!K237+Data!R237</f>
        <v>10000</v>
      </c>
      <c r="I237" s="3">
        <f>Data!I237+Data!L237+Data!M237+Data!N237+Data!O237+Data!S237</f>
        <v>0</v>
      </c>
      <c r="J237" s="3">
        <f>Data!Q237</f>
        <v>0</v>
      </c>
      <c r="K237" s="3">
        <f>Data!J237+Data!P237</f>
        <v>1327.9099999999999</v>
      </c>
      <c r="L237" s="3">
        <f>Data!T237</f>
        <v>0</v>
      </c>
      <c r="M237" s="3">
        <f>ROUND(Data!AD237*$B$3,2)</f>
        <v>7030.04</v>
      </c>
      <c r="N237" s="3">
        <f>Data!U237</f>
        <v>0</v>
      </c>
      <c r="O237" s="3">
        <f t="shared" si="10"/>
        <v>123410.47999999998</v>
      </c>
      <c r="P237" s="3">
        <f t="shared" si="11"/>
        <v>116380.43999999999</v>
      </c>
      <c r="Q237" s="3">
        <f t="shared" si="12"/>
        <v>7030.04</v>
      </c>
    </row>
    <row r="238" spans="1:17" x14ac:dyDescent="0.2">
      <c r="A238" s="18">
        <v>769</v>
      </c>
      <c r="B238" s="18">
        <v>1</v>
      </c>
      <c r="C238" s="3" t="s">
        <v>235</v>
      </c>
      <c r="D238" s="3">
        <f>ROUND(Data!AC238*$B$3,2)</f>
        <v>120161.72</v>
      </c>
      <c r="E238" s="3">
        <f>MAX(0,Data!AF238-Data!Y238)</f>
        <v>141176.35000000003</v>
      </c>
      <c r="F238" s="3">
        <f>Data!Y238</f>
        <v>161645.93</v>
      </c>
      <c r="G238" s="3">
        <f>Data!X238</f>
        <v>0</v>
      </c>
      <c r="H238" s="3">
        <f>Data!K238+Data!R238</f>
        <v>11248.52</v>
      </c>
      <c r="I238" s="3">
        <f>Data!I238+Data!L238+Data!M238+Data!N238+Data!O238+Data!S238</f>
        <v>0</v>
      </c>
      <c r="J238" s="3">
        <f>Data!Q238</f>
        <v>0</v>
      </c>
      <c r="K238" s="3">
        <f>Data!J238+Data!P238</f>
        <v>3423.0600000000004</v>
      </c>
      <c r="L238" s="3">
        <f>Data!T238</f>
        <v>0</v>
      </c>
      <c r="M238" s="3">
        <f>ROUND(Data!AD238*$B$3,2)</f>
        <v>44888.5</v>
      </c>
      <c r="N238" s="3">
        <f>Data!U238</f>
        <v>0</v>
      </c>
      <c r="O238" s="3">
        <f t="shared" si="10"/>
        <v>482544.08</v>
      </c>
      <c r="P238" s="3">
        <f t="shared" si="11"/>
        <v>437655.58</v>
      </c>
      <c r="Q238" s="3">
        <f t="shared" si="12"/>
        <v>44888.5</v>
      </c>
    </row>
    <row r="239" spans="1:17" x14ac:dyDescent="0.2">
      <c r="A239" s="18">
        <v>771</v>
      </c>
      <c r="B239" s="18">
        <v>1</v>
      </c>
      <c r="C239" s="3" t="s">
        <v>236</v>
      </c>
      <c r="D239" s="3">
        <f>ROUND(Data!AC239*$B$3,2)</f>
        <v>25531.9</v>
      </c>
      <c r="E239" s="3">
        <f>MAX(0,Data!AF239-Data!Y239)</f>
        <v>74142.73000000001</v>
      </c>
      <c r="F239" s="3">
        <f>Data!Y239</f>
        <v>91489.25</v>
      </c>
      <c r="G239" s="3">
        <f>Data!X239</f>
        <v>0</v>
      </c>
      <c r="H239" s="3">
        <f>Data!K239+Data!R239</f>
        <v>10000</v>
      </c>
      <c r="I239" s="3">
        <f>Data!I239+Data!L239+Data!M239+Data!N239+Data!O239+Data!S239</f>
        <v>0</v>
      </c>
      <c r="J239" s="3">
        <f>Data!Q239</f>
        <v>0</v>
      </c>
      <c r="K239" s="3">
        <f>Data!J239+Data!P239</f>
        <v>4500</v>
      </c>
      <c r="L239" s="3">
        <f>Data!T239</f>
        <v>0</v>
      </c>
      <c r="M239" s="3">
        <f>ROUND(Data!AD239*$B$3,2)</f>
        <v>12081.19</v>
      </c>
      <c r="N239" s="3">
        <f>Data!U239</f>
        <v>0</v>
      </c>
      <c r="O239" s="3">
        <f t="shared" si="10"/>
        <v>217745.07</v>
      </c>
      <c r="P239" s="3">
        <f t="shared" si="11"/>
        <v>205663.88</v>
      </c>
      <c r="Q239" s="3">
        <f t="shared" si="12"/>
        <v>12081.19</v>
      </c>
    </row>
    <row r="240" spans="1:17" x14ac:dyDescent="0.2">
      <c r="A240" s="18">
        <v>775</v>
      </c>
      <c r="B240" s="18">
        <v>1</v>
      </c>
      <c r="C240" s="3" t="s">
        <v>237</v>
      </c>
      <c r="D240" s="3">
        <f>ROUND(Data!AC240*$B$3,2)</f>
        <v>154008.72</v>
      </c>
      <c r="E240" s="3">
        <f>MAX(0,Data!AF240-Data!Y240)</f>
        <v>40205.929999999993</v>
      </c>
      <c r="F240" s="3">
        <f>Data!Y240</f>
        <v>70853.63</v>
      </c>
      <c r="G240" s="3">
        <f>Data!X240</f>
        <v>2763.8</v>
      </c>
      <c r="H240" s="3">
        <f>Data!K240+Data!R240</f>
        <v>12621.6</v>
      </c>
      <c r="I240" s="3">
        <f>Data!I240+Data!L240+Data!M240+Data!N240+Data!O240+Data!S240</f>
        <v>0</v>
      </c>
      <c r="J240" s="3">
        <f>Data!Q240</f>
        <v>0</v>
      </c>
      <c r="K240" s="3">
        <f>Data!J240+Data!P240</f>
        <v>8104.4400000000005</v>
      </c>
      <c r="L240" s="3">
        <f>Data!T240</f>
        <v>0</v>
      </c>
      <c r="M240" s="3">
        <f>ROUND(Data!AD240*$B$3,2)</f>
        <v>20982.23</v>
      </c>
      <c r="N240" s="3">
        <f>Data!U240</f>
        <v>0</v>
      </c>
      <c r="O240" s="3">
        <f t="shared" si="10"/>
        <v>309540.34999999998</v>
      </c>
      <c r="P240" s="3">
        <f t="shared" si="11"/>
        <v>288558.12</v>
      </c>
      <c r="Q240" s="3">
        <f t="shared" si="12"/>
        <v>20982.23</v>
      </c>
    </row>
    <row r="241" spans="1:17" x14ac:dyDescent="0.2">
      <c r="A241" s="18">
        <v>777</v>
      </c>
      <c r="B241" s="18">
        <v>1</v>
      </c>
      <c r="C241" s="3" t="s">
        <v>238</v>
      </c>
      <c r="D241" s="3">
        <f>ROUND(Data!AC241*$B$3,2)</f>
        <v>199845.5</v>
      </c>
      <c r="E241" s="3">
        <f>MAX(0,Data!AF241-Data!Y241)</f>
        <v>99490.00999999998</v>
      </c>
      <c r="F241" s="3">
        <f>Data!Y241</f>
        <v>57663.73</v>
      </c>
      <c r="G241" s="3">
        <f>Data!X241</f>
        <v>0</v>
      </c>
      <c r="H241" s="3">
        <f>Data!K241+Data!R241</f>
        <v>28001.02</v>
      </c>
      <c r="I241" s="3">
        <f>Data!I241+Data!L241+Data!M241+Data!N241+Data!O241+Data!S241</f>
        <v>0</v>
      </c>
      <c r="J241" s="3">
        <f>Data!Q241</f>
        <v>0</v>
      </c>
      <c r="K241" s="3">
        <f>Data!J241+Data!P241</f>
        <v>12731.1</v>
      </c>
      <c r="L241" s="3">
        <f>Data!T241</f>
        <v>0</v>
      </c>
      <c r="M241" s="3">
        <f>ROUND(Data!AD241*$B$3,2)</f>
        <v>36517.279999999999</v>
      </c>
      <c r="N241" s="3">
        <f>Data!U241</f>
        <v>0</v>
      </c>
      <c r="O241" s="3">
        <f t="shared" si="10"/>
        <v>434248.64</v>
      </c>
      <c r="P241" s="3">
        <f t="shared" si="11"/>
        <v>397731.36</v>
      </c>
      <c r="Q241" s="3">
        <f t="shared" si="12"/>
        <v>36517.279999999999</v>
      </c>
    </row>
    <row r="242" spans="1:17" x14ac:dyDescent="0.2">
      <c r="A242" s="18">
        <v>786</v>
      </c>
      <c r="B242" s="18">
        <v>1</v>
      </c>
      <c r="C242" s="3" t="s">
        <v>239</v>
      </c>
      <c r="D242" s="3">
        <f>ROUND(Data!AC242*$B$3,2)</f>
        <v>73169.600000000006</v>
      </c>
      <c r="E242" s="3">
        <f>MAX(0,Data!AF242-Data!Y242)</f>
        <v>38429.980000000003</v>
      </c>
      <c r="F242" s="3">
        <f>Data!Y242</f>
        <v>9085.75</v>
      </c>
      <c r="G242" s="3">
        <f>Data!X242</f>
        <v>0</v>
      </c>
      <c r="H242" s="3">
        <f>Data!K242+Data!R242</f>
        <v>10995.26</v>
      </c>
      <c r="I242" s="3">
        <f>Data!I242+Data!L242+Data!M242+Data!N242+Data!O242+Data!S242</f>
        <v>0</v>
      </c>
      <c r="J242" s="3">
        <f>Data!Q242</f>
        <v>-3300</v>
      </c>
      <c r="K242" s="3">
        <f>Data!J242+Data!P242</f>
        <v>3300</v>
      </c>
      <c r="L242" s="3">
        <f>Data!T242</f>
        <v>0</v>
      </c>
      <c r="M242" s="3">
        <f>ROUND(Data!AD242*$B$3,2)</f>
        <v>23580.23</v>
      </c>
      <c r="N242" s="3">
        <f>Data!U242</f>
        <v>0</v>
      </c>
      <c r="O242" s="3">
        <f t="shared" si="10"/>
        <v>155260.82000000004</v>
      </c>
      <c r="P242" s="3">
        <f t="shared" si="11"/>
        <v>131680.59000000003</v>
      </c>
      <c r="Q242" s="3">
        <f t="shared" si="12"/>
        <v>23580.23</v>
      </c>
    </row>
    <row r="243" spans="1:17" x14ac:dyDescent="0.2">
      <c r="A243" s="18">
        <v>787</v>
      </c>
      <c r="B243" s="18">
        <v>1</v>
      </c>
      <c r="C243" s="3" t="s">
        <v>240</v>
      </c>
      <c r="D243" s="3">
        <f>ROUND(Data!AC243*$B$3,2)</f>
        <v>71467.59</v>
      </c>
      <c r="E243" s="3">
        <f>MAX(0,Data!AF243-Data!Y243)</f>
        <v>0</v>
      </c>
      <c r="F243" s="3">
        <f>Data!Y243</f>
        <v>16243.15</v>
      </c>
      <c r="G243" s="3">
        <f>Data!X243</f>
        <v>0</v>
      </c>
      <c r="H243" s="3">
        <f>Data!K243+Data!R243</f>
        <v>21563.35</v>
      </c>
      <c r="I243" s="3">
        <f>Data!I243+Data!L243+Data!M243+Data!N243+Data!O243+Data!S243</f>
        <v>0</v>
      </c>
      <c r="J243" s="3">
        <f>Data!Q243</f>
        <v>0</v>
      </c>
      <c r="K243" s="3">
        <f>Data!J243+Data!P243</f>
        <v>0</v>
      </c>
      <c r="L243" s="3">
        <f>Data!T243</f>
        <v>0</v>
      </c>
      <c r="M243" s="3">
        <f>ROUND(Data!AD243*$B$3,2)</f>
        <v>12193.74</v>
      </c>
      <c r="N243" s="3">
        <f>Data!U243</f>
        <v>0</v>
      </c>
      <c r="O243" s="3">
        <f t="shared" si="10"/>
        <v>121467.83</v>
      </c>
      <c r="P243" s="3">
        <f t="shared" si="11"/>
        <v>109274.09</v>
      </c>
      <c r="Q243" s="3">
        <f t="shared" si="12"/>
        <v>12193.74</v>
      </c>
    </row>
    <row r="244" spans="1:17" x14ac:dyDescent="0.2">
      <c r="A244" s="18">
        <v>801</v>
      </c>
      <c r="B244" s="18">
        <v>1</v>
      </c>
      <c r="C244" s="3" t="s">
        <v>241</v>
      </c>
      <c r="D244" s="3">
        <f>ROUND(Data!AC244*$B$3,2)</f>
        <v>20296.75</v>
      </c>
      <c r="E244" s="3">
        <f>MAX(0,Data!AF244-Data!Y244)</f>
        <v>0</v>
      </c>
      <c r="F244" s="3">
        <f>Data!Y244</f>
        <v>38455.82</v>
      </c>
      <c r="G244" s="3">
        <f>Data!X244</f>
        <v>1041.8699999999999</v>
      </c>
      <c r="H244" s="3">
        <f>Data!K244+Data!R244</f>
        <v>0</v>
      </c>
      <c r="I244" s="3">
        <f>Data!I244+Data!L244+Data!M244+Data!N244+Data!O244+Data!S244</f>
        <v>0</v>
      </c>
      <c r="J244" s="3">
        <f>Data!Q244</f>
        <v>-16.79</v>
      </c>
      <c r="K244" s="3">
        <f>Data!J244+Data!P244</f>
        <v>16.79</v>
      </c>
      <c r="L244" s="3">
        <f>Data!T244</f>
        <v>0</v>
      </c>
      <c r="M244" s="3">
        <f>ROUND(Data!AD244*$B$3,2)</f>
        <v>6461.93</v>
      </c>
      <c r="N244" s="3">
        <f>Data!U244</f>
        <v>0</v>
      </c>
      <c r="O244" s="3">
        <f t="shared" si="10"/>
        <v>66256.37</v>
      </c>
      <c r="P244" s="3">
        <f t="shared" si="11"/>
        <v>59794.44</v>
      </c>
      <c r="Q244" s="3">
        <f t="shared" si="12"/>
        <v>6461.93</v>
      </c>
    </row>
    <row r="245" spans="1:17" x14ac:dyDescent="0.2">
      <c r="A245" s="18">
        <v>803</v>
      </c>
      <c r="B245" s="18">
        <v>1</v>
      </c>
      <c r="C245" s="3" t="s">
        <v>242</v>
      </c>
      <c r="D245" s="3">
        <f>ROUND(Data!AC245*$B$3,2)</f>
        <v>80147.63</v>
      </c>
      <c r="E245" s="3">
        <f>MAX(0,Data!AF245-Data!Y245)</f>
        <v>0</v>
      </c>
      <c r="F245" s="3">
        <f>Data!Y245</f>
        <v>87665.33</v>
      </c>
      <c r="G245" s="3">
        <f>Data!X245</f>
        <v>0</v>
      </c>
      <c r="H245" s="3">
        <f>Data!K245+Data!R245</f>
        <v>10000</v>
      </c>
      <c r="I245" s="3">
        <f>Data!I245+Data!L245+Data!M245+Data!N245+Data!O245+Data!S245</f>
        <v>0</v>
      </c>
      <c r="J245" s="3">
        <f>Data!Q245</f>
        <v>0</v>
      </c>
      <c r="K245" s="3">
        <f>Data!J245+Data!P245</f>
        <v>5157.78</v>
      </c>
      <c r="L245" s="3">
        <f>Data!T245</f>
        <v>0</v>
      </c>
      <c r="M245" s="3">
        <f>ROUND(Data!AD245*$B$3,2)</f>
        <v>15372.88</v>
      </c>
      <c r="N245" s="3">
        <f>Data!U245</f>
        <v>0</v>
      </c>
      <c r="O245" s="3">
        <f t="shared" si="10"/>
        <v>198343.62000000002</v>
      </c>
      <c r="P245" s="3">
        <f t="shared" si="11"/>
        <v>182970.74000000002</v>
      </c>
      <c r="Q245" s="3">
        <f t="shared" si="12"/>
        <v>15372.88</v>
      </c>
    </row>
    <row r="246" spans="1:17" x14ac:dyDescent="0.2">
      <c r="A246" s="18">
        <v>811</v>
      </c>
      <c r="B246" s="18">
        <v>1</v>
      </c>
      <c r="C246" s="3" t="s">
        <v>243</v>
      </c>
      <c r="D246" s="3">
        <f>ROUND(Data!AC246*$B$3,2)</f>
        <v>142632.35999999999</v>
      </c>
      <c r="E246" s="3">
        <f>MAX(0,Data!AF246-Data!Y246)</f>
        <v>370398.69999999995</v>
      </c>
      <c r="F246" s="3">
        <f>Data!Y246</f>
        <v>59013.4</v>
      </c>
      <c r="G246" s="3">
        <f>Data!X246</f>
        <v>0</v>
      </c>
      <c r="H246" s="3">
        <f>Data!K246+Data!R246</f>
        <v>16925.86</v>
      </c>
      <c r="I246" s="3">
        <f>Data!I246+Data!L246+Data!M246+Data!N246+Data!O246+Data!S246</f>
        <v>0</v>
      </c>
      <c r="J246" s="3">
        <f>Data!Q246</f>
        <v>0</v>
      </c>
      <c r="K246" s="3">
        <f>Data!J246+Data!P246</f>
        <v>1569.92</v>
      </c>
      <c r="L246" s="3">
        <f>Data!T246</f>
        <v>0</v>
      </c>
      <c r="M246" s="3">
        <f>ROUND(Data!AD246*$B$3,2)</f>
        <v>35124.68</v>
      </c>
      <c r="N246" s="3">
        <f>Data!U246</f>
        <v>0</v>
      </c>
      <c r="O246" s="3">
        <f t="shared" si="10"/>
        <v>625664.92000000004</v>
      </c>
      <c r="P246" s="3">
        <f t="shared" si="11"/>
        <v>590540.24</v>
      </c>
      <c r="Q246" s="3">
        <f t="shared" si="12"/>
        <v>35124.68</v>
      </c>
    </row>
    <row r="247" spans="1:17" x14ac:dyDescent="0.2">
      <c r="A247" s="18">
        <v>813</v>
      </c>
      <c r="B247" s="18">
        <v>1</v>
      </c>
      <c r="C247" s="3" t="s">
        <v>244</v>
      </c>
      <c r="D247" s="3">
        <f>ROUND(Data!AC247*$B$3,2)</f>
        <v>192688.25</v>
      </c>
      <c r="E247" s="3">
        <f>MAX(0,Data!AF247-Data!Y247)</f>
        <v>575305.9</v>
      </c>
      <c r="F247" s="3">
        <f>Data!Y247</f>
        <v>0</v>
      </c>
      <c r="G247" s="3">
        <f>Data!X247</f>
        <v>0</v>
      </c>
      <c r="H247" s="3">
        <f>Data!K247+Data!R247</f>
        <v>25929.91</v>
      </c>
      <c r="I247" s="3">
        <f>Data!I247+Data!L247+Data!M247+Data!N247+Data!O247+Data!S247</f>
        <v>0</v>
      </c>
      <c r="J247" s="3">
        <f>Data!Q247</f>
        <v>-8196.77</v>
      </c>
      <c r="K247" s="3">
        <f>Data!J247+Data!P247</f>
        <v>32596.98</v>
      </c>
      <c r="L247" s="3">
        <f>Data!T247</f>
        <v>0</v>
      </c>
      <c r="M247" s="3">
        <f>ROUND(Data!AD247*$B$3,2)</f>
        <v>56186.95</v>
      </c>
      <c r="N247" s="3">
        <f>Data!U247</f>
        <v>0</v>
      </c>
      <c r="O247" s="3">
        <f t="shared" si="10"/>
        <v>874511.22</v>
      </c>
      <c r="P247" s="3">
        <f t="shared" si="11"/>
        <v>818324.27</v>
      </c>
      <c r="Q247" s="3">
        <f t="shared" si="12"/>
        <v>56186.95</v>
      </c>
    </row>
    <row r="248" spans="1:17" x14ac:dyDescent="0.2">
      <c r="A248" s="18">
        <v>815</v>
      </c>
      <c r="B248" s="18">
        <v>2</v>
      </c>
      <c r="C248" s="3" t="s">
        <v>245</v>
      </c>
      <c r="D248" s="3">
        <f>ROUND(Data!AC248*$B$3,2)</f>
        <v>0</v>
      </c>
      <c r="E248" s="3">
        <f>MAX(0,Data!AF248-Data!Y248)</f>
        <v>10892.41</v>
      </c>
      <c r="F248" s="3">
        <f>Data!Y248</f>
        <v>0</v>
      </c>
      <c r="G248" s="3">
        <f>Data!X248</f>
        <v>0</v>
      </c>
      <c r="H248" s="3">
        <f>Data!K248+Data!R248</f>
        <v>0</v>
      </c>
      <c r="I248" s="3">
        <f>Data!I248+Data!L248+Data!M248+Data!N248+Data!O248+Data!S248</f>
        <v>0</v>
      </c>
      <c r="J248" s="3">
        <f>Data!Q248</f>
        <v>0</v>
      </c>
      <c r="K248" s="3">
        <f>Data!J248+Data!P248</f>
        <v>0</v>
      </c>
      <c r="L248" s="3">
        <f>Data!T248</f>
        <v>0</v>
      </c>
      <c r="M248" s="3">
        <f>ROUND(Data!AD248*$B$3,2)</f>
        <v>0</v>
      </c>
      <c r="N248" s="3">
        <f>Data!U248</f>
        <v>0</v>
      </c>
      <c r="O248" s="3">
        <f t="shared" si="10"/>
        <v>10892.41</v>
      </c>
      <c r="P248" s="3">
        <f t="shared" si="11"/>
        <v>10892.41</v>
      </c>
      <c r="Q248" s="3">
        <f t="shared" si="12"/>
        <v>0</v>
      </c>
    </row>
    <row r="249" spans="1:17" x14ac:dyDescent="0.2">
      <c r="A249" s="18">
        <v>818</v>
      </c>
      <c r="B249" s="18">
        <v>1</v>
      </c>
      <c r="C249" s="3" t="s">
        <v>246</v>
      </c>
      <c r="D249" s="3">
        <f>ROUND(Data!AC249*$B$3,2)</f>
        <v>62950.16</v>
      </c>
      <c r="E249" s="3">
        <f>MAX(0,Data!AF249-Data!Y249)</f>
        <v>0</v>
      </c>
      <c r="F249" s="3">
        <f>Data!Y249</f>
        <v>10032.65</v>
      </c>
      <c r="G249" s="3">
        <f>Data!X249</f>
        <v>0</v>
      </c>
      <c r="H249" s="3">
        <f>Data!K249+Data!R249</f>
        <v>10000</v>
      </c>
      <c r="I249" s="3">
        <f>Data!I249+Data!L249+Data!M249+Data!N249+Data!O249+Data!S249</f>
        <v>0</v>
      </c>
      <c r="J249" s="3">
        <f>Data!Q249</f>
        <v>0</v>
      </c>
      <c r="K249" s="3">
        <f>Data!J249+Data!P249</f>
        <v>-1630.9</v>
      </c>
      <c r="L249" s="3">
        <f>Data!T249</f>
        <v>0</v>
      </c>
      <c r="M249" s="3">
        <f>ROUND(Data!AD249*$B$3,2)</f>
        <v>5093.28</v>
      </c>
      <c r="N249" s="3">
        <f>Data!U249</f>
        <v>0</v>
      </c>
      <c r="O249" s="3">
        <f t="shared" si="10"/>
        <v>86445.19</v>
      </c>
      <c r="P249" s="3">
        <f t="shared" si="11"/>
        <v>81351.91</v>
      </c>
      <c r="Q249" s="3">
        <f t="shared" si="12"/>
        <v>5093.28</v>
      </c>
    </row>
    <row r="250" spans="1:17" x14ac:dyDescent="0.2">
      <c r="A250" s="18">
        <v>820</v>
      </c>
      <c r="B250" s="18">
        <v>1</v>
      </c>
      <c r="C250" s="3" t="s">
        <v>247</v>
      </c>
      <c r="D250" s="3">
        <f>ROUND(Data!AC250*$B$3,2)</f>
        <v>83848.649999999994</v>
      </c>
      <c r="E250" s="3">
        <f>MAX(0,Data!AF250-Data!Y250)</f>
        <v>95738.829999999987</v>
      </c>
      <c r="F250" s="3">
        <f>Data!Y250</f>
        <v>16184.54</v>
      </c>
      <c r="G250" s="3">
        <f>Data!X250</f>
        <v>0</v>
      </c>
      <c r="H250" s="3">
        <f>Data!K250+Data!R250</f>
        <v>20990.86</v>
      </c>
      <c r="I250" s="3">
        <f>Data!I250+Data!L250+Data!M250+Data!N250+Data!O250+Data!S250</f>
        <v>0</v>
      </c>
      <c r="J250" s="3">
        <f>Data!Q250</f>
        <v>-11160</v>
      </c>
      <c r="K250" s="3">
        <f>Data!J250+Data!P250</f>
        <v>11081.05</v>
      </c>
      <c r="L250" s="3">
        <f>Data!T250</f>
        <v>0</v>
      </c>
      <c r="M250" s="3">
        <f>ROUND(Data!AD250*$B$3,2)</f>
        <v>16989.099999999999</v>
      </c>
      <c r="N250" s="3">
        <f>Data!U250</f>
        <v>0</v>
      </c>
      <c r="O250" s="3">
        <f t="shared" si="10"/>
        <v>233673.03</v>
      </c>
      <c r="P250" s="3">
        <f t="shared" si="11"/>
        <v>216683.93</v>
      </c>
      <c r="Q250" s="3">
        <f t="shared" si="12"/>
        <v>16989.099999999999</v>
      </c>
    </row>
    <row r="251" spans="1:17" x14ac:dyDescent="0.2">
      <c r="A251" s="18">
        <v>821</v>
      </c>
      <c r="B251" s="18">
        <v>1</v>
      </c>
      <c r="C251" s="3" t="s">
        <v>248</v>
      </c>
      <c r="D251" s="3">
        <f>ROUND(Data!AC251*$B$3,2)</f>
        <v>289389.24</v>
      </c>
      <c r="E251" s="3">
        <f>MAX(0,Data!AF251-Data!Y251)</f>
        <v>0</v>
      </c>
      <c r="F251" s="3">
        <f>Data!Y251</f>
        <v>0</v>
      </c>
      <c r="G251" s="3">
        <f>Data!X251</f>
        <v>0</v>
      </c>
      <c r="H251" s="3">
        <f>Data!K251+Data!R251</f>
        <v>14358.89</v>
      </c>
      <c r="I251" s="3">
        <f>Data!I251+Data!L251+Data!M251+Data!N251+Data!O251+Data!S251</f>
        <v>0</v>
      </c>
      <c r="J251" s="3">
        <f>Data!Q251</f>
        <v>0</v>
      </c>
      <c r="K251" s="3">
        <f>Data!J251+Data!P251</f>
        <v>6305.99</v>
      </c>
      <c r="L251" s="3">
        <f>Data!T251</f>
        <v>0</v>
      </c>
      <c r="M251" s="3">
        <f>ROUND(Data!AD251*$B$3,2)</f>
        <v>20293.419999999998</v>
      </c>
      <c r="N251" s="3">
        <f>Data!U251</f>
        <v>0</v>
      </c>
      <c r="O251" s="3">
        <f t="shared" si="10"/>
        <v>330347.53999999998</v>
      </c>
      <c r="P251" s="3">
        <f t="shared" si="11"/>
        <v>310054.12</v>
      </c>
      <c r="Q251" s="3">
        <f t="shared" si="12"/>
        <v>20293.419999999998</v>
      </c>
    </row>
    <row r="252" spans="1:17" x14ac:dyDescent="0.2">
      <c r="A252" s="18">
        <v>829</v>
      </c>
      <c r="B252" s="18">
        <v>1</v>
      </c>
      <c r="C252" s="3" t="s">
        <v>249</v>
      </c>
      <c r="D252" s="3">
        <f>ROUND(Data!AC252*$B$3,2)</f>
        <v>307533.5</v>
      </c>
      <c r="E252" s="3">
        <f>MAX(0,Data!AF252-Data!Y252)</f>
        <v>0</v>
      </c>
      <c r="F252" s="3">
        <f>Data!Y252</f>
        <v>96765.35</v>
      </c>
      <c r="G252" s="3">
        <f>Data!X252</f>
        <v>0</v>
      </c>
      <c r="H252" s="3">
        <f>Data!K252+Data!R252</f>
        <v>41201.199999999997</v>
      </c>
      <c r="I252" s="3">
        <f>Data!I252+Data!L252+Data!M252+Data!N252+Data!O252+Data!S252</f>
        <v>0</v>
      </c>
      <c r="J252" s="3">
        <f>Data!Q252</f>
        <v>0</v>
      </c>
      <c r="K252" s="3">
        <f>Data!J252+Data!P252</f>
        <v>29249.83</v>
      </c>
      <c r="L252" s="3">
        <f>Data!T252</f>
        <v>0</v>
      </c>
      <c r="M252" s="3">
        <f>ROUND(Data!AD252*$B$3,2)</f>
        <v>83924.91</v>
      </c>
      <c r="N252" s="3">
        <f>Data!U252</f>
        <v>0</v>
      </c>
      <c r="O252" s="3">
        <f t="shared" si="10"/>
        <v>558674.79</v>
      </c>
      <c r="P252" s="3">
        <f t="shared" si="11"/>
        <v>474749.88</v>
      </c>
      <c r="Q252" s="3">
        <f t="shared" si="12"/>
        <v>83924.91</v>
      </c>
    </row>
    <row r="253" spans="1:17" x14ac:dyDescent="0.2">
      <c r="A253" s="18">
        <v>831</v>
      </c>
      <c r="B253" s="18">
        <v>1</v>
      </c>
      <c r="C253" s="3" t="s">
        <v>250</v>
      </c>
      <c r="D253" s="3">
        <f>ROUND(Data!AC253*$B$3,2)</f>
        <v>1818871.41</v>
      </c>
      <c r="E253" s="3">
        <f>MAX(0,Data!AF253-Data!Y253)</f>
        <v>2706551.42</v>
      </c>
      <c r="F253" s="3">
        <f>Data!Y253</f>
        <v>393408.33</v>
      </c>
      <c r="G253" s="3">
        <f>Data!X253</f>
        <v>0</v>
      </c>
      <c r="H253" s="3">
        <f>Data!K253+Data!R253</f>
        <v>106874.13</v>
      </c>
      <c r="I253" s="3">
        <f>Data!I253+Data!L253+Data!M253+Data!N253+Data!O253+Data!S253</f>
        <v>0</v>
      </c>
      <c r="J253" s="3">
        <f>Data!Q253</f>
        <v>0</v>
      </c>
      <c r="K253" s="3">
        <f>Data!J253+Data!P253</f>
        <v>160251.10999999999</v>
      </c>
      <c r="L253" s="3">
        <f>Data!T253</f>
        <v>0</v>
      </c>
      <c r="M253" s="3">
        <f>ROUND(Data!AD253*$B$3,2)</f>
        <v>424524.89</v>
      </c>
      <c r="N253" s="3">
        <f>Data!U253</f>
        <v>0</v>
      </c>
      <c r="O253" s="3">
        <f t="shared" si="10"/>
        <v>5610481.29</v>
      </c>
      <c r="P253" s="3">
        <f t="shared" si="11"/>
        <v>5185956.4000000004</v>
      </c>
      <c r="Q253" s="3">
        <f t="shared" si="12"/>
        <v>424524.89</v>
      </c>
    </row>
    <row r="254" spans="1:17" x14ac:dyDescent="0.2">
      <c r="A254" s="18">
        <v>832</v>
      </c>
      <c r="B254" s="18">
        <v>1</v>
      </c>
      <c r="C254" s="3" t="s">
        <v>251</v>
      </c>
      <c r="D254" s="3">
        <f>ROUND(Data!AC254*$B$3,2)</f>
        <v>1336550.2</v>
      </c>
      <c r="E254" s="3">
        <f>MAX(0,Data!AF254-Data!Y254)</f>
        <v>1024282.61</v>
      </c>
      <c r="F254" s="3">
        <f>Data!Y254</f>
        <v>632970.1</v>
      </c>
      <c r="G254" s="3">
        <f>Data!X254</f>
        <v>20881.96</v>
      </c>
      <c r="H254" s="3">
        <f>Data!K254+Data!R254</f>
        <v>54728.710000000006</v>
      </c>
      <c r="I254" s="3">
        <f>Data!I254+Data!L254+Data!M254+Data!N254+Data!O254+Data!S254</f>
        <v>0</v>
      </c>
      <c r="J254" s="3">
        <f>Data!Q254</f>
        <v>0</v>
      </c>
      <c r="K254" s="3">
        <f>Data!J254+Data!P254</f>
        <v>72239.03</v>
      </c>
      <c r="L254" s="3">
        <f>Data!T254</f>
        <v>0</v>
      </c>
      <c r="M254" s="3">
        <f>ROUND(Data!AD254*$B$3,2)</f>
        <v>129293.5</v>
      </c>
      <c r="N254" s="3">
        <f>Data!U254</f>
        <v>0</v>
      </c>
      <c r="O254" s="3">
        <f t="shared" si="10"/>
        <v>3270946.11</v>
      </c>
      <c r="P254" s="3">
        <f t="shared" si="11"/>
        <v>3141652.61</v>
      </c>
      <c r="Q254" s="3">
        <f t="shared" si="12"/>
        <v>129293.5</v>
      </c>
    </row>
    <row r="255" spans="1:17" x14ac:dyDescent="0.2">
      <c r="A255" s="18">
        <v>833</v>
      </c>
      <c r="B255" s="18">
        <v>1</v>
      </c>
      <c r="C255" s="3" t="s">
        <v>252</v>
      </c>
      <c r="D255" s="3">
        <f>ROUND(Data!AC255*$B$3,2)</f>
        <v>4653065.72</v>
      </c>
      <c r="E255" s="3">
        <f>MAX(0,Data!AF255-Data!Y255)</f>
        <v>5732936.8199999994</v>
      </c>
      <c r="F255" s="3">
        <f>Data!Y255</f>
        <v>2822207.2</v>
      </c>
      <c r="G255" s="3">
        <f>Data!X255</f>
        <v>55969.13</v>
      </c>
      <c r="H255" s="3">
        <f>Data!K255+Data!R255</f>
        <v>294764</v>
      </c>
      <c r="I255" s="3">
        <f>Data!I255+Data!L255+Data!M255+Data!N255+Data!O255+Data!S255</f>
        <v>0</v>
      </c>
      <c r="J255" s="3">
        <f>Data!Q255</f>
        <v>0</v>
      </c>
      <c r="K255" s="3">
        <f>Data!J255+Data!P255</f>
        <v>112872.56</v>
      </c>
      <c r="L255" s="3">
        <f>Data!T255</f>
        <v>0</v>
      </c>
      <c r="M255" s="3">
        <f>ROUND(Data!AD255*$B$3,2)</f>
        <v>665102.66</v>
      </c>
      <c r="N255" s="3">
        <f>Data!U255</f>
        <v>0</v>
      </c>
      <c r="O255" s="3">
        <f t="shared" si="10"/>
        <v>14336918.09</v>
      </c>
      <c r="P255" s="3">
        <f t="shared" si="11"/>
        <v>13671815.43</v>
      </c>
      <c r="Q255" s="3">
        <f t="shared" si="12"/>
        <v>665102.66</v>
      </c>
    </row>
    <row r="256" spans="1:17" x14ac:dyDescent="0.2">
      <c r="A256" s="18">
        <v>834</v>
      </c>
      <c r="B256" s="18">
        <v>1</v>
      </c>
      <c r="C256" s="3" t="s">
        <v>253</v>
      </c>
      <c r="D256" s="3">
        <f>ROUND(Data!AC256*$B$3,2)</f>
        <v>3561815.99</v>
      </c>
      <c r="E256" s="3">
        <f>MAX(0,Data!AF256-Data!Y256)</f>
        <v>4130952.5500000003</v>
      </c>
      <c r="F256" s="3">
        <f>Data!Y256</f>
        <v>1639817.77</v>
      </c>
      <c r="G256" s="3">
        <f>Data!X256</f>
        <v>207626.7</v>
      </c>
      <c r="H256" s="3">
        <f>Data!K256+Data!R256</f>
        <v>154775.21</v>
      </c>
      <c r="I256" s="3">
        <f>Data!I256+Data!L256+Data!M256+Data!N256+Data!O256+Data!S256</f>
        <v>0</v>
      </c>
      <c r="J256" s="3">
        <f>Data!Q256</f>
        <v>0</v>
      </c>
      <c r="K256" s="3">
        <f>Data!J256+Data!P256</f>
        <v>85056.61</v>
      </c>
      <c r="L256" s="3">
        <f>Data!T256</f>
        <v>0</v>
      </c>
      <c r="M256" s="3">
        <f>ROUND(Data!AD256*$B$3,2)</f>
        <v>434839.27</v>
      </c>
      <c r="N256" s="3">
        <f>Data!U256</f>
        <v>0</v>
      </c>
      <c r="O256" s="3">
        <f t="shared" ref="O256:O318" si="13">SUM(D256:N256)</f>
        <v>10214884.1</v>
      </c>
      <c r="P256" s="3">
        <f t="shared" si="11"/>
        <v>9780044.8300000001</v>
      </c>
      <c r="Q256" s="3">
        <f t="shared" si="12"/>
        <v>434839.27</v>
      </c>
    </row>
    <row r="257" spans="1:17" x14ac:dyDescent="0.2">
      <c r="A257" s="18">
        <v>836</v>
      </c>
      <c r="B257" s="18">
        <v>1</v>
      </c>
      <c r="C257" s="3" t="s">
        <v>254</v>
      </c>
      <c r="D257" s="3">
        <f>ROUND(Data!AC257*$B$3,2)</f>
        <v>107855.84</v>
      </c>
      <c r="E257" s="3">
        <f>MAX(0,Data!AF257-Data!Y257)</f>
        <v>0</v>
      </c>
      <c r="F257" s="3">
        <f>Data!Y257</f>
        <v>69875.679999999993</v>
      </c>
      <c r="G257" s="3">
        <f>Data!X257</f>
        <v>0</v>
      </c>
      <c r="H257" s="3">
        <f>Data!K257+Data!R257</f>
        <v>10000</v>
      </c>
      <c r="I257" s="3">
        <f>Data!I257+Data!L257+Data!M257+Data!N257+Data!O257+Data!S257</f>
        <v>0</v>
      </c>
      <c r="J257" s="3">
        <f>Data!Q257</f>
        <v>0</v>
      </c>
      <c r="K257" s="3">
        <f>Data!J257+Data!P257</f>
        <v>650.39999999999964</v>
      </c>
      <c r="L257" s="3">
        <f>Data!T257</f>
        <v>0</v>
      </c>
      <c r="M257" s="3">
        <f>ROUND(Data!AD257*$B$3,2)</f>
        <v>13509.34</v>
      </c>
      <c r="N257" s="3">
        <f>Data!U257</f>
        <v>0</v>
      </c>
      <c r="O257" s="3">
        <f t="shared" si="13"/>
        <v>201891.25999999998</v>
      </c>
      <c r="P257" s="3">
        <f t="shared" si="11"/>
        <v>188381.91999999998</v>
      </c>
      <c r="Q257" s="3">
        <f t="shared" si="12"/>
        <v>13509.34</v>
      </c>
    </row>
    <row r="258" spans="1:17" x14ac:dyDescent="0.2">
      <c r="A258" s="18">
        <v>837</v>
      </c>
      <c r="B258" s="18">
        <v>1</v>
      </c>
      <c r="C258" s="3" t="s">
        <v>255</v>
      </c>
      <c r="D258" s="3">
        <f>ROUND(Data!AC258*$B$3,2)</f>
        <v>60928.28</v>
      </c>
      <c r="E258" s="3">
        <f>MAX(0,Data!AF258-Data!Y258)</f>
        <v>27867.409999999989</v>
      </c>
      <c r="F258" s="3">
        <f>Data!Y258</f>
        <v>78714.820000000007</v>
      </c>
      <c r="G258" s="3">
        <f>Data!X258</f>
        <v>8589.65</v>
      </c>
      <c r="H258" s="3">
        <f>Data!K258+Data!R258</f>
        <v>13235.7</v>
      </c>
      <c r="I258" s="3">
        <f>Data!I258+Data!L258+Data!M258+Data!N258+Data!O258+Data!S258</f>
        <v>0</v>
      </c>
      <c r="J258" s="3">
        <f>Data!Q258</f>
        <v>0</v>
      </c>
      <c r="K258" s="3">
        <f>Data!J258+Data!P258</f>
        <v>13607.81</v>
      </c>
      <c r="L258" s="3">
        <f>Data!T258</f>
        <v>0</v>
      </c>
      <c r="M258" s="3">
        <f>ROUND(Data!AD258*$B$3,2)</f>
        <v>23138.46</v>
      </c>
      <c r="N258" s="3">
        <f>Data!U258</f>
        <v>0</v>
      </c>
      <c r="O258" s="3">
        <f t="shared" si="13"/>
        <v>226082.13</v>
      </c>
      <c r="P258" s="3">
        <f t="shared" si="11"/>
        <v>202943.67</v>
      </c>
      <c r="Q258" s="3">
        <f t="shared" si="12"/>
        <v>23138.46</v>
      </c>
    </row>
    <row r="259" spans="1:17" x14ac:dyDescent="0.2">
      <c r="A259" s="18">
        <v>840</v>
      </c>
      <c r="B259" s="18">
        <v>1</v>
      </c>
      <c r="C259" s="3" t="s">
        <v>256</v>
      </c>
      <c r="D259" s="3">
        <f>ROUND(Data!AC259*$B$3,2)</f>
        <v>258462.15</v>
      </c>
      <c r="E259" s="3">
        <f>MAX(0,Data!AF259-Data!Y259)</f>
        <v>193257.96</v>
      </c>
      <c r="F259" s="3">
        <f>Data!Y259</f>
        <v>66890.06</v>
      </c>
      <c r="G259" s="3">
        <f>Data!X259</f>
        <v>0</v>
      </c>
      <c r="H259" s="3">
        <f>Data!K259+Data!R259</f>
        <v>31063.919999999998</v>
      </c>
      <c r="I259" s="3">
        <f>Data!I259+Data!L259+Data!M259+Data!N259+Data!O259+Data!S259</f>
        <v>0</v>
      </c>
      <c r="J259" s="3">
        <f>Data!Q259</f>
        <v>0</v>
      </c>
      <c r="K259" s="3">
        <f>Data!J259+Data!P259</f>
        <v>6025.95</v>
      </c>
      <c r="L259" s="3">
        <f>Data!T259</f>
        <v>0</v>
      </c>
      <c r="M259" s="3">
        <f>ROUND(Data!AD259*$B$3,2)</f>
        <v>57540.94</v>
      </c>
      <c r="N259" s="3">
        <f>Data!U259</f>
        <v>0</v>
      </c>
      <c r="O259" s="3">
        <f t="shared" si="13"/>
        <v>613240.98</v>
      </c>
      <c r="P259" s="3">
        <f t="shared" si="11"/>
        <v>555700.03999999992</v>
      </c>
      <c r="Q259" s="3">
        <f t="shared" si="12"/>
        <v>57540.94</v>
      </c>
    </row>
    <row r="260" spans="1:17" x14ac:dyDescent="0.2">
      <c r="A260" s="18">
        <v>846</v>
      </c>
      <c r="B260" s="18">
        <v>1</v>
      </c>
      <c r="C260" s="3" t="s">
        <v>257</v>
      </c>
      <c r="D260" s="3">
        <f>ROUND(Data!AC260*$B$3,2)</f>
        <v>175339.81</v>
      </c>
      <c r="E260" s="3">
        <f>MAX(0,Data!AF260-Data!Y260)</f>
        <v>122702.63999999998</v>
      </c>
      <c r="F260" s="3">
        <f>Data!Y260</f>
        <v>18639.04</v>
      </c>
      <c r="G260" s="3">
        <f>Data!X260</f>
        <v>0</v>
      </c>
      <c r="H260" s="3">
        <f>Data!K260+Data!R260</f>
        <v>10000</v>
      </c>
      <c r="I260" s="3">
        <f>Data!I260+Data!L260+Data!M260+Data!N260+Data!O260+Data!S260</f>
        <v>0</v>
      </c>
      <c r="J260" s="3">
        <f>Data!Q260</f>
        <v>0</v>
      </c>
      <c r="K260" s="3">
        <f>Data!J260+Data!P260</f>
        <v>0</v>
      </c>
      <c r="L260" s="3">
        <f>Data!T260</f>
        <v>0</v>
      </c>
      <c r="M260" s="3">
        <f>ROUND(Data!AD260*$B$3,2)</f>
        <v>38125.46</v>
      </c>
      <c r="N260" s="3">
        <f>Data!U260</f>
        <v>0</v>
      </c>
      <c r="O260" s="3">
        <f t="shared" si="13"/>
        <v>364806.94999999995</v>
      </c>
      <c r="P260" s="3">
        <f t="shared" si="11"/>
        <v>326681.48999999993</v>
      </c>
      <c r="Q260" s="3">
        <f t="shared" si="12"/>
        <v>38125.46</v>
      </c>
    </row>
    <row r="261" spans="1:17" x14ac:dyDescent="0.2">
      <c r="A261" s="18">
        <v>850</v>
      </c>
      <c r="B261" s="18">
        <v>1</v>
      </c>
      <c r="C261" s="3" t="s">
        <v>258</v>
      </c>
      <c r="D261" s="3">
        <f>ROUND(Data!AC261*$B$3,2)</f>
        <v>94164.38</v>
      </c>
      <c r="E261" s="3">
        <f>MAX(0,Data!AF261-Data!Y261)</f>
        <v>60543.249999999985</v>
      </c>
      <c r="F261" s="3">
        <f>Data!Y261</f>
        <v>70534.77</v>
      </c>
      <c r="G261" s="3">
        <f>Data!X261</f>
        <v>0</v>
      </c>
      <c r="H261" s="3">
        <f>Data!K261+Data!R261</f>
        <v>10000</v>
      </c>
      <c r="I261" s="3">
        <f>Data!I261+Data!L261+Data!M261+Data!N261+Data!O261+Data!S261</f>
        <v>0</v>
      </c>
      <c r="J261" s="3">
        <f>Data!Q261</f>
        <v>0</v>
      </c>
      <c r="K261" s="3">
        <f>Data!J261+Data!P261</f>
        <v>-10876.5</v>
      </c>
      <c r="L261" s="3">
        <f>Data!T261</f>
        <v>0</v>
      </c>
      <c r="M261" s="3">
        <f>ROUND(Data!AD261*$B$3,2)</f>
        <v>9645.83</v>
      </c>
      <c r="N261" s="3">
        <f>Data!U261</f>
        <v>0</v>
      </c>
      <c r="O261" s="3">
        <f t="shared" si="13"/>
        <v>234011.73</v>
      </c>
      <c r="P261" s="3">
        <f t="shared" ref="P261:P324" si="14">SUM(D261:L261)</f>
        <v>224365.90000000002</v>
      </c>
      <c r="Q261" s="3">
        <f t="shared" ref="Q261:Q324" si="15">SUM(M261:N261)</f>
        <v>9645.83</v>
      </c>
    </row>
    <row r="262" spans="1:17" x14ac:dyDescent="0.2">
      <c r="A262" s="18">
        <v>852</v>
      </c>
      <c r="B262" s="18">
        <v>1</v>
      </c>
      <c r="C262" s="3" t="s">
        <v>259</v>
      </c>
      <c r="D262" s="3">
        <f>ROUND(Data!AC262*$B$3,2)</f>
        <v>31227.08</v>
      </c>
      <c r="E262" s="3">
        <f>MAX(0,Data!AF262-Data!Y262)</f>
        <v>65438.95</v>
      </c>
      <c r="F262" s="3">
        <f>Data!Y262</f>
        <v>97310.3</v>
      </c>
      <c r="G262" s="3">
        <f>Data!X262</f>
        <v>0</v>
      </c>
      <c r="H262" s="3">
        <f>Data!K262+Data!R262</f>
        <v>10000</v>
      </c>
      <c r="I262" s="3">
        <f>Data!I262+Data!L262+Data!M262+Data!N262+Data!O262+Data!S262</f>
        <v>0</v>
      </c>
      <c r="J262" s="3">
        <f>Data!Q262</f>
        <v>0</v>
      </c>
      <c r="K262" s="3">
        <f>Data!J262+Data!P262</f>
        <v>7071.0599999999995</v>
      </c>
      <c r="L262" s="3">
        <f>Data!T262</f>
        <v>0</v>
      </c>
      <c r="M262" s="3">
        <f>ROUND(Data!AD262*$B$3,2)</f>
        <v>11541.35</v>
      </c>
      <c r="N262" s="3">
        <f>Data!U262</f>
        <v>0</v>
      </c>
      <c r="O262" s="3">
        <f t="shared" si="13"/>
        <v>222588.74000000002</v>
      </c>
      <c r="P262" s="3">
        <f t="shared" si="14"/>
        <v>211047.39</v>
      </c>
      <c r="Q262" s="3">
        <f t="shared" si="15"/>
        <v>11541.35</v>
      </c>
    </row>
    <row r="263" spans="1:17" x14ac:dyDescent="0.2">
      <c r="A263" s="18">
        <v>857</v>
      </c>
      <c r="B263" s="18">
        <v>1</v>
      </c>
      <c r="C263" s="3" t="s">
        <v>260</v>
      </c>
      <c r="D263" s="3">
        <f>ROUND(Data!AC263*$B$3,2)</f>
        <v>177645.95</v>
      </c>
      <c r="E263" s="3">
        <f>MAX(0,Data!AF263-Data!Y263)</f>
        <v>208044.94</v>
      </c>
      <c r="F263" s="3">
        <f>Data!Y263</f>
        <v>0</v>
      </c>
      <c r="G263" s="3">
        <f>Data!X263</f>
        <v>0</v>
      </c>
      <c r="H263" s="3">
        <f>Data!K263+Data!R263</f>
        <v>14556.63</v>
      </c>
      <c r="I263" s="3">
        <f>Data!I263+Data!L263+Data!M263+Data!N263+Data!O263+Data!S263</f>
        <v>0</v>
      </c>
      <c r="J263" s="3">
        <f>Data!Q263</f>
        <v>0</v>
      </c>
      <c r="K263" s="3">
        <f>Data!J263+Data!P263</f>
        <v>7721.73</v>
      </c>
      <c r="L263" s="3">
        <f>Data!T263</f>
        <v>0</v>
      </c>
      <c r="M263" s="3">
        <f>ROUND(Data!AD263*$B$3,2)</f>
        <v>24057</v>
      </c>
      <c r="N263" s="3">
        <f>Data!U263</f>
        <v>0</v>
      </c>
      <c r="O263" s="3">
        <f t="shared" si="13"/>
        <v>432026.25</v>
      </c>
      <c r="P263" s="3">
        <f t="shared" si="14"/>
        <v>407969.25</v>
      </c>
      <c r="Q263" s="3">
        <f t="shared" si="15"/>
        <v>24057</v>
      </c>
    </row>
    <row r="264" spans="1:17" x14ac:dyDescent="0.2">
      <c r="A264" s="18">
        <v>858</v>
      </c>
      <c r="B264" s="18">
        <v>1</v>
      </c>
      <c r="C264" s="3" t="s">
        <v>261</v>
      </c>
      <c r="D264" s="3">
        <f>ROUND(Data!AC264*$B$3,2)</f>
        <v>137133.29999999999</v>
      </c>
      <c r="E264" s="3">
        <f>MAX(0,Data!AF264-Data!Y264)</f>
        <v>0</v>
      </c>
      <c r="F264" s="3">
        <f>Data!Y264</f>
        <v>0</v>
      </c>
      <c r="G264" s="3">
        <f>Data!X264</f>
        <v>0</v>
      </c>
      <c r="H264" s="3">
        <f>Data!K264+Data!R264</f>
        <v>15215.57</v>
      </c>
      <c r="I264" s="3">
        <f>Data!I264+Data!L264+Data!M264+Data!N264+Data!O264+Data!S264</f>
        <v>0</v>
      </c>
      <c r="J264" s="3">
        <f>Data!Q264</f>
        <v>0</v>
      </c>
      <c r="K264" s="3">
        <f>Data!J264+Data!P264</f>
        <v>8611.14</v>
      </c>
      <c r="L264" s="3">
        <f>Data!T264</f>
        <v>0</v>
      </c>
      <c r="M264" s="3">
        <f>ROUND(Data!AD264*$B$3,2)</f>
        <v>27716.09</v>
      </c>
      <c r="N264" s="3">
        <f>Data!U264</f>
        <v>0</v>
      </c>
      <c r="O264" s="3">
        <f t="shared" si="13"/>
        <v>188676.1</v>
      </c>
      <c r="P264" s="3">
        <f t="shared" si="14"/>
        <v>160960.01</v>
      </c>
      <c r="Q264" s="3">
        <f t="shared" si="15"/>
        <v>27716.09</v>
      </c>
    </row>
    <row r="265" spans="1:17" x14ac:dyDescent="0.2">
      <c r="A265" s="18">
        <v>861</v>
      </c>
      <c r="B265" s="18">
        <v>1</v>
      </c>
      <c r="C265" s="3" t="s">
        <v>262</v>
      </c>
      <c r="D265" s="3">
        <f>ROUND(Data!AC265*$B$3,2)</f>
        <v>1035965.11</v>
      </c>
      <c r="E265" s="3">
        <f>MAX(0,Data!AF265-Data!Y265)</f>
        <v>3082010.77</v>
      </c>
      <c r="F265" s="3">
        <f>Data!Y265</f>
        <v>163275.60999999999</v>
      </c>
      <c r="G265" s="3">
        <f>Data!X265</f>
        <v>0</v>
      </c>
      <c r="H265" s="3">
        <f>Data!K265+Data!R265</f>
        <v>45420.62</v>
      </c>
      <c r="I265" s="3">
        <f>Data!I265+Data!L265+Data!M265+Data!N265+Data!O265+Data!S265</f>
        <v>0</v>
      </c>
      <c r="J265" s="3">
        <f>Data!Q265</f>
        <v>0</v>
      </c>
      <c r="K265" s="3">
        <f>Data!J265+Data!P265</f>
        <v>76647.929999999993</v>
      </c>
      <c r="L265" s="3">
        <f>Data!T265</f>
        <v>0</v>
      </c>
      <c r="M265" s="3">
        <f>ROUND(Data!AD265*$B$3,2)</f>
        <v>231938.64</v>
      </c>
      <c r="N265" s="3">
        <f>Data!U265</f>
        <v>0</v>
      </c>
      <c r="O265" s="3">
        <f t="shared" si="13"/>
        <v>4635258.68</v>
      </c>
      <c r="P265" s="3">
        <f t="shared" si="14"/>
        <v>4403320.04</v>
      </c>
      <c r="Q265" s="3">
        <f t="shared" si="15"/>
        <v>231938.64</v>
      </c>
    </row>
    <row r="266" spans="1:17" x14ac:dyDescent="0.2">
      <c r="A266" s="18">
        <v>876</v>
      </c>
      <c r="B266" s="18">
        <v>1</v>
      </c>
      <c r="C266" s="3" t="s">
        <v>263</v>
      </c>
      <c r="D266" s="3">
        <f>ROUND(Data!AC266*$B$3,2)</f>
        <v>559669.27</v>
      </c>
      <c r="E266" s="3">
        <f>MAX(0,Data!AF266-Data!Y266)</f>
        <v>336802.93999999994</v>
      </c>
      <c r="F266" s="3">
        <f>Data!Y266</f>
        <v>207538.92</v>
      </c>
      <c r="G266" s="3">
        <f>Data!X266</f>
        <v>63681.05</v>
      </c>
      <c r="H266" s="3">
        <f>Data!K266+Data!R266</f>
        <v>36480.800000000003</v>
      </c>
      <c r="I266" s="3">
        <f>Data!I266+Data!L266+Data!M266+Data!N266+Data!O266+Data!S266</f>
        <v>0</v>
      </c>
      <c r="J266" s="3">
        <f>Data!Q266</f>
        <v>0</v>
      </c>
      <c r="K266" s="3">
        <f>Data!J266+Data!P266</f>
        <v>5763.29</v>
      </c>
      <c r="L266" s="3">
        <f>Data!T266</f>
        <v>0</v>
      </c>
      <c r="M266" s="3">
        <f>ROUND(Data!AD266*$B$3,2)</f>
        <v>79373.429999999993</v>
      </c>
      <c r="N266" s="3">
        <f>Data!U266</f>
        <v>0</v>
      </c>
      <c r="O266" s="3">
        <f t="shared" si="13"/>
        <v>1289309.7</v>
      </c>
      <c r="P266" s="3">
        <f t="shared" si="14"/>
        <v>1209936.27</v>
      </c>
      <c r="Q266" s="3">
        <f t="shared" si="15"/>
        <v>79373.429999999993</v>
      </c>
    </row>
    <row r="267" spans="1:17" x14ac:dyDescent="0.2">
      <c r="A267" s="18">
        <v>877</v>
      </c>
      <c r="B267" s="18">
        <v>1</v>
      </c>
      <c r="C267" s="3" t="s">
        <v>264</v>
      </c>
      <c r="D267" s="3">
        <f>ROUND(Data!AC267*$B$3,2)</f>
        <v>1206862.1000000001</v>
      </c>
      <c r="E267" s="3">
        <f>MAX(0,Data!AF267-Data!Y267)</f>
        <v>950918.37999999989</v>
      </c>
      <c r="F267" s="3">
        <f>Data!Y267</f>
        <v>442510.09</v>
      </c>
      <c r="G267" s="3">
        <f>Data!X267</f>
        <v>0</v>
      </c>
      <c r="H267" s="3">
        <f>Data!K267+Data!R267</f>
        <v>102341.85</v>
      </c>
      <c r="I267" s="3">
        <f>Data!I267+Data!L267+Data!M267+Data!N267+Data!O267+Data!S267</f>
        <v>0</v>
      </c>
      <c r="J267" s="3">
        <f>Data!Q267</f>
        <v>0</v>
      </c>
      <c r="K267" s="3">
        <f>Data!J267+Data!P267</f>
        <v>127897.55</v>
      </c>
      <c r="L267" s="3">
        <f>Data!T267</f>
        <v>0</v>
      </c>
      <c r="M267" s="3">
        <f>ROUND(Data!AD267*$B$3,2)</f>
        <v>286942.83</v>
      </c>
      <c r="N267" s="3">
        <f>Data!U267</f>
        <v>0</v>
      </c>
      <c r="O267" s="3">
        <f t="shared" si="13"/>
        <v>3117472.8</v>
      </c>
      <c r="P267" s="3">
        <f t="shared" si="14"/>
        <v>2830529.9699999997</v>
      </c>
      <c r="Q267" s="3">
        <f t="shared" si="15"/>
        <v>286942.83</v>
      </c>
    </row>
    <row r="268" spans="1:17" x14ac:dyDescent="0.2">
      <c r="A268" s="18">
        <v>879</v>
      </c>
      <c r="B268" s="18">
        <v>1</v>
      </c>
      <c r="C268" s="3" t="s">
        <v>265</v>
      </c>
      <c r="D268" s="3">
        <f>ROUND(Data!AC268*$B$3,2)</f>
        <v>563125.68000000005</v>
      </c>
      <c r="E268" s="3">
        <f>MAX(0,Data!AF268-Data!Y268)</f>
        <v>423669.3</v>
      </c>
      <c r="F268" s="3">
        <f>Data!Y268</f>
        <v>117957.42</v>
      </c>
      <c r="G268" s="3">
        <f>Data!X268</f>
        <v>0</v>
      </c>
      <c r="H268" s="3">
        <f>Data!K268+Data!R268</f>
        <v>46769.210000000006</v>
      </c>
      <c r="I268" s="3">
        <f>Data!I268+Data!L268+Data!M268+Data!N268+Data!O268+Data!S268</f>
        <v>0</v>
      </c>
      <c r="J268" s="3">
        <f>Data!Q268</f>
        <v>0</v>
      </c>
      <c r="K268" s="3">
        <f>Data!J268+Data!P268</f>
        <v>6364.74</v>
      </c>
      <c r="L268" s="3">
        <f>Data!T268</f>
        <v>0</v>
      </c>
      <c r="M268" s="3">
        <f>ROUND(Data!AD268*$B$3,2)</f>
        <v>121621.66</v>
      </c>
      <c r="N268" s="3">
        <f>Data!U268</f>
        <v>0</v>
      </c>
      <c r="O268" s="3">
        <f t="shared" si="13"/>
        <v>1279508.0099999998</v>
      </c>
      <c r="P268" s="3">
        <f t="shared" si="14"/>
        <v>1157886.3499999999</v>
      </c>
      <c r="Q268" s="3">
        <f t="shared" si="15"/>
        <v>121621.66</v>
      </c>
    </row>
    <row r="269" spans="1:17" x14ac:dyDescent="0.2">
      <c r="A269" s="18">
        <v>881</v>
      </c>
      <c r="B269" s="18">
        <v>1</v>
      </c>
      <c r="C269" s="3" t="s">
        <v>266</v>
      </c>
      <c r="D269" s="3">
        <f>ROUND(Data!AC269*$B$3,2)</f>
        <v>157706.54999999999</v>
      </c>
      <c r="E269" s="3">
        <f>MAX(0,Data!AF269-Data!Y269)</f>
        <v>201457.37999999998</v>
      </c>
      <c r="F269" s="3">
        <f>Data!Y269</f>
        <v>117442.28</v>
      </c>
      <c r="G269" s="3">
        <f>Data!X269</f>
        <v>19558.900000000001</v>
      </c>
      <c r="H269" s="3">
        <f>Data!K269+Data!R269</f>
        <v>17644.099999999999</v>
      </c>
      <c r="I269" s="3">
        <f>Data!I269+Data!L269+Data!M269+Data!N269+Data!O269+Data!S269</f>
        <v>0</v>
      </c>
      <c r="J269" s="3">
        <f>Data!Q269</f>
        <v>0</v>
      </c>
      <c r="K269" s="3">
        <f>Data!J269+Data!P269</f>
        <v>2767.8500000000004</v>
      </c>
      <c r="L269" s="3">
        <f>Data!T269</f>
        <v>0</v>
      </c>
      <c r="M269" s="3">
        <f>ROUND(Data!AD269*$B$3,2)</f>
        <v>34358.49</v>
      </c>
      <c r="N269" s="3">
        <f>Data!U269</f>
        <v>0</v>
      </c>
      <c r="O269" s="3">
        <f t="shared" si="13"/>
        <v>550935.54999999993</v>
      </c>
      <c r="P269" s="3">
        <f t="shared" si="14"/>
        <v>516577.05999999994</v>
      </c>
      <c r="Q269" s="3">
        <f t="shared" si="15"/>
        <v>34358.49</v>
      </c>
    </row>
    <row r="270" spans="1:17" x14ac:dyDescent="0.2">
      <c r="A270" s="18">
        <v>882</v>
      </c>
      <c r="B270" s="18">
        <v>1</v>
      </c>
      <c r="C270" s="3" t="s">
        <v>267</v>
      </c>
      <c r="D270" s="3">
        <f>ROUND(Data!AC270*$B$3,2)</f>
        <v>862560.17</v>
      </c>
      <c r="E270" s="3">
        <f>MAX(0,Data!AF270-Data!Y270)</f>
        <v>1254538.74</v>
      </c>
      <c r="F270" s="3">
        <f>Data!Y270</f>
        <v>480525.55</v>
      </c>
      <c r="G270" s="3">
        <f>Data!X270</f>
        <v>155849.28</v>
      </c>
      <c r="H270" s="3">
        <f>Data!K270+Data!R270</f>
        <v>45916.12</v>
      </c>
      <c r="I270" s="3">
        <f>Data!I270+Data!L270+Data!M270+Data!N270+Data!O270+Data!S270</f>
        <v>0</v>
      </c>
      <c r="J270" s="3">
        <f>Data!Q270</f>
        <v>0</v>
      </c>
      <c r="K270" s="3">
        <f>Data!J270+Data!P270</f>
        <v>29559.23</v>
      </c>
      <c r="L270" s="3">
        <f>Data!T270</f>
        <v>0</v>
      </c>
      <c r="M270" s="3">
        <f>ROUND(Data!AD270*$B$3,2)</f>
        <v>116316.66</v>
      </c>
      <c r="N270" s="3">
        <f>Data!U270</f>
        <v>0</v>
      </c>
      <c r="O270" s="3">
        <f t="shared" si="13"/>
        <v>2945265.75</v>
      </c>
      <c r="P270" s="3">
        <f t="shared" si="14"/>
        <v>2828949.09</v>
      </c>
      <c r="Q270" s="3">
        <f t="shared" si="15"/>
        <v>116316.66</v>
      </c>
    </row>
    <row r="271" spans="1:17" x14ac:dyDescent="0.2">
      <c r="A271" s="18">
        <v>883</v>
      </c>
      <c r="B271" s="18">
        <v>1</v>
      </c>
      <c r="C271" s="3" t="s">
        <v>268</v>
      </c>
      <c r="D271" s="3">
        <f>ROUND(Data!AC271*$B$3,2)</f>
        <v>266476.08</v>
      </c>
      <c r="E271" s="3">
        <f>MAX(0,Data!AF271-Data!Y271)</f>
        <v>254808.03000000003</v>
      </c>
      <c r="F271" s="3">
        <f>Data!Y271</f>
        <v>108595.68</v>
      </c>
      <c r="G271" s="3">
        <f>Data!X271</f>
        <v>0</v>
      </c>
      <c r="H271" s="3">
        <f>Data!K271+Data!R271</f>
        <v>0</v>
      </c>
      <c r="I271" s="3">
        <f>Data!I271+Data!L271+Data!M271+Data!N271+Data!O271+Data!S271</f>
        <v>0</v>
      </c>
      <c r="J271" s="3">
        <f>Data!Q271</f>
        <v>0</v>
      </c>
      <c r="K271" s="3">
        <f>Data!J271+Data!P271</f>
        <v>90202.89</v>
      </c>
      <c r="L271" s="3">
        <f>Data!T271</f>
        <v>0</v>
      </c>
      <c r="M271" s="3">
        <f>ROUND(Data!AD271*$B$3,2)</f>
        <v>62795.09</v>
      </c>
      <c r="N271" s="3">
        <f>Data!U271</f>
        <v>0</v>
      </c>
      <c r="O271" s="3">
        <f t="shared" si="13"/>
        <v>782877.77</v>
      </c>
      <c r="P271" s="3">
        <f t="shared" si="14"/>
        <v>720082.68</v>
      </c>
      <c r="Q271" s="3">
        <f t="shared" si="15"/>
        <v>62795.09</v>
      </c>
    </row>
    <row r="272" spans="1:17" x14ac:dyDescent="0.2">
      <c r="A272" s="18">
        <v>885</v>
      </c>
      <c r="B272" s="18">
        <v>1</v>
      </c>
      <c r="C272" s="3" t="s">
        <v>269</v>
      </c>
      <c r="D272" s="3">
        <f>ROUND(Data!AC272*$B$3,2)</f>
        <v>665965.89</v>
      </c>
      <c r="E272" s="3">
        <f>MAX(0,Data!AF272-Data!Y272)</f>
        <v>798746.16999999993</v>
      </c>
      <c r="F272" s="3">
        <f>Data!Y272</f>
        <v>131136.53</v>
      </c>
      <c r="G272" s="3">
        <f>Data!X272</f>
        <v>0</v>
      </c>
      <c r="H272" s="3">
        <f>Data!K272+Data!R272</f>
        <v>45588.619999999995</v>
      </c>
      <c r="I272" s="3">
        <f>Data!I272+Data!L272+Data!M272+Data!N272+Data!O272+Data!S272</f>
        <v>0</v>
      </c>
      <c r="J272" s="3">
        <f>Data!Q272</f>
        <v>0</v>
      </c>
      <c r="K272" s="3">
        <f>Data!J272+Data!P272</f>
        <v>17379.669999999998</v>
      </c>
      <c r="L272" s="3">
        <f>Data!T272</f>
        <v>0</v>
      </c>
      <c r="M272" s="3">
        <f>ROUND(Data!AD272*$B$3,2)</f>
        <v>117130.8</v>
      </c>
      <c r="N272" s="3">
        <f>Data!U272</f>
        <v>0</v>
      </c>
      <c r="O272" s="3">
        <f t="shared" si="13"/>
        <v>1775947.68</v>
      </c>
      <c r="P272" s="3">
        <f t="shared" si="14"/>
        <v>1658816.88</v>
      </c>
      <c r="Q272" s="3">
        <f t="shared" si="15"/>
        <v>117130.8</v>
      </c>
    </row>
    <row r="273" spans="1:17" x14ac:dyDescent="0.2">
      <c r="A273" s="18">
        <v>891</v>
      </c>
      <c r="B273" s="18">
        <v>1</v>
      </c>
      <c r="C273" s="3" t="s">
        <v>270</v>
      </c>
      <c r="D273" s="3">
        <f>ROUND(Data!AC273*$B$3,2)</f>
        <v>147248.19</v>
      </c>
      <c r="E273" s="3">
        <f>MAX(0,Data!AF273-Data!Y273)</f>
        <v>56046.240000000005</v>
      </c>
      <c r="F273" s="3">
        <f>Data!Y273</f>
        <v>32209.42</v>
      </c>
      <c r="G273" s="3">
        <f>Data!X273</f>
        <v>18617.810000000001</v>
      </c>
      <c r="H273" s="3">
        <f>Data!K273+Data!R273</f>
        <v>13497.6</v>
      </c>
      <c r="I273" s="3">
        <f>Data!I273+Data!L273+Data!M273+Data!N273+Data!O273+Data!S273</f>
        <v>0</v>
      </c>
      <c r="J273" s="3">
        <f>Data!Q273</f>
        <v>0</v>
      </c>
      <c r="K273" s="3">
        <f>Data!J273+Data!P273</f>
        <v>17553.77</v>
      </c>
      <c r="L273" s="3">
        <f>Data!T273</f>
        <v>0</v>
      </c>
      <c r="M273" s="3">
        <f>ROUND(Data!AD273*$B$3,2)</f>
        <v>25609.279999999999</v>
      </c>
      <c r="N273" s="3">
        <f>Data!U273</f>
        <v>0</v>
      </c>
      <c r="O273" s="3">
        <f t="shared" si="13"/>
        <v>310782.30999999994</v>
      </c>
      <c r="P273" s="3">
        <f t="shared" si="14"/>
        <v>285173.02999999997</v>
      </c>
      <c r="Q273" s="3">
        <f t="shared" si="15"/>
        <v>25609.279999999999</v>
      </c>
    </row>
    <row r="274" spans="1:17" x14ac:dyDescent="0.2">
      <c r="A274" s="18">
        <v>911</v>
      </c>
      <c r="B274" s="18">
        <v>1</v>
      </c>
      <c r="C274" s="3" t="s">
        <v>271</v>
      </c>
      <c r="D274" s="3">
        <f>ROUND(Data!AC274*$B$3,2)</f>
        <v>747557.93</v>
      </c>
      <c r="E274" s="3">
        <f>MAX(0,Data!AF274-Data!Y274)</f>
        <v>0</v>
      </c>
      <c r="F274" s="3">
        <f>Data!Y274</f>
        <v>217668.75</v>
      </c>
      <c r="G274" s="3">
        <f>Data!X274</f>
        <v>0</v>
      </c>
      <c r="H274" s="3">
        <f>Data!K274+Data!R274</f>
        <v>112534.31</v>
      </c>
      <c r="I274" s="3">
        <f>Data!I274+Data!L274+Data!M274+Data!N274+Data!O274+Data!S274</f>
        <v>0</v>
      </c>
      <c r="J274" s="3">
        <f>Data!Q274</f>
        <v>0</v>
      </c>
      <c r="K274" s="3">
        <f>Data!J274+Data!P274</f>
        <v>158729.72</v>
      </c>
      <c r="L274" s="3">
        <f>Data!T274</f>
        <v>0</v>
      </c>
      <c r="M274" s="3">
        <f>ROUND(Data!AD274*$B$3,2)</f>
        <v>194525.13</v>
      </c>
      <c r="N274" s="3">
        <f>Data!U274</f>
        <v>0</v>
      </c>
      <c r="O274" s="3">
        <f t="shared" si="13"/>
        <v>1431015.8399999999</v>
      </c>
      <c r="P274" s="3">
        <f t="shared" si="14"/>
        <v>1236490.71</v>
      </c>
      <c r="Q274" s="3">
        <f t="shared" si="15"/>
        <v>194525.13</v>
      </c>
    </row>
    <row r="275" spans="1:17" x14ac:dyDescent="0.2">
      <c r="A275" s="18">
        <v>912</v>
      </c>
      <c r="B275" s="18">
        <v>1</v>
      </c>
      <c r="C275" s="3" t="s">
        <v>272</v>
      </c>
      <c r="D275" s="3">
        <f>ROUND(Data!AC275*$B$3,2)</f>
        <v>194471.76</v>
      </c>
      <c r="E275" s="3">
        <f>MAX(0,Data!AF275-Data!Y275)</f>
        <v>0</v>
      </c>
      <c r="F275" s="3">
        <f>Data!Y275</f>
        <v>54092.15</v>
      </c>
      <c r="G275" s="3">
        <f>Data!X275</f>
        <v>0</v>
      </c>
      <c r="H275" s="3">
        <f>Data!K275+Data!R275</f>
        <v>35749.599999999999</v>
      </c>
      <c r="I275" s="3">
        <f>Data!I275+Data!L275+Data!M275+Data!N275+Data!O275+Data!S275</f>
        <v>0</v>
      </c>
      <c r="J275" s="3">
        <f>Data!Q275</f>
        <v>0</v>
      </c>
      <c r="K275" s="3">
        <f>Data!J275+Data!P275</f>
        <v>25302.97</v>
      </c>
      <c r="L275" s="3">
        <f>Data!T275</f>
        <v>0</v>
      </c>
      <c r="M275" s="3">
        <f>ROUND(Data!AD275*$B$3,2)</f>
        <v>50150</v>
      </c>
      <c r="N275" s="3">
        <f>Data!U275</f>
        <v>0</v>
      </c>
      <c r="O275" s="3">
        <f t="shared" si="13"/>
        <v>359766.48</v>
      </c>
      <c r="P275" s="3">
        <f t="shared" si="14"/>
        <v>309616.48</v>
      </c>
      <c r="Q275" s="3">
        <f t="shared" si="15"/>
        <v>50150</v>
      </c>
    </row>
    <row r="276" spans="1:17" x14ac:dyDescent="0.2">
      <c r="A276" s="18">
        <v>914</v>
      </c>
      <c r="B276" s="18">
        <v>1</v>
      </c>
      <c r="C276" s="3" t="s">
        <v>273</v>
      </c>
      <c r="D276" s="3">
        <f>ROUND(Data!AC276*$B$3,2)</f>
        <v>42800.19</v>
      </c>
      <c r="E276" s="3">
        <f>MAX(0,Data!AF276-Data!Y276)</f>
        <v>83378.450000000012</v>
      </c>
      <c r="F276" s="3">
        <f>Data!Y276</f>
        <v>88350</v>
      </c>
      <c r="G276" s="3">
        <f>Data!X276</f>
        <v>527.82000000000005</v>
      </c>
      <c r="H276" s="3">
        <f>Data!K276+Data!R276</f>
        <v>10000</v>
      </c>
      <c r="I276" s="3">
        <f>Data!I276+Data!L276+Data!M276+Data!N276+Data!O276+Data!S276</f>
        <v>0</v>
      </c>
      <c r="J276" s="3">
        <f>Data!Q276</f>
        <v>0</v>
      </c>
      <c r="K276" s="3">
        <f>Data!J276+Data!P276</f>
        <v>-2298</v>
      </c>
      <c r="L276" s="3">
        <f>Data!T276</f>
        <v>0</v>
      </c>
      <c r="M276" s="3">
        <f>ROUND(Data!AD276*$B$3,2)</f>
        <v>8100.09</v>
      </c>
      <c r="N276" s="3">
        <f>Data!U276</f>
        <v>0</v>
      </c>
      <c r="O276" s="3">
        <f t="shared" si="13"/>
        <v>230858.55000000002</v>
      </c>
      <c r="P276" s="3">
        <f t="shared" si="14"/>
        <v>222758.46000000002</v>
      </c>
      <c r="Q276" s="3">
        <f t="shared" si="15"/>
        <v>8100.09</v>
      </c>
    </row>
    <row r="277" spans="1:17" x14ac:dyDescent="0.2">
      <c r="A277" s="18">
        <v>2071</v>
      </c>
      <c r="B277" s="18">
        <v>1</v>
      </c>
      <c r="C277" s="3" t="s">
        <v>274</v>
      </c>
      <c r="D277" s="3">
        <f>ROUND(Data!AC277*$B$3,2)</f>
        <v>216339.58</v>
      </c>
      <c r="E277" s="3">
        <f>MAX(0,Data!AF277-Data!Y277)</f>
        <v>75831.849999999977</v>
      </c>
      <c r="F277" s="3">
        <f>Data!Y277</f>
        <v>216532</v>
      </c>
      <c r="G277" s="3">
        <f>Data!X277</f>
        <v>0</v>
      </c>
      <c r="H277" s="3">
        <f>Data!K277+Data!R277</f>
        <v>15484</v>
      </c>
      <c r="I277" s="3">
        <f>Data!I277+Data!L277+Data!M277+Data!N277+Data!O277+Data!S277</f>
        <v>0</v>
      </c>
      <c r="J277" s="3">
        <f>Data!Q277</f>
        <v>0</v>
      </c>
      <c r="K277" s="3">
        <f>Data!J277+Data!P277</f>
        <v>1794.4600000000003</v>
      </c>
      <c r="L277" s="3">
        <f>Data!T277</f>
        <v>0</v>
      </c>
      <c r="M277" s="3">
        <f>ROUND(Data!AD277*$B$3,2)</f>
        <v>39900.15</v>
      </c>
      <c r="N277" s="3">
        <f>Data!U277</f>
        <v>0</v>
      </c>
      <c r="O277" s="3">
        <f t="shared" si="13"/>
        <v>565882.03999999992</v>
      </c>
      <c r="P277" s="3">
        <f t="shared" si="14"/>
        <v>525981.8899999999</v>
      </c>
      <c r="Q277" s="3">
        <f t="shared" si="15"/>
        <v>39900.15</v>
      </c>
    </row>
    <row r="278" spans="1:17" x14ac:dyDescent="0.2">
      <c r="A278" s="18">
        <v>2125</v>
      </c>
      <c r="B278" s="18">
        <v>1</v>
      </c>
      <c r="C278" s="3" t="s">
        <v>275</v>
      </c>
      <c r="D278" s="3">
        <f>ROUND(Data!AC278*$B$3,2)</f>
        <v>283524.8</v>
      </c>
      <c r="E278" s="3">
        <f>MAX(0,Data!AF278-Data!Y278)</f>
        <v>142116.49</v>
      </c>
      <c r="F278" s="3">
        <f>Data!Y278</f>
        <v>130834.75</v>
      </c>
      <c r="G278" s="3">
        <f>Data!X278</f>
        <v>0</v>
      </c>
      <c r="H278" s="3">
        <f>Data!K278+Data!R278</f>
        <v>11043.5</v>
      </c>
      <c r="I278" s="3">
        <f>Data!I278+Data!L278+Data!M278+Data!N278+Data!O278+Data!S278</f>
        <v>0</v>
      </c>
      <c r="J278" s="3">
        <f>Data!Q278</f>
        <v>0</v>
      </c>
      <c r="K278" s="3">
        <f>Data!J278+Data!P278</f>
        <v>62454.7</v>
      </c>
      <c r="L278" s="3">
        <f>Data!T278</f>
        <v>0</v>
      </c>
      <c r="M278" s="3">
        <f>ROUND(Data!AD278*$B$3,2)</f>
        <v>50155.34</v>
      </c>
      <c r="N278" s="3">
        <f>Data!U278</f>
        <v>0</v>
      </c>
      <c r="O278" s="3">
        <f t="shared" si="13"/>
        <v>680129.58</v>
      </c>
      <c r="P278" s="3">
        <f t="shared" si="14"/>
        <v>629974.24</v>
      </c>
      <c r="Q278" s="3">
        <f t="shared" si="15"/>
        <v>50155.34</v>
      </c>
    </row>
    <row r="279" spans="1:17" x14ac:dyDescent="0.2">
      <c r="A279" s="18">
        <v>2134</v>
      </c>
      <c r="B279" s="18">
        <v>1</v>
      </c>
      <c r="C279" s="3" t="s">
        <v>276</v>
      </c>
      <c r="D279" s="3">
        <f>ROUND(Data!AC279*$B$3,2)</f>
        <v>182239.04</v>
      </c>
      <c r="E279" s="3">
        <f>MAX(0,Data!AF279-Data!Y279)</f>
        <v>147435.16999999998</v>
      </c>
      <c r="F279" s="3">
        <f>Data!Y279</f>
        <v>243273.5</v>
      </c>
      <c r="G279" s="3">
        <f>Data!X279</f>
        <v>10564.1</v>
      </c>
      <c r="H279" s="3">
        <f>Data!K279+Data!R279</f>
        <v>19461.600000000002</v>
      </c>
      <c r="I279" s="3">
        <f>Data!I279+Data!L279+Data!M279+Data!N279+Data!O279+Data!S279</f>
        <v>0</v>
      </c>
      <c r="J279" s="3">
        <f>Data!Q279</f>
        <v>0</v>
      </c>
      <c r="K279" s="3">
        <f>Data!J279+Data!P279</f>
        <v>7074.64</v>
      </c>
      <c r="L279" s="3">
        <f>Data!T279</f>
        <v>0</v>
      </c>
      <c r="M279" s="3">
        <f>ROUND(Data!AD279*$B$3,2)</f>
        <v>43980.58</v>
      </c>
      <c r="N279" s="3">
        <f>Data!U279</f>
        <v>0</v>
      </c>
      <c r="O279" s="3">
        <f t="shared" si="13"/>
        <v>654028.62999999989</v>
      </c>
      <c r="P279" s="3">
        <f t="shared" si="14"/>
        <v>610048.04999999993</v>
      </c>
      <c r="Q279" s="3">
        <f t="shared" si="15"/>
        <v>43980.58</v>
      </c>
    </row>
    <row r="280" spans="1:17" x14ac:dyDescent="0.2">
      <c r="A280" s="18">
        <v>2135</v>
      </c>
      <c r="B280" s="18">
        <v>1</v>
      </c>
      <c r="C280" s="3" t="s">
        <v>277</v>
      </c>
      <c r="D280" s="3">
        <f>ROUND(Data!AC280*$B$3,2)</f>
        <v>227727.38</v>
      </c>
      <c r="E280" s="3">
        <f>MAX(0,Data!AF280-Data!Y280)</f>
        <v>152000.32000000001</v>
      </c>
      <c r="F280" s="3">
        <f>Data!Y280</f>
        <v>188722.05</v>
      </c>
      <c r="G280" s="3">
        <f>Data!X280</f>
        <v>0</v>
      </c>
      <c r="H280" s="3">
        <f>Data!K280+Data!R280</f>
        <v>23377.599999999999</v>
      </c>
      <c r="I280" s="3">
        <f>Data!I280+Data!L280+Data!M280+Data!N280+Data!O280+Data!S280</f>
        <v>0</v>
      </c>
      <c r="J280" s="3">
        <f>Data!Q280</f>
        <v>0</v>
      </c>
      <c r="K280" s="3">
        <f>Data!J280+Data!P280</f>
        <v>-5009.1699999999983</v>
      </c>
      <c r="L280" s="3">
        <f>Data!T280</f>
        <v>0</v>
      </c>
      <c r="M280" s="3">
        <f>ROUND(Data!AD280*$B$3,2)</f>
        <v>41822.82</v>
      </c>
      <c r="N280" s="3">
        <f>Data!U280</f>
        <v>0</v>
      </c>
      <c r="O280" s="3">
        <f t="shared" si="13"/>
        <v>628640.99999999988</v>
      </c>
      <c r="P280" s="3">
        <f t="shared" si="14"/>
        <v>586818.17999999993</v>
      </c>
      <c r="Q280" s="3">
        <f t="shared" si="15"/>
        <v>41822.82</v>
      </c>
    </row>
    <row r="281" spans="1:17" x14ac:dyDescent="0.2">
      <c r="A281" s="18">
        <v>2137</v>
      </c>
      <c r="B281" s="18">
        <v>1</v>
      </c>
      <c r="C281" s="3" t="s">
        <v>278</v>
      </c>
      <c r="D281" s="3">
        <f>ROUND(Data!AC281*$B$3,2)</f>
        <v>160828.26999999999</v>
      </c>
      <c r="E281" s="3">
        <f>MAX(0,Data!AF281-Data!Y281)</f>
        <v>133479.41</v>
      </c>
      <c r="F281" s="3">
        <f>Data!Y281</f>
        <v>63102.69</v>
      </c>
      <c r="G281" s="3">
        <f>Data!X281</f>
        <v>0</v>
      </c>
      <c r="H281" s="3">
        <f>Data!K281+Data!R281</f>
        <v>19148.990000000002</v>
      </c>
      <c r="I281" s="3">
        <f>Data!I281+Data!L281+Data!M281+Data!N281+Data!O281+Data!S281</f>
        <v>0</v>
      </c>
      <c r="J281" s="3">
        <f>Data!Q281</f>
        <v>0</v>
      </c>
      <c r="K281" s="3">
        <f>Data!J281+Data!P281</f>
        <v>-6862.0299999999988</v>
      </c>
      <c r="L281" s="3">
        <f>Data!T281</f>
        <v>0</v>
      </c>
      <c r="M281" s="3">
        <f>ROUND(Data!AD281*$B$3,2)</f>
        <v>35835.050000000003</v>
      </c>
      <c r="N281" s="3">
        <f>Data!U281</f>
        <v>0</v>
      </c>
      <c r="O281" s="3">
        <f t="shared" si="13"/>
        <v>405532.37999999995</v>
      </c>
      <c r="P281" s="3">
        <f t="shared" si="14"/>
        <v>369697.32999999996</v>
      </c>
      <c r="Q281" s="3">
        <f t="shared" si="15"/>
        <v>35835.050000000003</v>
      </c>
    </row>
    <row r="282" spans="1:17" x14ac:dyDescent="0.2">
      <c r="A282" s="18">
        <v>2142</v>
      </c>
      <c r="B282" s="18">
        <v>1</v>
      </c>
      <c r="C282" s="3" t="s">
        <v>279</v>
      </c>
      <c r="D282" s="3">
        <f>ROUND(Data!AC282*$B$3,2)</f>
        <v>520845.23</v>
      </c>
      <c r="E282" s="3">
        <f>MAX(0,Data!AF282-Data!Y282)</f>
        <v>0</v>
      </c>
      <c r="F282" s="3">
        <f>Data!Y282</f>
        <v>171786.65</v>
      </c>
      <c r="G282" s="3">
        <f>Data!X282</f>
        <v>21538.33</v>
      </c>
      <c r="H282" s="3">
        <f>Data!K282+Data!R282</f>
        <v>21838.28</v>
      </c>
      <c r="I282" s="3">
        <f>Data!I282+Data!L282+Data!M282+Data!N282+Data!O282+Data!S282</f>
        <v>145783.16</v>
      </c>
      <c r="J282" s="3">
        <f>Data!Q282</f>
        <v>0</v>
      </c>
      <c r="K282" s="3">
        <f>Data!J282+Data!P282</f>
        <v>55511.19</v>
      </c>
      <c r="L282" s="3">
        <f>Data!T282</f>
        <v>0</v>
      </c>
      <c r="M282" s="3">
        <f>ROUND(Data!AD282*$B$3,2)</f>
        <v>0</v>
      </c>
      <c r="N282" s="3">
        <f>Data!U282</f>
        <v>0</v>
      </c>
      <c r="O282" s="3">
        <f t="shared" si="13"/>
        <v>937302.84000000008</v>
      </c>
      <c r="P282" s="3">
        <f t="shared" si="14"/>
        <v>937302.84000000008</v>
      </c>
      <c r="Q282" s="3">
        <f t="shared" si="15"/>
        <v>0</v>
      </c>
    </row>
    <row r="283" spans="1:17" x14ac:dyDescent="0.2">
      <c r="A283" s="18">
        <v>2143</v>
      </c>
      <c r="B283" s="18">
        <v>1</v>
      </c>
      <c r="C283" s="3" t="s">
        <v>280</v>
      </c>
      <c r="D283" s="3">
        <f>ROUND(Data!AC283*$B$3,2)</f>
        <v>200658.37</v>
      </c>
      <c r="E283" s="3">
        <f>MAX(0,Data!AF283-Data!Y283)</f>
        <v>609042.94000000006</v>
      </c>
      <c r="F283" s="3">
        <f>Data!Y283</f>
        <v>72111.33</v>
      </c>
      <c r="G283" s="3">
        <f>Data!X283</f>
        <v>0</v>
      </c>
      <c r="H283" s="3">
        <f>Data!K283+Data!R283</f>
        <v>18397.169999999998</v>
      </c>
      <c r="I283" s="3">
        <f>Data!I283+Data!L283+Data!M283+Data!N283+Data!O283+Data!S283</f>
        <v>0</v>
      </c>
      <c r="J283" s="3">
        <f>Data!Q283</f>
        <v>0</v>
      </c>
      <c r="K283" s="3">
        <f>Data!J283+Data!P283</f>
        <v>8956.57</v>
      </c>
      <c r="L283" s="3">
        <f>Data!T283</f>
        <v>0</v>
      </c>
      <c r="M283" s="3">
        <f>ROUND(Data!AD283*$B$3,2)</f>
        <v>41857.22</v>
      </c>
      <c r="N283" s="3">
        <f>Data!U283</f>
        <v>0</v>
      </c>
      <c r="O283" s="3">
        <f t="shared" si="13"/>
        <v>951023.6</v>
      </c>
      <c r="P283" s="3">
        <f t="shared" si="14"/>
        <v>909166.38</v>
      </c>
      <c r="Q283" s="3">
        <f t="shared" si="15"/>
        <v>41857.22</v>
      </c>
    </row>
    <row r="284" spans="1:17" x14ac:dyDescent="0.2">
      <c r="A284" s="18">
        <v>2144</v>
      </c>
      <c r="B284" s="18">
        <v>1</v>
      </c>
      <c r="C284" s="3" t="s">
        <v>281</v>
      </c>
      <c r="D284" s="3">
        <f>ROUND(Data!AC284*$B$3,2)</f>
        <v>826874.49</v>
      </c>
      <c r="E284" s="3">
        <f>MAX(0,Data!AF284-Data!Y284)</f>
        <v>585893.97</v>
      </c>
      <c r="F284" s="3">
        <f>Data!Y284</f>
        <v>212914.72</v>
      </c>
      <c r="G284" s="3">
        <f>Data!X284</f>
        <v>0</v>
      </c>
      <c r="H284" s="3">
        <f>Data!K284+Data!R284</f>
        <v>68493.600000000006</v>
      </c>
      <c r="I284" s="3">
        <f>Data!I284+Data!L284+Data!M284+Data!N284+Data!O284+Data!S284</f>
        <v>0</v>
      </c>
      <c r="J284" s="3">
        <f>Data!Q284</f>
        <v>0</v>
      </c>
      <c r="K284" s="3">
        <f>Data!J284+Data!P284</f>
        <v>38777.410000000003</v>
      </c>
      <c r="L284" s="3">
        <f>Data!T284</f>
        <v>0</v>
      </c>
      <c r="M284" s="3">
        <f>ROUND(Data!AD284*$B$3,2)</f>
        <v>148896.17000000001</v>
      </c>
      <c r="N284" s="3">
        <f>Data!U284</f>
        <v>0</v>
      </c>
      <c r="O284" s="3">
        <f t="shared" si="13"/>
        <v>1881850.3599999999</v>
      </c>
      <c r="P284" s="3">
        <f t="shared" si="14"/>
        <v>1732954.19</v>
      </c>
      <c r="Q284" s="3">
        <f t="shared" si="15"/>
        <v>148896.17000000001</v>
      </c>
    </row>
    <row r="285" spans="1:17" x14ac:dyDescent="0.2">
      <c r="A285" s="18">
        <v>2149</v>
      </c>
      <c r="B285" s="18">
        <v>1</v>
      </c>
      <c r="C285" s="3" t="s">
        <v>282</v>
      </c>
      <c r="D285" s="3">
        <f>ROUND(Data!AC285*$B$3,2)</f>
        <v>345887.18</v>
      </c>
      <c r="E285" s="3">
        <f>MAX(0,Data!AF285-Data!Y285)</f>
        <v>277215.38999999996</v>
      </c>
      <c r="F285" s="3">
        <f>Data!Y285</f>
        <v>105651.52</v>
      </c>
      <c r="G285" s="3">
        <f>Data!X285</f>
        <v>0</v>
      </c>
      <c r="H285" s="3">
        <f>Data!K285+Data!R285</f>
        <v>34344.89</v>
      </c>
      <c r="I285" s="3">
        <f>Data!I285+Data!L285+Data!M285+Data!N285+Data!O285+Data!S285</f>
        <v>0</v>
      </c>
      <c r="J285" s="3">
        <f>Data!Q285</f>
        <v>0</v>
      </c>
      <c r="K285" s="3">
        <f>Data!J285+Data!P285</f>
        <v>10224.1</v>
      </c>
      <c r="L285" s="3">
        <f>Data!T285</f>
        <v>0</v>
      </c>
      <c r="M285" s="3">
        <f>ROUND(Data!AD285*$B$3,2)</f>
        <v>69990.8</v>
      </c>
      <c r="N285" s="3">
        <f>Data!U285</f>
        <v>0</v>
      </c>
      <c r="O285" s="3">
        <f t="shared" si="13"/>
        <v>843313.88</v>
      </c>
      <c r="P285" s="3">
        <f t="shared" si="14"/>
        <v>773323.08</v>
      </c>
      <c r="Q285" s="3">
        <f t="shared" si="15"/>
        <v>69990.8</v>
      </c>
    </row>
    <row r="286" spans="1:17" x14ac:dyDescent="0.2">
      <c r="A286" s="18">
        <v>2154</v>
      </c>
      <c r="B286" s="18">
        <v>1</v>
      </c>
      <c r="C286" s="3" t="s">
        <v>283</v>
      </c>
      <c r="D286" s="3">
        <f>ROUND(Data!AC286*$B$3,2)</f>
        <v>0</v>
      </c>
      <c r="E286" s="3">
        <f>MAX(0,Data!AF286-Data!Y286)</f>
        <v>79619</v>
      </c>
      <c r="F286" s="3">
        <f>Data!Y286</f>
        <v>52276.22</v>
      </c>
      <c r="G286" s="3">
        <f>Data!X286</f>
        <v>22207.47</v>
      </c>
      <c r="H286" s="3">
        <f>Data!K286+Data!R286</f>
        <v>26747.93</v>
      </c>
      <c r="I286" s="3">
        <f>Data!I286+Data!L286+Data!M286+Data!N286+Data!O286+Data!S286</f>
        <v>94174.77</v>
      </c>
      <c r="J286" s="3">
        <f>Data!Q286</f>
        <v>0</v>
      </c>
      <c r="K286" s="3">
        <f>Data!J286+Data!P286</f>
        <v>26497.11</v>
      </c>
      <c r="L286" s="3">
        <f>Data!T286</f>
        <v>0</v>
      </c>
      <c r="M286" s="3">
        <f>ROUND(Data!AD286*$B$3,2)</f>
        <v>0</v>
      </c>
      <c r="N286" s="3">
        <f>Data!U286</f>
        <v>0</v>
      </c>
      <c r="O286" s="3">
        <f t="shared" si="13"/>
        <v>301522.5</v>
      </c>
      <c r="P286" s="3">
        <f t="shared" si="14"/>
        <v>301522.5</v>
      </c>
      <c r="Q286" s="3">
        <f t="shared" si="15"/>
        <v>0</v>
      </c>
    </row>
    <row r="287" spans="1:17" x14ac:dyDescent="0.2">
      <c r="A287" s="18">
        <v>2155</v>
      </c>
      <c r="B287" s="18">
        <v>1</v>
      </c>
      <c r="C287" s="3" t="s">
        <v>284</v>
      </c>
      <c r="D287" s="3">
        <f>ROUND(Data!AC287*$B$3,2)</f>
        <v>152757.4</v>
      </c>
      <c r="E287" s="3">
        <f>MAX(0,Data!AF287-Data!Y287)</f>
        <v>253208.43</v>
      </c>
      <c r="F287" s="3">
        <f>Data!Y287</f>
        <v>38157.32</v>
      </c>
      <c r="G287" s="3">
        <f>Data!X287</f>
        <v>0</v>
      </c>
      <c r="H287" s="3">
        <f>Data!K287+Data!R287</f>
        <v>29819.279999999999</v>
      </c>
      <c r="I287" s="3">
        <f>Data!I287+Data!L287+Data!M287+Data!N287+Data!O287+Data!S287</f>
        <v>0</v>
      </c>
      <c r="J287" s="3">
        <f>Data!Q287</f>
        <v>0</v>
      </c>
      <c r="K287" s="3">
        <f>Data!J287+Data!P287</f>
        <v>4838.09</v>
      </c>
      <c r="L287" s="3">
        <f>Data!T287</f>
        <v>0</v>
      </c>
      <c r="M287" s="3">
        <f>ROUND(Data!AD287*$B$3,2)</f>
        <v>37153.730000000003</v>
      </c>
      <c r="N287" s="3">
        <f>Data!U287</f>
        <v>0</v>
      </c>
      <c r="O287" s="3">
        <f t="shared" si="13"/>
        <v>515934.24999999994</v>
      </c>
      <c r="P287" s="3">
        <f t="shared" si="14"/>
        <v>478780.51999999996</v>
      </c>
      <c r="Q287" s="3">
        <f t="shared" si="15"/>
        <v>37153.730000000003</v>
      </c>
    </row>
    <row r="288" spans="1:17" x14ac:dyDescent="0.2">
      <c r="A288" s="18">
        <v>2159</v>
      </c>
      <c r="B288" s="18">
        <v>1</v>
      </c>
      <c r="C288" s="3" t="s">
        <v>285</v>
      </c>
      <c r="D288" s="3">
        <f>ROUND(Data!AC288*$B$3,2)</f>
        <v>149413.66</v>
      </c>
      <c r="E288" s="3">
        <f>MAX(0,Data!AF288-Data!Y288)</f>
        <v>94040.76</v>
      </c>
      <c r="F288" s="3">
        <f>Data!Y288</f>
        <v>102520.67</v>
      </c>
      <c r="G288" s="3">
        <f>Data!X288</f>
        <v>23853.190000000002</v>
      </c>
      <c r="H288" s="3">
        <f>Data!K288+Data!R288</f>
        <v>11812.8</v>
      </c>
      <c r="I288" s="3">
        <f>Data!I288+Data!L288+Data!M288+Data!N288+Data!O288+Data!S288</f>
        <v>0</v>
      </c>
      <c r="J288" s="3">
        <f>Data!Q288</f>
        <v>0</v>
      </c>
      <c r="K288" s="3">
        <f>Data!J288+Data!P288</f>
        <v>10750.59</v>
      </c>
      <c r="L288" s="3">
        <f>Data!T288</f>
        <v>0</v>
      </c>
      <c r="M288" s="3">
        <f>ROUND(Data!AD288*$B$3,2)</f>
        <v>27316.07</v>
      </c>
      <c r="N288" s="3">
        <f>Data!U288</f>
        <v>0</v>
      </c>
      <c r="O288" s="3">
        <f t="shared" si="13"/>
        <v>419707.74</v>
      </c>
      <c r="P288" s="3">
        <f t="shared" si="14"/>
        <v>392391.67</v>
      </c>
      <c r="Q288" s="3">
        <f t="shared" si="15"/>
        <v>27316.07</v>
      </c>
    </row>
    <row r="289" spans="1:17" x14ac:dyDescent="0.2">
      <c r="A289" s="18">
        <v>2164</v>
      </c>
      <c r="B289" s="18">
        <v>1</v>
      </c>
      <c r="C289" s="3" t="s">
        <v>286</v>
      </c>
      <c r="D289" s="3">
        <f>ROUND(Data!AC289*$B$3,2)</f>
        <v>177789.51</v>
      </c>
      <c r="E289" s="3">
        <f>MAX(0,Data!AF289-Data!Y289)</f>
        <v>96347.819999999992</v>
      </c>
      <c r="F289" s="3">
        <f>Data!Y289</f>
        <v>55510.33</v>
      </c>
      <c r="G289" s="3">
        <f>Data!X289</f>
        <v>0</v>
      </c>
      <c r="H289" s="3">
        <f>Data!K289+Data!R289</f>
        <v>12494.42</v>
      </c>
      <c r="I289" s="3">
        <f>Data!I289+Data!L289+Data!M289+Data!N289+Data!O289+Data!S289</f>
        <v>0</v>
      </c>
      <c r="J289" s="3">
        <f>Data!Q289</f>
        <v>0</v>
      </c>
      <c r="K289" s="3">
        <f>Data!J289+Data!P289</f>
        <v>-69.119999999999891</v>
      </c>
      <c r="L289" s="3">
        <f>Data!T289</f>
        <v>0</v>
      </c>
      <c r="M289" s="3">
        <f>ROUND(Data!AD289*$B$3,2)</f>
        <v>35107.68</v>
      </c>
      <c r="N289" s="3">
        <f>Data!U289</f>
        <v>0</v>
      </c>
      <c r="O289" s="3">
        <f t="shared" si="13"/>
        <v>377180.64</v>
      </c>
      <c r="P289" s="3">
        <f t="shared" si="14"/>
        <v>342072.96</v>
      </c>
      <c r="Q289" s="3">
        <f t="shared" si="15"/>
        <v>35107.68</v>
      </c>
    </row>
    <row r="290" spans="1:17" x14ac:dyDescent="0.2">
      <c r="A290" s="18">
        <v>2165</v>
      </c>
      <c r="B290" s="18">
        <v>1</v>
      </c>
      <c r="C290" s="3" t="s">
        <v>287</v>
      </c>
      <c r="D290" s="3">
        <f>ROUND(Data!AC290*$B$3,2)</f>
        <v>209970.91</v>
      </c>
      <c r="E290" s="3">
        <f>MAX(0,Data!AF290-Data!Y290)</f>
        <v>89893.540000000008</v>
      </c>
      <c r="F290" s="3">
        <f>Data!Y290</f>
        <v>51707.97</v>
      </c>
      <c r="G290" s="3">
        <f>Data!X290</f>
        <v>0</v>
      </c>
      <c r="H290" s="3">
        <f>Data!K290+Data!R290</f>
        <v>0</v>
      </c>
      <c r="I290" s="3">
        <f>Data!I290+Data!L290+Data!M290+Data!N290+Data!O290+Data!S290</f>
        <v>0</v>
      </c>
      <c r="J290" s="3">
        <f>Data!Q290</f>
        <v>0</v>
      </c>
      <c r="K290" s="3">
        <f>Data!J290+Data!P290</f>
        <v>1260.1199999999999</v>
      </c>
      <c r="L290" s="3">
        <f>Data!T290</f>
        <v>0</v>
      </c>
      <c r="M290" s="3">
        <f>ROUND(Data!AD290*$B$3,2)</f>
        <v>39858.78</v>
      </c>
      <c r="N290" s="3">
        <f>Data!U290</f>
        <v>0</v>
      </c>
      <c r="O290" s="3">
        <f t="shared" si="13"/>
        <v>392691.32000000007</v>
      </c>
      <c r="P290" s="3">
        <f t="shared" si="14"/>
        <v>352832.54000000004</v>
      </c>
      <c r="Q290" s="3">
        <f t="shared" si="15"/>
        <v>39858.78</v>
      </c>
    </row>
    <row r="291" spans="1:17" x14ac:dyDescent="0.2">
      <c r="A291" s="18">
        <v>2167</v>
      </c>
      <c r="B291" s="18">
        <v>1</v>
      </c>
      <c r="C291" s="3" t="s">
        <v>288</v>
      </c>
      <c r="D291" s="3">
        <f>ROUND(Data!AC291*$B$3,2)</f>
        <v>154406.35999999999</v>
      </c>
      <c r="E291" s="3">
        <f>MAX(0,Data!AF291-Data!Y291)</f>
        <v>86353.06</v>
      </c>
      <c r="F291" s="3">
        <f>Data!Y291</f>
        <v>31840.2</v>
      </c>
      <c r="G291" s="3">
        <f>Data!X291</f>
        <v>5689.16</v>
      </c>
      <c r="H291" s="3">
        <f>Data!K291+Data!R291</f>
        <v>10655.81</v>
      </c>
      <c r="I291" s="3">
        <f>Data!I291+Data!L291+Data!M291+Data!N291+Data!O291+Data!S291</f>
        <v>0</v>
      </c>
      <c r="J291" s="3">
        <f>Data!Q291</f>
        <v>0</v>
      </c>
      <c r="K291" s="3">
        <f>Data!J291+Data!P291</f>
        <v>-9740.5300000000007</v>
      </c>
      <c r="L291" s="3">
        <f>Data!T291</f>
        <v>0</v>
      </c>
      <c r="M291" s="3">
        <f>ROUND(Data!AD291*$B$3,2)</f>
        <v>16133.26</v>
      </c>
      <c r="N291" s="3">
        <f>Data!U291</f>
        <v>0</v>
      </c>
      <c r="O291" s="3">
        <f t="shared" si="13"/>
        <v>295337.31999999995</v>
      </c>
      <c r="P291" s="3">
        <f t="shared" si="14"/>
        <v>279204.05999999994</v>
      </c>
      <c r="Q291" s="3">
        <f t="shared" si="15"/>
        <v>16133.26</v>
      </c>
    </row>
    <row r="292" spans="1:17" x14ac:dyDescent="0.2">
      <c r="A292" s="18">
        <v>2168</v>
      </c>
      <c r="B292" s="18">
        <v>1</v>
      </c>
      <c r="C292" s="3" t="s">
        <v>289</v>
      </c>
      <c r="D292" s="3">
        <f>ROUND(Data!AC292*$B$3,2)</f>
        <v>147383.67000000001</v>
      </c>
      <c r="E292" s="3">
        <f>MAX(0,Data!AF292-Data!Y292)</f>
        <v>65414.979999999981</v>
      </c>
      <c r="F292" s="3">
        <f>Data!Y292</f>
        <v>77590.100000000006</v>
      </c>
      <c r="G292" s="3">
        <f>Data!X292</f>
        <v>11668.37</v>
      </c>
      <c r="H292" s="3">
        <f>Data!K292+Data!R292</f>
        <v>18832</v>
      </c>
      <c r="I292" s="3">
        <f>Data!I292+Data!L292+Data!M292+Data!N292+Data!O292+Data!S292</f>
        <v>0</v>
      </c>
      <c r="J292" s="3">
        <f>Data!Q292</f>
        <v>0</v>
      </c>
      <c r="K292" s="3">
        <f>Data!J292+Data!P292</f>
        <v>1768.49</v>
      </c>
      <c r="L292" s="3">
        <f>Data!T292</f>
        <v>0</v>
      </c>
      <c r="M292" s="3">
        <f>ROUND(Data!AD292*$B$3,2)</f>
        <v>36126.85</v>
      </c>
      <c r="N292" s="3">
        <f>Data!U292</f>
        <v>0</v>
      </c>
      <c r="O292" s="3">
        <f t="shared" si="13"/>
        <v>358784.45999999996</v>
      </c>
      <c r="P292" s="3">
        <f t="shared" si="14"/>
        <v>322657.61</v>
      </c>
      <c r="Q292" s="3">
        <f t="shared" si="15"/>
        <v>36126.85</v>
      </c>
    </row>
    <row r="293" spans="1:17" x14ac:dyDescent="0.2">
      <c r="A293" s="18">
        <v>2169</v>
      </c>
      <c r="B293" s="18">
        <v>1</v>
      </c>
      <c r="C293" s="3" t="s">
        <v>290</v>
      </c>
      <c r="D293" s="3">
        <f>ROUND(Data!AC293*$B$3,2)</f>
        <v>180597.98</v>
      </c>
      <c r="E293" s="3">
        <f>MAX(0,Data!AF293-Data!Y293)</f>
        <v>294733.78999999998</v>
      </c>
      <c r="F293" s="3">
        <f>Data!Y293</f>
        <v>61280.65</v>
      </c>
      <c r="G293" s="3">
        <f>Data!X293</f>
        <v>5478.96</v>
      </c>
      <c r="H293" s="3">
        <f>Data!K293+Data!R293</f>
        <v>14960.16</v>
      </c>
      <c r="I293" s="3">
        <f>Data!I293+Data!L293+Data!M293+Data!N293+Data!O293+Data!S293</f>
        <v>0</v>
      </c>
      <c r="J293" s="3">
        <f>Data!Q293</f>
        <v>0</v>
      </c>
      <c r="K293" s="3">
        <f>Data!J293+Data!P293</f>
        <v>29526.09</v>
      </c>
      <c r="L293" s="3">
        <f>Data!T293</f>
        <v>0</v>
      </c>
      <c r="M293" s="3">
        <f>ROUND(Data!AD293*$B$3,2)</f>
        <v>35673.86</v>
      </c>
      <c r="N293" s="3">
        <f>Data!U293</f>
        <v>0</v>
      </c>
      <c r="O293" s="3">
        <f t="shared" si="13"/>
        <v>622251.49</v>
      </c>
      <c r="P293" s="3">
        <f t="shared" si="14"/>
        <v>586577.63</v>
      </c>
      <c r="Q293" s="3">
        <f t="shared" si="15"/>
        <v>35673.86</v>
      </c>
    </row>
    <row r="294" spans="1:17" x14ac:dyDescent="0.2">
      <c r="A294" s="18">
        <v>2170</v>
      </c>
      <c r="B294" s="18">
        <v>1</v>
      </c>
      <c r="C294" s="3" t="s">
        <v>291</v>
      </c>
      <c r="D294" s="3">
        <f>ROUND(Data!AC294*$B$3,2)</f>
        <v>281763.92</v>
      </c>
      <c r="E294" s="3">
        <f>MAX(0,Data!AF294-Data!Y294)</f>
        <v>167895.15999999997</v>
      </c>
      <c r="F294" s="3">
        <f>Data!Y294</f>
        <v>78553.36</v>
      </c>
      <c r="G294" s="3">
        <f>Data!X294</f>
        <v>0</v>
      </c>
      <c r="H294" s="3">
        <f>Data!K294+Data!R294</f>
        <v>60835.63</v>
      </c>
      <c r="I294" s="3">
        <f>Data!I294+Data!L294+Data!M294+Data!N294+Data!O294+Data!S294</f>
        <v>0</v>
      </c>
      <c r="J294" s="3">
        <f>Data!Q294</f>
        <v>0</v>
      </c>
      <c r="K294" s="3">
        <f>Data!J294+Data!P294</f>
        <v>-4090.87</v>
      </c>
      <c r="L294" s="3">
        <f>Data!T294</f>
        <v>0</v>
      </c>
      <c r="M294" s="3">
        <f>ROUND(Data!AD294*$B$3,2)</f>
        <v>53672.53</v>
      </c>
      <c r="N294" s="3">
        <f>Data!U294</f>
        <v>0</v>
      </c>
      <c r="O294" s="3">
        <f t="shared" si="13"/>
        <v>638629.73</v>
      </c>
      <c r="P294" s="3">
        <f t="shared" si="14"/>
        <v>584957.19999999995</v>
      </c>
      <c r="Q294" s="3">
        <f t="shared" si="15"/>
        <v>53672.53</v>
      </c>
    </row>
    <row r="295" spans="1:17" x14ac:dyDescent="0.2">
      <c r="A295" s="18">
        <v>2171</v>
      </c>
      <c r="B295" s="18">
        <v>1</v>
      </c>
      <c r="C295" s="3" t="s">
        <v>292</v>
      </c>
      <c r="D295" s="3">
        <f>ROUND(Data!AC295*$B$3,2)</f>
        <v>77637.58</v>
      </c>
      <c r="E295" s="3">
        <f>MAX(0,Data!AF295-Data!Y295)</f>
        <v>0</v>
      </c>
      <c r="F295" s="3">
        <f>Data!Y295</f>
        <v>312434.59999999998</v>
      </c>
      <c r="G295" s="3">
        <f>Data!X295</f>
        <v>0</v>
      </c>
      <c r="H295" s="3">
        <f>Data!K295+Data!R295</f>
        <v>10000</v>
      </c>
      <c r="I295" s="3">
        <f>Data!I295+Data!L295+Data!M295+Data!N295+Data!O295+Data!S295</f>
        <v>0</v>
      </c>
      <c r="J295" s="3">
        <f>Data!Q295</f>
        <v>0</v>
      </c>
      <c r="K295" s="3">
        <f>Data!J295+Data!P295</f>
        <v>-350</v>
      </c>
      <c r="L295" s="3">
        <f>Data!T295</f>
        <v>0</v>
      </c>
      <c r="M295" s="3">
        <f>ROUND(Data!AD295*$B$3,2)</f>
        <v>15428.13</v>
      </c>
      <c r="N295" s="3">
        <f>Data!U295</f>
        <v>0</v>
      </c>
      <c r="O295" s="3">
        <f t="shared" si="13"/>
        <v>415150.31</v>
      </c>
      <c r="P295" s="3">
        <f t="shared" si="14"/>
        <v>399722.18</v>
      </c>
      <c r="Q295" s="3">
        <f t="shared" si="15"/>
        <v>15428.13</v>
      </c>
    </row>
    <row r="296" spans="1:17" x14ac:dyDescent="0.2">
      <c r="A296" s="18">
        <v>2172</v>
      </c>
      <c r="B296" s="18">
        <v>1</v>
      </c>
      <c r="C296" s="3" t="s">
        <v>293</v>
      </c>
      <c r="D296" s="3">
        <f>ROUND(Data!AC296*$B$3,2)</f>
        <v>189153.21</v>
      </c>
      <c r="E296" s="3">
        <f>MAX(0,Data!AF296-Data!Y296)</f>
        <v>208483.22999999998</v>
      </c>
      <c r="F296" s="3">
        <f>Data!Y296</f>
        <v>71959.179999999993</v>
      </c>
      <c r="G296" s="3">
        <f>Data!X296</f>
        <v>0</v>
      </c>
      <c r="H296" s="3">
        <f>Data!K296+Data!R296</f>
        <v>17175.72</v>
      </c>
      <c r="I296" s="3">
        <f>Data!I296+Data!L296+Data!M296+Data!N296+Data!O296+Data!S296</f>
        <v>20804</v>
      </c>
      <c r="J296" s="3">
        <f>Data!Q296</f>
        <v>0</v>
      </c>
      <c r="K296" s="3">
        <f>Data!J296+Data!P296</f>
        <v>24632.15</v>
      </c>
      <c r="L296" s="3">
        <f>Data!T296</f>
        <v>0</v>
      </c>
      <c r="M296" s="3">
        <f>ROUND(Data!AD296*$B$3,2)</f>
        <v>55661.09</v>
      </c>
      <c r="N296" s="3">
        <f>Data!U296</f>
        <v>0</v>
      </c>
      <c r="O296" s="3">
        <f t="shared" si="13"/>
        <v>587868.57999999996</v>
      </c>
      <c r="P296" s="3">
        <f t="shared" si="14"/>
        <v>532207.49</v>
      </c>
      <c r="Q296" s="3">
        <f t="shared" si="15"/>
        <v>55661.09</v>
      </c>
    </row>
    <row r="297" spans="1:17" x14ac:dyDescent="0.2">
      <c r="A297" s="18">
        <v>2174</v>
      </c>
      <c r="B297" s="18">
        <v>1</v>
      </c>
      <c r="C297" s="3" t="s">
        <v>294</v>
      </c>
      <c r="D297" s="3">
        <f>ROUND(Data!AC297*$B$3,2)</f>
        <v>177697.78</v>
      </c>
      <c r="E297" s="3">
        <f>MAX(0,Data!AF297-Data!Y297)</f>
        <v>560.97</v>
      </c>
      <c r="F297" s="3">
        <f>Data!Y297</f>
        <v>0</v>
      </c>
      <c r="G297" s="3">
        <f>Data!X297</f>
        <v>0</v>
      </c>
      <c r="H297" s="3">
        <f>Data!K297+Data!R297</f>
        <v>8270.0899999999983</v>
      </c>
      <c r="I297" s="3">
        <f>Data!I297+Data!L297+Data!M297+Data!N297+Data!O297+Data!S297</f>
        <v>0</v>
      </c>
      <c r="J297" s="3">
        <f>Data!Q297</f>
        <v>0</v>
      </c>
      <c r="K297" s="3">
        <f>Data!J297+Data!P297</f>
        <v>14848.220000000001</v>
      </c>
      <c r="L297" s="3">
        <f>Data!T297</f>
        <v>0</v>
      </c>
      <c r="M297" s="3">
        <f>ROUND(Data!AD297*$B$3,2)</f>
        <v>53058.559999999998</v>
      </c>
      <c r="N297" s="3">
        <f>Data!U297</f>
        <v>0</v>
      </c>
      <c r="O297" s="3">
        <f t="shared" si="13"/>
        <v>254435.62</v>
      </c>
      <c r="P297" s="3">
        <f t="shared" si="14"/>
        <v>201377.06</v>
      </c>
      <c r="Q297" s="3">
        <f t="shared" si="15"/>
        <v>53058.559999999998</v>
      </c>
    </row>
    <row r="298" spans="1:17" x14ac:dyDescent="0.2">
      <c r="A298" s="18">
        <v>2176</v>
      </c>
      <c r="B298" s="18">
        <v>1</v>
      </c>
      <c r="C298" s="3" t="s">
        <v>295</v>
      </c>
      <c r="D298" s="3">
        <f>ROUND(Data!AC298*$B$3,2)</f>
        <v>109655.18</v>
      </c>
      <c r="E298" s="3">
        <f>MAX(0,Data!AF298-Data!Y298)</f>
        <v>21324.859999999986</v>
      </c>
      <c r="F298" s="3">
        <f>Data!Y298</f>
        <v>228879.6</v>
      </c>
      <c r="G298" s="3">
        <f>Data!X298</f>
        <v>0</v>
      </c>
      <c r="H298" s="3">
        <f>Data!K298+Data!R298</f>
        <v>10000</v>
      </c>
      <c r="I298" s="3">
        <f>Data!I298+Data!L298+Data!M298+Data!N298+Data!O298+Data!S298</f>
        <v>0</v>
      </c>
      <c r="J298" s="3">
        <f>Data!Q298</f>
        <v>-1711.76</v>
      </c>
      <c r="K298" s="3">
        <f>Data!J298+Data!P298</f>
        <v>28367.82</v>
      </c>
      <c r="L298" s="3">
        <f>Data!T298</f>
        <v>0</v>
      </c>
      <c r="M298" s="3">
        <f>ROUND(Data!AD298*$B$3,2)</f>
        <v>25942.68</v>
      </c>
      <c r="N298" s="3">
        <f>Data!U298</f>
        <v>0</v>
      </c>
      <c r="O298" s="3">
        <f t="shared" si="13"/>
        <v>422458.38</v>
      </c>
      <c r="P298" s="3">
        <f t="shared" si="14"/>
        <v>396515.7</v>
      </c>
      <c r="Q298" s="3">
        <f t="shared" si="15"/>
        <v>25942.68</v>
      </c>
    </row>
    <row r="299" spans="1:17" x14ac:dyDescent="0.2">
      <c r="A299" s="18">
        <v>2180</v>
      </c>
      <c r="B299" s="18">
        <v>1</v>
      </c>
      <c r="C299" s="3" t="s">
        <v>296</v>
      </c>
      <c r="D299" s="3">
        <f>ROUND(Data!AC299*$B$3,2)</f>
        <v>186251.49</v>
      </c>
      <c r="E299" s="3">
        <f>MAX(0,Data!AF299-Data!Y299)</f>
        <v>305243.71000000002</v>
      </c>
      <c r="F299" s="3">
        <f>Data!Y299</f>
        <v>173617.36</v>
      </c>
      <c r="G299" s="3">
        <f>Data!X299</f>
        <v>0</v>
      </c>
      <c r="H299" s="3">
        <f>Data!K299+Data!R299</f>
        <v>10000</v>
      </c>
      <c r="I299" s="3">
        <f>Data!I299+Data!L299+Data!M299+Data!N299+Data!O299+Data!S299</f>
        <v>0</v>
      </c>
      <c r="J299" s="3">
        <f>Data!Q299</f>
        <v>0</v>
      </c>
      <c r="K299" s="3">
        <f>Data!J299+Data!P299</f>
        <v>2000</v>
      </c>
      <c r="L299" s="3">
        <f>Data!T299</f>
        <v>0</v>
      </c>
      <c r="M299" s="3">
        <f>ROUND(Data!AD299*$B$3,2)</f>
        <v>30751.51</v>
      </c>
      <c r="N299" s="3">
        <f>Data!U299</f>
        <v>0</v>
      </c>
      <c r="O299" s="3">
        <f t="shared" si="13"/>
        <v>707864.07000000007</v>
      </c>
      <c r="P299" s="3">
        <f t="shared" si="14"/>
        <v>677112.56</v>
      </c>
      <c r="Q299" s="3">
        <f t="shared" si="15"/>
        <v>30751.51</v>
      </c>
    </row>
    <row r="300" spans="1:17" x14ac:dyDescent="0.2">
      <c r="A300" s="18">
        <v>2184</v>
      </c>
      <c r="B300" s="18">
        <v>1</v>
      </c>
      <c r="C300" s="3" t="s">
        <v>297</v>
      </c>
      <c r="D300" s="3">
        <f>ROUND(Data!AC300*$B$3,2)</f>
        <v>233670.87</v>
      </c>
      <c r="E300" s="3">
        <f>MAX(0,Data!AF300-Data!Y300)</f>
        <v>394888.53</v>
      </c>
      <c r="F300" s="3">
        <f>Data!Y300</f>
        <v>45058.55</v>
      </c>
      <c r="G300" s="3">
        <f>Data!X300</f>
        <v>2150.0300000000002</v>
      </c>
      <c r="H300" s="3">
        <f>Data!K300+Data!R300</f>
        <v>22699.64</v>
      </c>
      <c r="I300" s="3">
        <f>Data!I300+Data!L300+Data!M300+Data!N300+Data!O300+Data!S300</f>
        <v>0</v>
      </c>
      <c r="J300" s="3">
        <f>Data!Q300</f>
        <v>0</v>
      </c>
      <c r="K300" s="3">
        <f>Data!J300+Data!P300</f>
        <v>3281.66</v>
      </c>
      <c r="L300" s="3">
        <f>Data!T300</f>
        <v>0</v>
      </c>
      <c r="M300" s="3">
        <f>ROUND(Data!AD300*$B$3,2)</f>
        <v>40475.49</v>
      </c>
      <c r="N300" s="3">
        <f>Data!U300</f>
        <v>0</v>
      </c>
      <c r="O300" s="3">
        <f t="shared" si="13"/>
        <v>742224.77000000014</v>
      </c>
      <c r="P300" s="3">
        <f t="shared" si="14"/>
        <v>701749.28000000014</v>
      </c>
      <c r="Q300" s="3">
        <f t="shared" si="15"/>
        <v>40475.49</v>
      </c>
    </row>
    <row r="301" spans="1:17" x14ac:dyDescent="0.2">
      <c r="A301" s="18">
        <v>2190</v>
      </c>
      <c r="B301" s="18">
        <v>1</v>
      </c>
      <c r="C301" s="3" t="s">
        <v>298</v>
      </c>
      <c r="D301" s="3">
        <f>ROUND(Data!AC301*$B$3,2)</f>
        <v>86898.27</v>
      </c>
      <c r="E301" s="3">
        <f>MAX(0,Data!AF301-Data!Y301)</f>
        <v>260242.25</v>
      </c>
      <c r="F301" s="3">
        <f>Data!Y301</f>
        <v>106127.39</v>
      </c>
      <c r="G301" s="3">
        <f>Data!X301</f>
        <v>3393.38</v>
      </c>
      <c r="H301" s="3">
        <f>Data!K301+Data!R301</f>
        <v>26905.61</v>
      </c>
      <c r="I301" s="3">
        <f>Data!I301+Data!L301+Data!M301+Data!N301+Data!O301+Data!S301</f>
        <v>0</v>
      </c>
      <c r="J301" s="3">
        <f>Data!Q301</f>
        <v>0</v>
      </c>
      <c r="K301" s="3">
        <f>Data!J301+Data!P301</f>
        <v>70775.98</v>
      </c>
      <c r="L301" s="3">
        <f>Data!T301</f>
        <v>0</v>
      </c>
      <c r="M301" s="3">
        <f>ROUND(Data!AD301*$B$3,2)</f>
        <v>81976.539999999994</v>
      </c>
      <c r="N301" s="3">
        <f>Data!U301</f>
        <v>0</v>
      </c>
      <c r="O301" s="3">
        <f t="shared" si="13"/>
        <v>636319.42000000004</v>
      </c>
      <c r="P301" s="3">
        <f t="shared" si="14"/>
        <v>554342.88</v>
      </c>
      <c r="Q301" s="3">
        <f t="shared" si="15"/>
        <v>81976.539999999994</v>
      </c>
    </row>
    <row r="302" spans="1:17" x14ac:dyDescent="0.2">
      <c r="A302" s="18">
        <v>2198</v>
      </c>
      <c r="B302" s="18">
        <v>1</v>
      </c>
      <c r="C302" s="3" t="s">
        <v>299</v>
      </c>
      <c r="D302" s="3">
        <f>ROUND(Data!AC302*$B$3,2)</f>
        <v>122647.6</v>
      </c>
      <c r="E302" s="3">
        <f>MAX(0,Data!AF302-Data!Y302)</f>
        <v>225345.31</v>
      </c>
      <c r="F302" s="3">
        <f>Data!Y302</f>
        <v>54051.81</v>
      </c>
      <c r="G302" s="3">
        <f>Data!X302</f>
        <v>0</v>
      </c>
      <c r="H302" s="3">
        <f>Data!K302+Data!R302</f>
        <v>17595.189999999999</v>
      </c>
      <c r="I302" s="3">
        <f>Data!I302+Data!L302+Data!M302+Data!N302+Data!O302+Data!S302</f>
        <v>0</v>
      </c>
      <c r="J302" s="3">
        <f>Data!Q302</f>
        <v>0</v>
      </c>
      <c r="K302" s="3">
        <f>Data!J302+Data!P302</f>
        <v>-8972.86</v>
      </c>
      <c r="L302" s="3">
        <f>Data!T302</f>
        <v>0</v>
      </c>
      <c r="M302" s="3">
        <f>ROUND(Data!AD302*$B$3,2)</f>
        <v>35233.949999999997</v>
      </c>
      <c r="N302" s="3">
        <f>Data!U302</f>
        <v>0</v>
      </c>
      <c r="O302" s="3">
        <f t="shared" si="13"/>
        <v>445901.00000000006</v>
      </c>
      <c r="P302" s="3">
        <f t="shared" si="14"/>
        <v>410667.05000000005</v>
      </c>
      <c r="Q302" s="3">
        <f t="shared" si="15"/>
        <v>35233.949999999997</v>
      </c>
    </row>
    <row r="303" spans="1:17" x14ac:dyDescent="0.2">
      <c r="A303" s="18">
        <v>2215</v>
      </c>
      <c r="B303" s="18">
        <v>1</v>
      </c>
      <c r="C303" s="3" t="s">
        <v>300</v>
      </c>
      <c r="D303" s="3">
        <f>ROUND(Data!AC303*$B$3,2)</f>
        <v>43785.08</v>
      </c>
      <c r="E303" s="3">
        <f>MAX(0,Data!AF303-Data!Y303)</f>
        <v>119962.65</v>
      </c>
      <c r="F303" s="3">
        <f>Data!Y303</f>
        <v>26598.22</v>
      </c>
      <c r="G303" s="3">
        <f>Data!X303</f>
        <v>0</v>
      </c>
      <c r="H303" s="3">
        <f>Data!K303+Data!R303</f>
        <v>19986.38</v>
      </c>
      <c r="I303" s="3">
        <f>Data!I303+Data!L303+Data!M303+Data!N303+Data!O303+Data!S303</f>
        <v>0</v>
      </c>
      <c r="J303" s="3">
        <f>Data!Q303</f>
        <v>0</v>
      </c>
      <c r="K303" s="3">
        <f>Data!J303+Data!P303</f>
        <v>-4770.1499999999996</v>
      </c>
      <c r="L303" s="3">
        <f>Data!T303</f>
        <v>0</v>
      </c>
      <c r="M303" s="3">
        <f>ROUND(Data!AD303*$B$3,2)</f>
        <v>10544.43</v>
      </c>
      <c r="N303" s="3">
        <f>Data!U303</f>
        <v>0</v>
      </c>
      <c r="O303" s="3">
        <f t="shared" si="13"/>
        <v>216106.61</v>
      </c>
      <c r="P303" s="3">
        <f t="shared" si="14"/>
        <v>205562.18</v>
      </c>
      <c r="Q303" s="3">
        <f t="shared" si="15"/>
        <v>10544.43</v>
      </c>
    </row>
    <row r="304" spans="1:17" x14ac:dyDescent="0.2">
      <c r="A304" s="18">
        <v>2310</v>
      </c>
      <c r="B304" s="18">
        <v>1</v>
      </c>
      <c r="C304" s="3" t="s">
        <v>301</v>
      </c>
      <c r="D304" s="3">
        <f>ROUND(Data!AC304*$B$3,2)</f>
        <v>314001.28000000003</v>
      </c>
      <c r="E304" s="3">
        <f>MAX(0,Data!AF304-Data!Y304)</f>
        <v>191156.91</v>
      </c>
      <c r="F304" s="3">
        <f>Data!Y304</f>
        <v>69650.559999999998</v>
      </c>
      <c r="G304" s="3">
        <f>Data!X304</f>
        <v>0</v>
      </c>
      <c r="H304" s="3">
        <f>Data!K304+Data!R304</f>
        <v>25184.080000000002</v>
      </c>
      <c r="I304" s="3">
        <f>Data!I304+Data!L304+Data!M304+Data!N304+Data!O304+Data!S304</f>
        <v>0</v>
      </c>
      <c r="J304" s="3">
        <f>Data!Q304</f>
        <v>-13838.67</v>
      </c>
      <c r="K304" s="3">
        <f>Data!J304+Data!P304</f>
        <v>13838.67</v>
      </c>
      <c r="L304" s="3">
        <f>Data!T304</f>
        <v>0</v>
      </c>
      <c r="M304" s="3">
        <f>ROUND(Data!AD304*$B$3,2)</f>
        <v>46812.7</v>
      </c>
      <c r="N304" s="3">
        <f>Data!U304</f>
        <v>0</v>
      </c>
      <c r="O304" s="3">
        <f t="shared" si="13"/>
        <v>646805.52999999991</v>
      </c>
      <c r="P304" s="3">
        <f t="shared" si="14"/>
        <v>599992.82999999996</v>
      </c>
      <c r="Q304" s="3">
        <f t="shared" si="15"/>
        <v>46812.7</v>
      </c>
    </row>
    <row r="305" spans="1:17" x14ac:dyDescent="0.2">
      <c r="A305" s="18">
        <v>2311</v>
      </c>
      <c r="B305" s="18">
        <v>1</v>
      </c>
      <c r="C305" s="3" t="s">
        <v>302</v>
      </c>
      <c r="D305" s="3">
        <f>ROUND(Data!AC305*$B$3,2)</f>
        <v>41955.56</v>
      </c>
      <c r="E305" s="3">
        <f>MAX(0,Data!AF305-Data!Y305)</f>
        <v>75689.070000000007</v>
      </c>
      <c r="F305" s="3">
        <f>Data!Y305</f>
        <v>57346.63</v>
      </c>
      <c r="G305" s="3">
        <f>Data!X305</f>
        <v>8613.4699999999993</v>
      </c>
      <c r="H305" s="3">
        <f>Data!K305+Data!R305</f>
        <v>10000</v>
      </c>
      <c r="I305" s="3">
        <f>Data!I305+Data!L305+Data!M305+Data!N305+Data!O305+Data!S305</f>
        <v>0</v>
      </c>
      <c r="J305" s="3">
        <f>Data!Q305</f>
        <v>0</v>
      </c>
      <c r="K305" s="3">
        <f>Data!J305+Data!P305</f>
        <v>6592.21</v>
      </c>
      <c r="L305" s="3">
        <f>Data!T305</f>
        <v>0</v>
      </c>
      <c r="M305" s="3">
        <f>ROUND(Data!AD305*$B$3,2)</f>
        <v>19735</v>
      </c>
      <c r="N305" s="3">
        <f>Data!U305</f>
        <v>0</v>
      </c>
      <c r="O305" s="3">
        <f t="shared" si="13"/>
        <v>219931.94</v>
      </c>
      <c r="P305" s="3">
        <f t="shared" si="14"/>
        <v>200196.94</v>
      </c>
      <c r="Q305" s="3">
        <f t="shared" si="15"/>
        <v>19735</v>
      </c>
    </row>
    <row r="306" spans="1:17" x14ac:dyDescent="0.2">
      <c r="A306" s="18">
        <v>2342</v>
      </c>
      <c r="B306" s="18">
        <v>1</v>
      </c>
      <c r="C306" s="3" t="s">
        <v>303</v>
      </c>
      <c r="D306" s="3">
        <f>ROUND(Data!AC306*$B$3,2)</f>
        <v>232476.1</v>
      </c>
      <c r="E306" s="3">
        <f>MAX(0,Data!AF306-Data!Y306)</f>
        <v>347567.31000000006</v>
      </c>
      <c r="F306" s="3">
        <f>Data!Y306</f>
        <v>76124.09</v>
      </c>
      <c r="G306" s="3">
        <f>Data!X306</f>
        <v>0</v>
      </c>
      <c r="H306" s="3">
        <f>Data!K306+Data!R306</f>
        <v>19813.490000000002</v>
      </c>
      <c r="I306" s="3">
        <f>Data!I306+Data!L306+Data!M306+Data!N306+Data!O306+Data!S306</f>
        <v>0</v>
      </c>
      <c r="J306" s="3">
        <f>Data!Q306</f>
        <v>0</v>
      </c>
      <c r="K306" s="3">
        <f>Data!J306+Data!P306</f>
        <v>2589.63</v>
      </c>
      <c r="L306" s="3">
        <f>Data!T306</f>
        <v>0</v>
      </c>
      <c r="M306" s="3">
        <f>ROUND(Data!AD306*$B$3,2)</f>
        <v>37199.410000000003</v>
      </c>
      <c r="N306" s="3">
        <f>Data!U306</f>
        <v>0</v>
      </c>
      <c r="O306" s="3">
        <f t="shared" si="13"/>
        <v>715770.03</v>
      </c>
      <c r="P306" s="3">
        <f t="shared" si="14"/>
        <v>678570.62</v>
      </c>
      <c r="Q306" s="3">
        <f t="shared" si="15"/>
        <v>37199.410000000003</v>
      </c>
    </row>
    <row r="307" spans="1:17" x14ac:dyDescent="0.2">
      <c r="A307" s="18">
        <v>2358</v>
      </c>
      <c r="B307" s="18">
        <v>1</v>
      </c>
      <c r="C307" s="3" t="s">
        <v>304</v>
      </c>
      <c r="D307" s="3">
        <f>ROUND(Data!AC307*$B$3,2)</f>
        <v>52346.65</v>
      </c>
      <c r="E307" s="3">
        <f>MAX(0,Data!AF307-Data!Y307)</f>
        <v>16007.61</v>
      </c>
      <c r="F307" s="3">
        <f>Data!Y307</f>
        <v>36123.39</v>
      </c>
      <c r="G307" s="3">
        <f>Data!X307</f>
        <v>2260.84</v>
      </c>
      <c r="H307" s="3">
        <f>Data!K307+Data!R307</f>
        <v>9570.41</v>
      </c>
      <c r="I307" s="3">
        <f>Data!I307+Data!L307+Data!M307+Data!N307+Data!O307+Data!S307</f>
        <v>0</v>
      </c>
      <c r="J307" s="3">
        <f>Data!Q307</f>
        <v>-1500</v>
      </c>
      <c r="K307" s="3">
        <f>Data!J307+Data!P307</f>
        <v>1500</v>
      </c>
      <c r="L307" s="3">
        <f>Data!T307</f>
        <v>0</v>
      </c>
      <c r="M307" s="3">
        <f>ROUND(Data!AD307*$B$3,2)</f>
        <v>9610.7000000000007</v>
      </c>
      <c r="N307" s="3">
        <f>Data!U307</f>
        <v>0</v>
      </c>
      <c r="O307" s="3">
        <f t="shared" si="13"/>
        <v>125919.6</v>
      </c>
      <c r="P307" s="3">
        <f t="shared" si="14"/>
        <v>116308.90000000001</v>
      </c>
      <c r="Q307" s="3">
        <f t="shared" si="15"/>
        <v>9610.7000000000007</v>
      </c>
    </row>
    <row r="308" spans="1:17" x14ac:dyDescent="0.2">
      <c r="A308" s="18">
        <v>2364</v>
      </c>
      <c r="B308" s="18">
        <v>1</v>
      </c>
      <c r="C308" s="3" t="s">
        <v>305</v>
      </c>
      <c r="D308" s="3">
        <f>ROUND(Data!AC308*$B$3,2)</f>
        <v>85161.23</v>
      </c>
      <c r="E308" s="3">
        <f>MAX(0,Data!AF308-Data!Y308)</f>
        <v>171892.58</v>
      </c>
      <c r="F308" s="3">
        <f>Data!Y308</f>
        <v>33392.53</v>
      </c>
      <c r="G308" s="3">
        <f>Data!X308</f>
        <v>11.77</v>
      </c>
      <c r="H308" s="3">
        <f>Data!K308+Data!R308</f>
        <v>21843.8</v>
      </c>
      <c r="I308" s="3">
        <f>Data!I308+Data!L308+Data!M308+Data!N308+Data!O308+Data!S308</f>
        <v>0</v>
      </c>
      <c r="J308" s="3">
        <f>Data!Q308</f>
        <v>0</v>
      </c>
      <c r="K308" s="3">
        <f>Data!J308+Data!P308</f>
        <v>-1177.4700000000003</v>
      </c>
      <c r="L308" s="3">
        <f>Data!T308</f>
        <v>0</v>
      </c>
      <c r="M308" s="3">
        <f>ROUND(Data!AD308*$B$3,2)</f>
        <v>28346.65</v>
      </c>
      <c r="N308" s="3">
        <f>Data!U308</f>
        <v>0</v>
      </c>
      <c r="O308" s="3">
        <f t="shared" si="13"/>
        <v>339471.09</v>
      </c>
      <c r="P308" s="3">
        <f t="shared" si="14"/>
        <v>311124.44</v>
      </c>
      <c r="Q308" s="3">
        <f t="shared" si="15"/>
        <v>28346.65</v>
      </c>
    </row>
    <row r="309" spans="1:17" x14ac:dyDescent="0.2">
      <c r="A309" s="18">
        <v>2365</v>
      </c>
      <c r="B309" s="18">
        <v>1</v>
      </c>
      <c r="C309" s="3" t="s">
        <v>306</v>
      </c>
      <c r="D309" s="3">
        <f>ROUND(Data!AC309*$B$3,2)</f>
        <v>287537.88</v>
      </c>
      <c r="E309" s="3">
        <f>MAX(0,Data!AF309-Data!Y309)</f>
        <v>1477.5</v>
      </c>
      <c r="F309" s="3">
        <f>Data!Y309</f>
        <v>150758.15</v>
      </c>
      <c r="G309" s="3">
        <f>Data!X309</f>
        <v>1584.22</v>
      </c>
      <c r="H309" s="3">
        <f>Data!K309+Data!R309</f>
        <v>21774.080000000002</v>
      </c>
      <c r="I309" s="3">
        <f>Data!I309+Data!L309+Data!M309+Data!N309+Data!O309+Data!S309</f>
        <v>0</v>
      </c>
      <c r="J309" s="3">
        <f>Data!Q309</f>
        <v>0</v>
      </c>
      <c r="K309" s="3">
        <f>Data!J309+Data!P309</f>
        <v>9888.9500000000007</v>
      </c>
      <c r="L309" s="3">
        <f>Data!T309</f>
        <v>0</v>
      </c>
      <c r="M309" s="3">
        <f>ROUND(Data!AD309*$B$3,2)</f>
        <v>49365.43</v>
      </c>
      <c r="N309" s="3">
        <f>Data!U309</f>
        <v>0</v>
      </c>
      <c r="O309" s="3">
        <f t="shared" si="13"/>
        <v>522386.21</v>
      </c>
      <c r="P309" s="3">
        <f t="shared" si="14"/>
        <v>473020.78</v>
      </c>
      <c r="Q309" s="3">
        <f t="shared" si="15"/>
        <v>49365.43</v>
      </c>
    </row>
    <row r="310" spans="1:17" x14ac:dyDescent="0.2">
      <c r="A310" s="18">
        <v>2396</v>
      </c>
      <c r="B310" s="18">
        <v>1</v>
      </c>
      <c r="C310" s="3" t="s">
        <v>307</v>
      </c>
      <c r="D310" s="3">
        <f>ROUND(Data!AC310*$B$3,2)</f>
        <v>260784.5</v>
      </c>
      <c r="E310" s="3">
        <f>MAX(0,Data!AF310-Data!Y310)</f>
        <v>320608.13</v>
      </c>
      <c r="F310" s="3">
        <f>Data!Y310</f>
        <v>102338.72</v>
      </c>
      <c r="G310" s="3">
        <f>Data!X310</f>
        <v>6520.58</v>
      </c>
      <c r="H310" s="3">
        <f>Data!K310+Data!R310</f>
        <v>15637.5</v>
      </c>
      <c r="I310" s="3">
        <f>Data!I310+Data!L310+Data!M310+Data!N310+Data!O310+Data!S310</f>
        <v>0</v>
      </c>
      <c r="J310" s="3">
        <f>Data!Q310</f>
        <v>0</v>
      </c>
      <c r="K310" s="3">
        <f>Data!J310+Data!P310</f>
        <v>2835.3</v>
      </c>
      <c r="L310" s="3">
        <f>Data!T310</f>
        <v>0</v>
      </c>
      <c r="M310" s="3">
        <f>ROUND(Data!AD310*$B$3,2)</f>
        <v>67205.05</v>
      </c>
      <c r="N310" s="3">
        <f>Data!U310</f>
        <v>0</v>
      </c>
      <c r="O310" s="3">
        <f t="shared" si="13"/>
        <v>775929.78</v>
      </c>
      <c r="P310" s="3">
        <f t="shared" si="14"/>
        <v>708724.73</v>
      </c>
      <c r="Q310" s="3">
        <f t="shared" si="15"/>
        <v>67205.05</v>
      </c>
    </row>
    <row r="311" spans="1:17" x14ac:dyDescent="0.2">
      <c r="A311" s="18">
        <v>2397</v>
      </c>
      <c r="B311" s="18">
        <v>1</v>
      </c>
      <c r="C311" s="3" t="s">
        <v>308</v>
      </c>
      <c r="D311" s="3">
        <f>ROUND(Data!AC311*$B$3,2)</f>
        <v>329312</v>
      </c>
      <c r="E311" s="3">
        <f>MAX(0,Data!AF311-Data!Y311)</f>
        <v>84727.23000000001</v>
      </c>
      <c r="F311" s="3">
        <f>Data!Y311</f>
        <v>75648.160000000003</v>
      </c>
      <c r="G311" s="3">
        <f>Data!X311</f>
        <v>0</v>
      </c>
      <c r="H311" s="3">
        <f>Data!K311+Data!R311</f>
        <v>25797.309999999998</v>
      </c>
      <c r="I311" s="3">
        <f>Data!I311+Data!L311+Data!M311+Data!N311+Data!O311+Data!S311</f>
        <v>0</v>
      </c>
      <c r="J311" s="3">
        <f>Data!Q311</f>
        <v>0</v>
      </c>
      <c r="K311" s="3">
        <f>Data!J311+Data!P311</f>
        <v>13543.39</v>
      </c>
      <c r="L311" s="3">
        <f>Data!T311</f>
        <v>0</v>
      </c>
      <c r="M311" s="3">
        <f>ROUND(Data!AD311*$B$3,2)</f>
        <v>47241.55</v>
      </c>
      <c r="N311" s="3">
        <f>Data!U311</f>
        <v>0</v>
      </c>
      <c r="O311" s="3">
        <f t="shared" si="13"/>
        <v>576269.64</v>
      </c>
      <c r="P311" s="3">
        <f t="shared" si="14"/>
        <v>529028.09</v>
      </c>
      <c r="Q311" s="3">
        <f t="shared" si="15"/>
        <v>47241.55</v>
      </c>
    </row>
    <row r="312" spans="1:17" x14ac:dyDescent="0.2">
      <c r="A312" s="18">
        <v>2448</v>
      </c>
      <c r="B312" s="18">
        <v>1</v>
      </c>
      <c r="C312" s="3" t="s">
        <v>309</v>
      </c>
      <c r="D312" s="3">
        <f>ROUND(Data!AC312*$B$3,2)</f>
        <v>238347.38</v>
      </c>
      <c r="E312" s="3">
        <f>MAX(0,Data!AF312-Data!Y312)</f>
        <v>224108.59000000003</v>
      </c>
      <c r="F312" s="3">
        <f>Data!Y312</f>
        <v>221365</v>
      </c>
      <c r="G312" s="3">
        <f>Data!X312</f>
        <v>0</v>
      </c>
      <c r="H312" s="3">
        <f>Data!K312+Data!R312</f>
        <v>23103.23</v>
      </c>
      <c r="I312" s="3">
        <f>Data!I312+Data!L312+Data!M312+Data!N312+Data!O312+Data!S312</f>
        <v>0</v>
      </c>
      <c r="J312" s="3">
        <f>Data!Q312</f>
        <v>0</v>
      </c>
      <c r="K312" s="3">
        <f>Data!J312+Data!P312</f>
        <v>14390.46</v>
      </c>
      <c r="L312" s="3">
        <f>Data!T312</f>
        <v>0</v>
      </c>
      <c r="M312" s="3">
        <f>ROUND(Data!AD312*$B$3,2)</f>
        <v>35504.93</v>
      </c>
      <c r="N312" s="3">
        <f>Data!U312</f>
        <v>0</v>
      </c>
      <c r="O312" s="3">
        <f t="shared" si="13"/>
        <v>756819.59</v>
      </c>
      <c r="P312" s="3">
        <f t="shared" si="14"/>
        <v>721314.65999999992</v>
      </c>
      <c r="Q312" s="3">
        <f t="shared" si="15"/>
        <v>35504.93</v>
      </c>
    </row>
    <row r="313" spans="1:17" x14ac:dyDescent="0.2">
      <c r="A313" s="18">
        <v>2527</v>
      </c>
      <c r="B313" s="18">
        <v>1</v>
      </c>
      <c r="C313" s="3" t="s">
        <v>310</v>
      </c>
      <c r="D313" s="3">
        <f>ROUND(Data!AC313*$B$3,2)</f>
        <v>94121.37</v>
      </c>
      <c r="E313" s="3">
        <f>MAX(0,Data!AF313-Data!Y313)</f>
        <v>57832.249999999993</v>
      </c>
      <c r="F313" s="3">
        <f>Data!Y313</f>
        <v>61388.37</v>
      </c>
      <c r="G313" s="3">
        <f>Data!X313</f>
        <v>0</v>
      </c>
      <c r="H313" s="3">
        <f>Data!K313+Data!R313</f>
        <v>0</v>
      </c>
      <c r="I313" s="3">
        <f>Data!I313+Data!L313+Data!M313+Data!N313+Data!O313+Data!S313</f>
        <v>0</v>
      </c>
      <c r="J313" s="3">
        <f>Data!Q313</f>
        <v>0</v>
      </c>
      <c r="K313" s="3">
        <f>Data!J313+Data!P313</f>
        <v>14576.630000000001</v>
      </c>
      <c r="L313" s="3">
        <f>Data!T313</f>
        <v>0</v>
      </c>
      <c r="M313" s="3">
        <f>ROUND(Data!AD313*$B$3,2)</f>
        <v>9300.2099999999991</v>
      </c>
      <c r="N313" s="3">
        <f>Data!U313</f>
        <v>0</v>
      </c>
      <c r="O313" s="3">
        <f t="shared" si="13"/>
        <v>237218.83</v>
      </c>
      <c r="P313" s="3">
        <f t="shared" si="14"/>
        <v>227918.62</v>
      </c>
      <c r="Q313" s="3">
        <f t="shared" si="15"/>
        <v>9300.2099999999991</v>
      </c>
    </row>
    <row r="314" spans="1:17" x14ac:dyDescent="0.2">
      <c r="A314" s="18">
        <v>2534</v>
      </c>
      <c r="B314" s="18">
        <v>1</v>
      </c>
      <c r="C314" s="3" t="s">
        <v>311</v>
      </c>
      <c r="D314" s="3">
        <f>ROUND(Data!AC314*$B$3,2)</f>
        <v>215990.7</v>
      </c>
      <c r="E314" s="3">
        <f>MAX(0,Data!AF314-Data!Y314)</f>
        <v>86318.07</v>
      </c>
      <c r="F314" s="3">
        <f>Data!Y314</f>
        <v>96802.28</v>
      </c>
      <c r="G314" s="3">
        <f>Data!X314</f>
        <v>0</v>
      </c>
      <c r="H314" s="3">
        <f>Data!K314+Data!R314</f>
        <v>20978.01</v>
      </c>
      <c r="I314" s="3">
        <f>Data!I314+Data!L314+Data!M314+Data!N314+Data!O314+Data!S314</f>
        <v>0</v>
      </c>
      <c r="J314" s="3">
        <f>Data!Q314</f>
        <v>0</v>
      </c>
      <c r="K314" s="3">
        <f>Data!J314+Data!P314</f>
        <v>17574.68</v>
      </c>
      <c r="L314" s="3">
        <f>Data!T314</f>
        <v>0</v>
      </c>
      <c r="M314" s="3">
        <f>ROUND(Data!AD314*$B$3,2)</f>
        <v>33123.769999999997</v>
      </c>
      <c r="N314" s="3">
        <f>Data!U314</f>
        <v>0</v>
      </c>
      <c r="O314" s="3">
        <f t="shared" si="13"/>
        <v>470787.51000000007</v>
      </c>
      <c r="P314" s="3">
        <f t="shared" si="14"/>
        <v>437663.74000000005</v>
      </c>
      <c r="Q314" s="3">
        <f t="shared" si="15"/>
        <v>33123.769999999997</v>
      </c>
    </row>
    <row r="315" spans="1:17" x14ac:dyDescent="0.2">
      <c r="A315" s="18">
        <v>2536</v>
      </c>
      <c r="B315" s="18">
        <v>1</v>
      </c>
      <c r="C315" s="3" t="s">
        <v>312</v>
      </c>
      <c r="D315" s="3">
        <f>ROUND(Data!AC315*$B$3,2)</f>
        <v>79516.259999999995</v>
      </c>
      <c r="E315" s="3">
        <f>MAX(0,Data!AF315-Data!Y315)</f>
        <v>110155.1</v>
      </c>
      <c r="F315" s="3">
        <f>Data!Y315</f>
        <v>112538.9</v>
      </c>
      <c r="G315" s="3">
        <f>Data!X315</f>
        <v>0</v>
      </c>
      <c r="H315" s="3">
        <f>Data!K315+Data!R315</f>
        <v>0</v>
      </c>
      <c r="I315" s="3">
        <f>Data!I315+Data!L315+Data!M315+Data!N315+Data!O315+Data!S315</f>
        <v>0</v>
      </c>
      <c r="J315" s="3">
        <f>Data!Q315</f>
        <v>0</v>
      </c>
      <c r="K315" s="3">
        <f>Data!J315+Data!P315</f>
        <v>5012.3</v>
      </c>
      <c r="L315" s="3">
        <f>Data!T315</f>
        <v>0</v>
      </c>
      <c r="M315" s="3">
        <f>ROUND(Data!AD315*$B$3,2)</f>
        <v>17219.78</v>
      </c>
      <c r="N315" s="3">
        <f>Data!U315</f>
        <v>0</v>
      </c>
      <c r="O315" s="3">
        <f t="shared" si="13"/>
        <v>324442.33999999997</v>
      </c>
      <c r="P315" s="3">
        <f t="shared" si="14"/>
        <v>307222.56</v>
      </c>
      <c r="Q315" s="3">
        <f t="shared" si="15"/>
        <v>17219.78</v>
      </c>
    </row>
    <row r="316" spans="1:17" x14ac:dyDescent="0.2">
      <c r="A316" s="18">
        <v>2580</v>
      </c>
      <c r="B316" s="18">
        <v>1</v>
      </c>
      <c r="C316" s="3" t="s">
        <v>313</v>
      </c>
      <c r="D316" s="3">
        <f>ROUND(Data!AC316*$B$3,2)</f>
        <v>139324.63</v>
      </c>
      <c r="E316" s="3">
        <f>MAX(0,Data!AF316-Data!Y316)</f>
        <v>0</v>
      </c>
      <c r="F316" s="3">
        <f>Data!Y316</f>
        <v>47527.08</v>
      </c>
      <c r="G316" s="3">
        <f>Data!X316</f>
        <v>0</v>
      </c>
      <c r="H316" s="3">
        <f>Data!K316+Data!R316</f>
        <v>17303.11</v>
      </c>
      <c r="I316" s="3">
        <f>Data!I316+Data!L316+Data!M316+Data!N316+Data!O316+Data!S316</f>
        <v>0</v>
      </c>
      <c r="J316" s="3">
        <f>Data!Q316</f>
        <v>0</v>
      </c>
      <c r="K316" s="3">
        <f>Data!J316+Data!P316</f>
        <v>25219.29</v>
      </c>
      <c r="L316" s="3">
        <f>Data!T316</f>
        <v>0</v>
      </c>
      <c r="M316" s="3">
        <f>ROUND(Data!AD316*$B$3,2)</f>
        <v>39868.35</v>
      </c>
      <c r="N316" s="3">
        <f>Data!U316</f>
        <v>0</v>
      </c>
      <c r="O316" s="3">
        <f t="shared" si="13"/>
        <v>269242.46000000002</v>
      </c>
      <c r="P316" s="3">
        <f t="shared" si="14"/>
        <v>229374.11000000002</v>
      </c>
      <c r="Q316" s="3">
        <f t="shared" si="15"/>
        <v>39868.35</v>
      </c>
    </row>
    <row r="317" spans="1:17" x14ac:dyDescent="0.2">
      <c r="A317" s="18">
        <v>2609</v>
      </c>
      <c r="B317" s="18">
        <v>1</v>
      </c>
      <c r="C317" s="3" t="s">
        <v>314</v>
      </c>
      <c r="D317" s="3">
        <f>ROUND(Data!AC317*$B$3,2)</f>
        <v>100748.61</v>
      </c>
      <c r="E317" s="3">
        <f>MAX(0,Data!AF317-Data!Y317)</f>
        <v>112936.73000000001</v>
      </c>
      <c r="F317" s="3">
        <f>Data!Y317</f>
        <v>16182.82</v>
      </c>
      <c r="G317" s="3">
        <f>Data!X317</f>
        <v>2194.98</v>
      </c>
      <c r="H317" s="3">
        <f>Data!K317+Data!R317</f>
        <v>10705.6</v>
      </c>
      <c r="I317" s="3">
        <f>Data!I317+Data!L317+Data!M317+Data!N317+Data!O317+Data!S317</f>
        <v>0</v>
      </c>
      <c r="J317" s="3">
        <f>Data!Q317</f>
        <v>0</v>
      </c>
      <c r="K317" s="3">
        <f>Data!J317+Data!P317</f>
        <v>1060.8700000000008</v>
      </c>
      <c r="L317" s="3">
        <f>Data!T317</f>
        <v>0</v>
      </c>
      <c r="M317" s="3">
        <f>ROUND(Data!AD317*$B$3,2)</f>
        <v>962.8</v>
      </c>
      <c r="N317" s="3">
        <f>Data!U317</f>
        <v>0</v>
      </c>
      <c r="O317" s="3">
        <f t="shared" si="13"/>
        <v>244792.41000000003</v>
      </c>
      <c r="P317" s="3">
        <f t="shared" si="14"/>
        <v>243829.61000000004</v>
      </c>
      <c r="Q317" s="3">
        <f t="shared" si="15"/>
        <v>962.8</v>
      </c>
    </row>
    <row r="318" spans="1:17" x14ac:dyDescent="0.2">
      <c r="A318" s="18">
        <v>2683</v>
      </c>
      <c r="B318" s="18">
        <v>1</v>
      </c>
      <c r="C318" s="3" t="s">
        <v>315</v>
      </c>
      <c r="D318" s="3">
        <f>ROUND(Data!AC318*$B$3,2)</f>
        <v>77034.850000000006</v>
      </c>
      <c r="E318" s="3">
        <f>MAX(0,Data!AF318-Data!Y318)</f>
        <v>0</v>
      </c>
      <c r="F318" s="3">
        <f>Data!Y318</f>
        <v>57512.51</v>
      </c>
      <c r="G318" s="3">
        <f>Data!X318</f>
        <v>0</v>
      </c>
      <c r="H318" s="3">
        <f>Data!K318+Data!R318</f>
        <v>10000</v>
      </c>
      <c r="I318" s="3">
        <f>Data!I318+Data!L318+Data!M318+Data!N318+Data!O318+Data!S318</f>
        <v>0</v>
      </c>
      <c r="J318" s="3">
        <f>Data!Q318</f>
        <v>0</v>
      </c>
      <c r="K318" s="3">
        <f>Data!J318+Data!P318</f>
        <v>1742.08</v>
      </c>
      <c r="L318" s="3">
        <f>Data!T318</f>
        <v>0</v>
      </c>
      <c r="M318" s="3">
        <f>ROUND(Data!AD318*$B$3,2)</f>
        <v>12315.24</v>
      </c>
      <c r="N318" s="3">
        <f>Data!U318</f>
        <v>0</v>
      </c>
      <c r="O318" s="3">
        <f t="shared" si="13"/>
        <v>158604.68</v>
      </c>
      <c r="P318" s="3">
        <f t="shared" si="14"/>
        <v>146289.44</v>
      </c>
      <c r="Q318" s="3">
        <f t="shared" si="15"/>
        <v>12315.24</v>
      </c>
    </row>
    <row r="319" spans="1:17" x14ac:dyDescent="0.2">
      <c r="A319" s="18">
        <v>2687</v>
      </c>
      <c r="B319" s="18">
        <v>1</v>
      </c>
      <c r="C319" s="3" t="s">
        <v>316</v>
      </c>
      <c r="D319" s="3">
        <f>ROUND(Data!AC319*$B$3,2)</f>
        <v>227439.06</v>
      </c>
      <c r="E319" s="3">
        <f>MAX(0,Data!AF319-Data!Y319)</f>
        <v>277679.15999999997</v>
      </c>
      <c r="F319" s="3">
        <f>Data!Y319</f>
        <v>128380.69</v>
      </c>
      <c r="G319" s="3">
        <f>Data!X319</f>
        <v>0</v>
      </c>
      <c r="H319" s="3">
        <f>Data!K319+Data!R319</f>
        <v>22884.52</v>
      </c>
      <c r="I319" s="3">
        <f>Data!I319+Data!L319+Data!M319+Data!N319+Data!O319+Data!S319</f>
        <v>0</v>
      </c>
      <c r="J319" s="3">
        <f>Data!Q319</f>
        <v>0</v>
      </c>
      <c r="K319" s="3">
        <f>Data!J319+Data!P319</f>
        <v>10017.75</v>
      </c>
      <c r="L319" s="3">
        <f>Data!T319</f>
        <v>0</v>
      </c>
      <c r="M319" s="3">
        <f>ROUND(Data!AD319*$B$3,2)</f>
        <v>53404.76</v>
      </c>
      <c r="N319" s="3">
        <f>Data!U319</f>
        <v>0</v>
      </c>
      <c r="O319" s="3">
        <f t="shared" ref="O319:O340" si="16">SUM(D319:N319)</f>
        <v>719805.94</v>
      </c>
      <c r="P319" s="3">
        <f t="shared" si="14"/>
        <v>666401.17999999993</v>
      </c>
      <c r="Q319" s="3">
        <f t="shared" si="15"/>
        <v>53404.76</v>
      </c>
    </row>
    <row r="320" spans="1:17" x14ac:dyDescent="0.2">
      <c r="A320" s="18">
        <v>2689</v>
      </c>
      <c r="B320" s="18">
        <v>1</v>
      </c>
      <c r="C320" s="3" t="s">
        <v>317</v>
      </c>
      <c r="D320" s="3">
        <f>ROUND(Data!AC320*$B$3,2)</f>
        <v>214992.05</v>
      </c>
      <c r="E320" s="3">
        <f>MAX(0,Data!AF320-Data!Y320)</f>
        <v>335992.29000000004</v>
      </c>
      <c r="F320" s="3">
        <f>Data!Y320</f>
        <v>41180.28</v>
      </c>
      <c r="G320" s="3">
        <f>Data!X320</f>
        <v>0</v>
      </c>
      <c r="H320" s="3">
        <f>Data!K320+Data!R320</f>
        <v>18179.11</v>
      </c>
      <c r="I320" s="3">
        <f>Data!I320+Data!L320+Data!M320+Data!N320+Data!O320+Data!S320</f>
        <v>0</v>
      </c>
      <c r="J320" s="3">
        <f>Data!Q320</f>
        <v>0</v>
      </c>
      <c r="K320" s="3">
        <f>Data!J320+Data!P320</f>
        <v>547.10000000000036</v>
      </c>
      <c r="L320" s="3">
        <f>Data!T320</f>
        <v>0</v>
      </c>
      <c r="M320" s="3">
        <f>ROUND(Data!AD320*$B$3,2)</f>
        <v>44364.97</v>
      </c>
      <c r="N320" s="3">
        <f>Data!U320</f>
        <v>0</v>
      </c>
      <c r="O320" s="3">
        <f t="shared" si="16"/>
        <v>655255.80000000005</v>
      </c>
      <c r="P320" s="3">
        <f t="shared" si="14"/>
        <v>610890.83000000007</v>
      </c>
      <c r="Q320" s="3">
        <f t="shared" si="15"/>
        <v>44364.97</v>
      </c>
    </row>
    <row r="321" spans="1:17" x14ac:dyDescent="0.2">
      <c r="A321" s="18">
        <v>2711</v>
      </c>
      <c r="B321" s="18">
        <v>1</v>
      </c>
      <c r="C321" s="3" t="s">
        <v>318</v>
      </c>
      <c r="D321" s="3">
        <f>ROUND(Data!AC321*$B$3,2)</f>
        <v>0</v>
      </c>
      <c r="E321" s="3">
        <f>MAX(0,Data!AF321-Data!Y321)</f>
        <v>0</v>
      </c>
      <c r="F321" s="3">
        <f>Data!Y321</f>
        <v>76000.399999999994</v>
      </c>
      <c r="G321" s="3">
        <f>Data!X321</f>
        <v>7178.43</v>
      </c>
      <c r="H321" s="3">
        <f>Data!K321+Data!R321</f>
        <v>18947</v>
      </c>
      <c r="I321" s="3">
        <f>Data!I321+Data!L321+Data!M321+Data!N321+Data!O321+Data!S321</f>
        <v>810399.87000000011</v>
      </c>
      <c r="J321" s="3">
        <f>Data!Q321</f>
        <v>0</v>
      </c>
      <c r="K321" s="3">
        <f>Data!J321+Data!P321</f>
        <v>491.92</v>
      </c>
      <c r="L321" s="3">
        <f>Data!T321</f>
        <v>0</v>
      </c>
      <c r="M321" s="3">
        <f>ROUND(Data!AD321*$B$3,2)</f>
        <v>0</v>
      </c>
      <c r="N321" s="3">
        <f>Data!U321</f>
        <v>0</v>
      </c>
      <c r="O321" s="3">
        <f t="shared" si="16"/>
        <v>913017.62000000011</v>
      </c>
      <c r="P321" s="3">
        <f t="shared" si="14"/>
        <v>913017.62000000011</v>
      </c>
      <c r="Q321" s="3">
        <f t="shared" si="15"/>
        <v>0</v>
      </c>
    </row>
    <row r="322" spans="1:17" x14ac:dyDescent="0.2">
      <c r="A322" s="18">
        <v>2752</v>
      </c>
      <c r="B322" s="18">
        <v>1</v>
      </c>
      <c r="C322" s="3" t="s">
        <v>319</v>
      </c>
      <c r="D322" s="3">
        <f>ROUND(Data!AC322*$B$3,2)</f>
        <v>684809.41</v>
      </c>
      <c r="E322" s="3">
        <f>MAX(0,Data!AF322-Data!Y322)</f>
        <v>301592.37</v>
      </c>
      <c r="F322" s="3">
        <f>Data!Y322</f>
        <v>54445.41</v>
      </c>
      <c r="G322" s="3">
        <f>Data!X322</f>
        <v>0</v>
      </c>
      <c r="H322" s="3">
        <f>Data!K322+Data!R322</f>
        <v>41360.339999999997</v>
      </c>
      <c r="I322" s="3">
        <f>Data!I322+Data!L322+Data!M322+Data!N322+Data!O322+Data!S322</f>
        <v>0</v>
      </c>
      <c r="J322" s="3">
        <f>Data!Q322</f>
        <v>0</v>
      </c>
      <c r="K322" s="3">
        <f>Data!J322+Data!P322</f>
        <v>13687.59</v>
      </c>
      <c r="L322" s="3">
        <f>Data!T322</f>
        <v>0</v>
      </c>
      <c r="M322" s="3">
        <f>ROUND(Data!AD322*$B$3,2)</f>
        <v>70534.91</v>
      </c>
      <c r="N322" s="3">
        <f>Data!U322</f>
        <v>0</v>
      </c>
      <c r="O322" s="3">
        <f t="shared" si="16"/>
        <v>1166430.03</v>
      </c>
      <c r="P322" s="3">
        <f t="shared" si="14"/>
        <v>1095895.1200000001</v>
      </c>
      <c r="Q322" s="3">
        <f t="shared" si="15"/>
        <v>70534.91</v>
      </c>
    </row>
    <row r="323" spans="1:17" x14ac:dyDescent="0.2">
      <c r="A323" s="18">
        <v>2753</v>
      </c>
      <c r="B323" s="18">
        <v>1</v>
      </c>
      <c r="C323" s="3" t="s">
        <v>320</v>
      </c>
      <c r="D323" s="3">
        <f>ROUND(Data!AC323*$B$3,2)</f>
        <v>236184.76</v>
      </c>
      <c r="E323" s="3">
        <f>MAX(0,Data!AF323-Data!Y323)</f>
        <v>224368.69</v>
      </c>
      <c r="F323" s="3">
        <f>Data!Y323</f>
        <v>61420.61</v>
      </c>
      <c r="G323" s="3">
        <f>Data!X323</f>
        <v>0</v>
      </c>
      <c r="H323" s="3">
        <f>Data!K323+Data!R323</f>
        <v>74078.570000000007</v>
      </c>
      <c r="I323" s="3">
        <f>Data!I323+Data!L323+Data!M323+Data!N323+Data!O323+Data!S323</f>
        <v>0</v>
      </c>
      <c r="J323" s="3">
        <f>Data!Q323</f>
        <v>0</v>
      </c>
      <c r="K323" s="3">
        <f>Data!J323+Data!P323</f>
        <v>43599.56</v>
      </c>
      <c r="L323" s="3">
        <f>Data!T323</f>
        <v>0</v>
      </c>
      <c r="M323" s="3">
        <f>ROUND(Data!AD323*$B$3,2)</f>
        <v>39612.57</v>
      </c>
      <c r="N323" s="3">
        <f>Data!U323</f>
        <v>0</v>
      </c>
      <c r="O323" s="3">
        <f t="shared" si="16"/>
        <v>679264.75999999989</v>
      </c>
      <c r="P323" s="3">
        <f t="shared" si="14"/>
        <v>639652.18999999994</v>
      </c>
      <c r="Q323" s="3">
        <f t="shared" si="15"/>
        <v>39612.57</v>
      </c>
    </row>
    <row r="324" spans="1:17" x14ac:dyDescent="0.2">
      <c r="A324" s="18">
        <v>2754</v>
      </c>
      <c r="B324" s="18">
        <v>1</v>
      </c>
      <c r="C324" s="3" t="s">
        <v>321</v>
      </c>
      <c r="D324" s="3">
        <f>ROUND(Data!AC324*$B$3,2)</f>
        <v>114056.15</v>
      </c>
      <c r="E324" s="3">
        <f>MAX(0,Data!AF324-Data!Y324)</f>
        <v>0</v>
      </c>
      <c r="F324" s="3">
        <f>Data!Y324</f>
        <v>98018.3</v>
      </c>
      <c r="G324" s="3">
        <f>Data!X324</f>
        <v>8095.57</v>
      </c>
      <c r="H324" s="3">
        <f>Data!K324+Data!R324</f>
        <v>0</v>
      </c>
      <c r="I324" s="3">
        <f>Data!I324+Data!L324+Data!M324+Data!N324+Data!O324+Data!S324</f>
        <v>0</v>
      </c>
      <c r="J324" s="3">
        <f>Data!Q324</f>
        <v>0</v>
      </c>
      <c r="K324" s="3">
        <f>Data!J324+Data!P324</f>
        <v>0</v>
      </c>
      <c r="L324" s="3">
        <f>Data!T324</f>
        <v>0</v>
      </c>
      <c r="M324" s="3">
        <f>ROUND(Data!AD324*$B$3,2)</f>
        <v>20860.580000000002</v>
      </c>
      <c r="N324" s="3">
        <f>Data!U324</f>
        <v>0</v>
      </c>
      <c r="O324" s="3">
        <f t="shared" si="16"/>
        <v>241030.60000000003</v>
      </c>
      <c r="P324" s="3">
        <f t="shared" si="14"/>
        <v>220170.02000000002</v>
      </c>
      <c r="Q324" s="3">
        <f t="shared" si="15"/>
        <v>20860.580000000002</v>
      </c>
    </row>
    <row r="325" spans="1:17" x14ac:dyDescent="0.2">
      <c r="A325" s="18">
        <v>2759</v>
      </c>
      <c r="B325" s="18">
        <v>1</v>
      </c>
      <c r="C325" s="3" t="s">
        <v>322</v>
      </c>
      <c r="D325" s="3">
        <f>ROUND(Data!AC325*$B$3,2)</f>
        <v>59016.38</v>
      </c>
      <c r="E325" s="3">
        <f>MAX(0,Data!AF325-Data!Y325)</f>
        <v>72934.31</v>
      </c>
      <c r="F325" s="3">
        <f>Data!Y325</f>
        <v>12843.72</v>
      </c>
      <c r="G325" s="3">
        <f>Data!X325</f>
        <v>0</v>
      </c>
      <c r="H325" s="3">
        <f>Data!K325+Data!R325</f>
        <v>21922.79</v>
      </c>
      <c r="I325" s="3">
        <f>Data!I325+Data!L325+Data!M325+Data!N325+Data!O325+Data!S325</f>
        <v>0</v>
      </c>
      <c r="J325" s="3">
        <f>Data!Q325</f>
        <v>0</v>
      </c>
      <c r="K325" s="3">
        <f>Data!J325+Data!P325</f>
        <v>11340.32</v>
      </c>
      <c r="L325" s="3">
        <f>Data!T325</f>
        <v>0</v>
      </c>
      <c r="M325" s="3">
        <f>ROUND(Data!AD325*$B$3,2)</f>
        <v>11185.29</v>
      </c>
      <c r="N325" s="3">
        <f>Data!U325</f>
        <v>0</v>
      </c>
      <c r="O325" s="3">
        <f t="shared" si="16"/>
        <v>189242.81000000003</v>
      </c>
      <c r="P325" s="3">
        <f t="shared" ref="P325:P342" si="17">SUM(D325:L325)</f>
        <v>178057.52000000002</v>
      </c>
      <c r="Q325" s="3">
        <f t="shared" ref="Q325:Q342" si="18">SUM(M325:N325)</f>
        <v>11185.29</v>
      </c>
    </row>
    <row r="326" spans="1:17" x14ac:dyDescent="0.2">
      <c r="A326" s="18">
        <v>2805</v>
      </c>
      <c r="B326" s="18">
        <v>1</v>
      </c>
      <c r="C326" s="3" t="s">
        <v>323</v>
      </c>
      <c r="D326" s="3">
        <f>ROUND(Data!AC326*$B$3,2)</f>
        <v>232809.09</v>
      </c>
      <c r="E326" s="3">
        <f>MAX(0,Data!AF326-Data!Y326)</f>
        <v>363227.68000000005</v>
      </c>
      <c r="F326" s="3">
        <f>Data!Y326</f>
        <v>152693.4</v>
      </c>
      <c r="G326" s="3">
        <f>Data!X326</f>
        <v>0</v>
      </c>
      <c r="H326" s="3">
        <f>Data!K326+Data!R326</f>
        <v>23512.65</v>
      </c>
      <c r="I326" s="3">
        <f>Data!I326+Data!L326+Data!M326+Data!N326+Data!O326+Data!S326</f>
        <v>0</v>
      </c>
      <c r="J326" s="3">
        <f>Data!Q326</f>
        <v>0</v>
      </c>
      <c r="K326" s="3">
        <f>Data!J326+Data!P326</f>
        <v>31032.3</v>
      </c>
      <c r="L326" s="3">
        <f>Data!T326</f>
        <v>0</v>
      </c>
      <c r="M326" s="3">
        <f>ROUND(Data!AD326*$B$3,2)</f>
        <v>63359.33</v>
      </c>
      <c r="N326" s="3">
        <f>Data!U326</f>
        <v>0</v>
      </c>
      <c r="O326" s="3">
        <f t="shared" si="16"/>
        <v>866634.45000000007</v>
      </c>
      <c r="P326" s="3">
        <f t="shared" si="17"/>
        <v>803275.12000000011</v>
      </c>
      <c r="Q326" s="3">
        <f t="shared" si="18"/>
        <v>63359.33</v>
      </c>
    </row>
    <row r="327" spans="1:17" x14ac:dyDescent="0.2">
      <c r="A327" s="18">
        <v>2835</v>
      </c>
      <c r="B327" s="18">
        <v>1</v>
      </c>
      <c r="C327" s="3" t="s">
        <v>324</v>
      </c>
      <c r="D327" s="3">
        <f>ROUND(Data!AC327*$B$3,2)</f>
        <v>112469.9</v>
      </c>
      <c r="E327" s="3">
        <f>MAX(0,Data!AF327-Data!Y327)</f>
        <v>0</v>
      </c>
      <c r="F327" s="3">
        <f>Data!Y327</f>
        <v>161255.4</v>
      </c>
      <c r="G327" s="3">
        <f>Data!X327</f>
        <v>0</v>
      </c>
      <c r="H327" s="3">
        <f>Data!K327+Data!R327</f>
        <v>18672.36</v>
      </c>
      <c r="I327" s="3">
        <f>Data!I327+Data!L327+Data!M327+Data!N327+Data!O327+Data!S327</f>
        <v>0</v>
      </c>
      <c r="J327" s="3">
        <f>Data!Q327</f>
        <v>0</v>
      </c>
      <c r="K327" s="3">
        <f>Data!J327+Data!P327</f>
        <v>-1279.8999999999996</v>
      </c>
      <c r="L327" s="3">
        <f>Data!T327</f>
        <v>0</v>
      </c>
      <c r="M327" s="3">
        <f>ROUND(Data!AD327*$B$3,2)</f>
        <v>29594.97</v>
      </c>
      <c r="N327" s="3">
        <f>Data!U327</f>
        <v>0</v>
      </c>
      <c r="O327" s="3">
        <f t="shared" si="16"/>
        <v>320712.73</v>
      </c>
      <c r="P327" s="3">
        <f t="shared" si="17"/>
        <v>291117.75999999995</v>
      </c>
      <c r="Q327" s="3">
        <f t="shared" si="18"/>
        <v>29594.97</v>
      </c>
    </row>
    <row r="328" spans="1:17" x14ac:dyDescent="0.2">
      <c r="A328" s="18">
        <v>2853</v>
      </c>
      <c r="B328" s="18">
        <v>1</v>
      </c>
      <c r="C328" s="3" t="s">
        <v>325</v>
      </c>
      <c r="D328" s="3">
        <f>ROUND(Data!AC328*$B$3,2)</f>
        <v>232875.89</v>
      </c>
      <c r="E328" s="3">
        <f>MAX(0,Data!AF328-Data!Y328)</f>
        <v>284244.13</v>
      </c>
      <c r="F328" s="3">
        <f>Data!Y328</f>
        <v>88378.21</v>
      </c>
      <c r="G328" s="3">
        <f>Data!X328</f>
        <v>642.47</v>
      </c>
      <c r="H328" s="3">
        <f>Data!K328+Data!R328</f>
        <v>30047.08</v>
      </c>
      <c r="I328" s="3">
        <f>Data!I328+Data!L328+Data!M328+Data!N328+Data!O328+Data!S328</f>
        <v>0</v>
      </c>
      <c r="J328" s="3">
        <f>Data!Q328</f>
        <v>0</v>
      </c>
      <c r="K328" s="3">
        <f>Data!J328+Data!P328</f>
        <v>-5044.6099999999997</v>
      </c>
      <c r="L328" s="3">
        <f>Data!T328</f>
        <v>0</v>
      </c>
      <c r="M328" s="3">
        <f>ROUND(Data!AD328*$B$3,2)</f>
        <v>59970.55</v>
      </c>
      <c r="N328" s="3">
        <f>Data!U328</f>
        <v>0</v>
      </c>
      <c r="O328" s="3">
        <f t="shared" si="16"/>
        <v>691113.72</v>
      </c>
      <c r="P328" s="3">
        <f t="shared" si="17"/>
        <v>631143.16999999993</v>
      </c>
      <c r="Q328" s="3">
        <f t="shared" si="18"/>
        <v>59970.55</v>
      </c>
    </row>
    <row r="329" spans="1:17" x14ac:dyDescent="0.2">
      <c r="A329" s="18">
        <v>2854</v>
      </c>
      <c r="B329" s="18">
        <v>1</v>
      </c>
      <c r="C329" s="3" t="s">
        <v>326</v>
      </c>
      <c r="D329" s="3">
        <f>ROUND(Data!AC329*$B$3,2)</f>
        <v>82061.820000000007</v>
      </c>
      <c r="E329" s="3">
        <f>MAX(0,Data!AF329-Data!Y329)</f>
        <v>42685.81</v>
      </c>
      <c r="F329" s="3">
        <f>Data!Y329</f>
        <v>40913.339999999997</v>
      </c>
      <c r="G329" s="3">
        <f>Data!X329</f>
        <v>0</v>
      </c>
      <c r="H329" s="3">
        <f>Data!K329+Data!R329</f>
        <v>0</v>
      </c>
      <c r="I329" s="3">
        <f>Data!I329+Data!L329+Data!M329+Data!N329+Data!O329+Data!S329</f>
        <v>0</v>
      </c>
      <c r="J329" s="3">
        <f>Data!Q329</f>
        <v>-2000</v>
      </c>
      <c r="K329" s="3">
        <f>Data!J329+Data!P329</f>
        <v>0</v>
      </c>
      <c r="L329" s="3">
        <f>Data!T329</f>
        <v>0</v>
      </c>
      <c r="M329" s="3">
        <f>ROUND(Data!AD329*$B$3,2)</f>
        <v>15944</v>
      </c>
      <c r="N329" s="3">
        <f>Data!U329</f>
        <v>0</v>
      </c>
      <c r="O329" s="3">
        <f t="shared" si="16"/>
        <v>179604.97</v>
      </c>
      <c r="P329" s="3">
        <f t="shared" si="17"/>
        <v>163660.97</v>
      </c>
      <c r="Q329" s="3">
        <f t="shared" si="18"/>
        <v>15944</v>
      </c>
    </row>
    <row r="330" spans="1:17" x14ac:dyDescent="0.2">
      <c r="A330" s="18">
        <v>2856</v>
      </c>
      <c r="B330" s="18">
        <v>1</v>
      </c>
      <c r="C330" s="3" t="s">
        <v>327</v>
      </c>
      <c r="D330" s="3">
        <f>ROUND(Data!AC330*$B$3,2)</f>
        <v>106937.24</v>
      </c>
      <c r="E330" s="3">
        <f>MAX(0,Data!AF330-Data!Y330)</f>
        <v>0</v>
      </c>
      <c r="F330" s="3">
        <f>Data!Y330</f>
        <v>122060.62</v>
      </c>
      <c r="G330" s="3">
        <f>Data!X330</f>
        <v>2021.24</v>
      </c>
      <c r="H330" s="3">
        <f>Data!K330+Data!R330</f>
        <v>10000</v>
      </c>
      <c r="I330" s="3">
        <f>Data!I330+Data!L330+Data!M330+Data!N330+Data!O330+Data!S330</f>
        <v>0</v>
      </c>
      <c r="J330" s="3">
        <f>Data!Q330</f>
        <v>0</v>
      </c>
      <c r="K330" s="3">
        <f>Data!J330+Data!P330</f>
        <v>-4093.7199999999993</v>
      </c>
      <c r="L330" s="3">
        <f>Data!T330</f>
        <v>0</v>
      </c>
      <c r="M330" s="3">
        <f>ROUND(Data!AD330*$B$3,2)</f>
        <v>22977.59</v>
      </c>
      <c r="N330" s="3">
        <f>Data!U330</f>
        <v>0</v>
      </c>
      <c r="O330" s="3">
        <f t="shared" si="16"/>
        <v>259902.96999999997</v>
      </c>
      <c r="P330" s="3">
        <f t="shared" si="17"/>
        <v>236925.37999999998</v>
      </c>
      <c r="Q330" s="3">
        <f t="shared" si="18"/>
        <v>22977.59</v>
      </c>
    </row>
    <row r="331" spans="1:17" x14ac:dyDescent="0.2">
      <c r="A331" s="18">
        <v>2859</v>
      </c>
      <c r="B331" s="18">
        <v>1</v>
      </c>
      <c r="C331" s="3" t="s">
        <v>328</v>
      </c>
      <c r="D331" s="3">
        <f>ROUND(Data!AC331*$B$3,2)</f>
        <v>351533.67</v>
      </c>
      <c r="E331" s="3">
        <f>MAX(0,Data!AF331-Data!Y331)</f>
        <v>416611.36</v>
      </c>
      <c r="F331" s="3">
        <f>Data!Y331</f>
        <v>168353.22</v>
      </c>
      <c r="G331" s="3">
        <f>Data!X331</f>
        <v>3949.77</v>
      </c>
      <c r="H331" s="3">
        <f>Data!K331+Data!R331</f>
        <v>25162.850000000002</v>
      </c>
      <c r="I331" s="3">
        <f>Data!I331+Data!L331+Data!M331+Data!N331+Data!O331+Data!S331</f>
        <v>0</v>
      </c>
      <c r="J331" s="3">
        <f>Data!Q331</f>
        <v>0</v>
      </c>
      <c r="K331" s="3">
        <f>Data!J331+Data!P331</f>
        <v>-3863.880000000001</v>
      </c>
      <c r="L331" s="3">
        <f>Data!T331</f>
        <v>0</v>
      </c>
      <c r="M331" s="3">
        <f>ROUND(Data!AD331*$B$3,2)</f>
        <v>81906.59</v>
      </c>
      <c r="N331" s="3">
        <f>Data!U331</f>
        <v>0</v>
      </c>
      <c r="O331" s="3">
        <f t="shared" si="16"/>
        <v>1043653.58</v>
      </c>
      <c r="P331" s="3">
        <f t="shared" si="17"/>
        <v>961746.99</v>
      </c>
      <c r="Q331" s="3">
        <f t="shared" si="18"/>
        <v>81906.59</v>
      </c>
    </row>
    <row r="332" spans="1:17" x14ac:dyDescent="0.2">
      <c r="A332" s="18">
        <v>2860</v>
      </c>
      <c r="B332" s="18">
        <v>1</v>
      </c>
      <c r="C332" s="3" t="s">
        <v>329</v>
      </c>
      <c r="D332" s="3">
        <f>ROUND(Data!AC332*$B$3,2)</f>
        <v>266143.57</v>
      </c>
      <c r="E332" s="3">
        <f>MAX(0,Data!AF332-Data!Y332)</f>
        <v>68685.950000000012</v>
      </c>
      <c r="F332" s="3">
        <f>Data!Y332</f>
        <v>161661.34</v>
      </c>
      <c r="G332" s="3">
        <f>Data!X332</f>
        <v>0</v>
      </c>
      <c r="H332" s="3">
        <f>Data!K332+Data!R332</f>
        <v>0</v>
      </c>
      <c r="I332" s="3">
        <f>Data!I332+Data!L332+Data!M332+Data!N332+Data!O332+Data!S332</f>
        <v>0</v>
      </c>
      <c r="J332" s="3">
        <f>Data!Q332</f>
        <v>-1425.25</v>
      </c>
      <c r="K332" s="3">
        <f>Data!J332+Data!P332</f>
        <v>1425.25</v>
      </c>
      <c r="L332" s="3">
        <f>Data!T332</f>
        <v>0</v>
      </c>
      <c r="M332" s="3">
        <f>ROUND(Data!AD332*$B$3,2)</f>
        <v>62328.45</v>
      </c>
      <c r="N332" s="3">
        <f>Data!U332</f>
        <v>0</v>
      </c>
      <c r="O332" s="3">
        <f t="shared" si="16"/>
        <v>558819.30999999994</v>
      </c>
      <c r="P332" s="3">
        <f t="shared" si="17"/>
        <v>496490.86</v>
      </c>
      <c r="Q332" s="3">
        <f t="shared" si="18"/>
        <v>62328.45</v>
      </c>
    </row>
    <row r="333" spans="1:17" x14ac:dyDescent="0.2">
      <c r="A333" s="18">
        <v>2884</v>
      </c>
      <c r="B333" s="18">
        <v>1</v>
      </c>
      <c r="C333" s="3" t="s">
        <v>330</v>
      </c>
      <c r="D333" s="3">
        <f>ROUND(Data!AC333*$B$3,2)</f>
        <v>128706.34</v>
      </c>
      <c r="E333" s="3">
        <f>MAX(0,Data!AF333-Data!Y333)</f>
        <v>211537</v>
      </c>
      <c r="F333" s="3">
        <f>Data!Y333</f>
        <v>56094.94</v>
      </c>
      <c r="G333" s="3">
        <f>Data!X333</f>
        <v>16313.15</v>
      </c>
      <c r="H333" s="3">
        <f>Data!K333+Data!R333</f>
        <v>0</v>
      </c>
      <c r="I333" s="3">
        <f>Data!I333+Data!L333+Data!M333+Data!N333+Data!O333+Data!S333</f>
        <v>0</v>
      </c>
      <c r="J333" s="3">
        <f>Data!Q333</f>
        <v>0</v>
      </c>
      <c r="K333" s="3">
        <f>Data!J333+Data!P333</f>
        <v>0</v>
      </c>
      <c r="L333" s="3">
        <f>Data!T333</f>
        <v>0</v>
      </c>
      <c r="M333" s="3">
        <f>ROUND(Data!AD333*$B$3,2)</f>
        <v>10012.09</v>
      </c>
      <c r="N333" s="3">
        <f>Data!U333</f>
        <v>0</v>
      </c>
      <c r="O333" s="3">
        <f t="shared" si="16"/>
        <v>422663.52</v>
      </c>
      <c r="P333" s="3">
        <f t="shared" si="17"/>
        <v>412651.43</v>
      </c>
      <c r="Q333" s="3">
        <f t="shared" si="18"/>
        <v>10012.09</v>
      </c>
    </row>
    <row r="334" spans="1:17" x14ac:dyDescent="0.2">
      <c r="A334" s="18">
        <v>2886</v>
      </c>
      <c r="B334" s="18">
        <v>1</v>
      </c>
      <c r="C334" s="3" t="s">
        <v>331</v>
      </c>
      <c r="D334" s="3">
        <f>ROUND(Data!AC334*$B$3,2)</f>
        <v>103952.06</v>
      </c>
      <c r="E334" s="3">
        <f>MAX(0,Data!AF334-Data!Y334)</f>
        <v>0</v>
      </c>
      <c r="F334" s="3">
        <f>Data!Y334</f>
        <v>122081.61</v>
      </c>
      <c r="G334" s="3">
        <f>Data!X334</f>
        <v>519.49</v>
      </c>
      <c r="H334" s="3">
        <f>Data!K334+Data!R334</f>
        <v>7424.8</v>
      </c>
      <c r="I334" s="3">
        <f>Data!I334+Data!L334+Data!M334+Data!N334+Data!O334+Data!S334</f>
        <v>0</v>
      </c>
      <c r="J334" s="3">
        <f>Data!Q334</f>
        <v>0</v>
      </c>
      <c r="K334" s="3">
        <f>Data!J334+Data!P334</f>
        <v>-16206.599999999999</v>
      </c>
      <c r="L334" s="3">
        <f>Data!T334</f>
        <v>0</v>
      </c>
      <c r="M334" s="3">
        <f>ROUND(Data!AD334*$B$3,2)</f>
        <v>11368.9</v>
      </c>
      <c r="N334" s="3">
        <f>Data!U334</f>
        <v>0</v>
      </c>
      <c r="O334" s="3">
        <f t="shared" si="16"/>
        <v>229140.25999999995</v>
      </c>
      <c r="P334" s="3">
        <f t="shared" si="17"/>
        <v>217771.35999999996</v>
      </c>
      <c r="Q334" s="3">
        <f t="shared" si="18"/>
        <v>11368.9</v>
      </c>
    </row>
    <row r="335" spans="1:17" x14ac:dyDescent="0.2">
      <c r="A335" s="18">
        <v>2888</v>
      </c>
      <c r="B335" s="18">
        <v>1</v>
      </c>
      <c r="C335" s="3" t="s">
        <v>332</v>
      </c>
      <c r="D335" s="3">
        <f>ROUND(Data!AC335*$B$3,2)</f>
        <v>76817.240000000005</v>
      </c>
      <c r="E335" s="3">
        <f>MAX(0,Data!AF335-Data!Y335)</f>
        <v>73244.789999999994</v>
      </c>
      <c r="F335" s="3">
        <f>Data!Y335</f>
        <v>38564.47</v>
      </c>
      <c r="G335" s="3">
        <f>Data!X335</f>
        <v>5805.07</v>
      </c>
      <c r="H335" s="3">
        <f>Data!K335+Data!R335</f>
        <v>10218.49</v>
      </c>
      <c r="I335" s="3">
        <f>Data!I335+Data!L335+Data!M335+Data!N335+Data!O335+Data!S335</f>
        <v>0</v>
      </c>
      <c r="J335" s="3">
        <f>Data!Q335</f>
        <v>0</v>
      </c>
      <c r="K335" s="3">
        <f>Data!J335+Data!P335</f>
        <v>-9814.8799999999992</v>
      </c>
      <c r="L335" s="3">
        <f>Data!T335</f>
        <v>0</v>
      </c>
      <c r="M335" s="3">
        <f>ROUND(Data!AD335*$B$3,2)</f>
        <v>16532.71</v>
      </c>
      <c r="N335" s="3">
        <f>Data!U335</f>
        <v>0</v>
      </c>
      <c r="O335" s="3">
        <f t="shared" si="16"/>
        <v>211367.88999999998</v>
      </c>
      <c r="P335" s="3">
        <f t="shared" si="17"/>
        <v>194835.18</v>
      </c>
      <c r="Q335" s="3">
        <f t="shared" si="18"/>
        <v>16532.71</v>
      </c>
    </row>
    <row r="336" spans="1:17" x14ac:dyDescent="0.2">
      <c r="A336" s="18">
        <v>2889</v>
      </c>
      <c r="B336" s="18">
        <v>1</v>
      </c>
      <c r="C336" s="3" t="s">
        <v>333</v>
      </c>
      <c r="D336" s="3">
        <f>ROUND(Data!AC336*$B$3,2)</f>
        <v>144443.6</v>
      </c>
      <c r="E336" s="3">
        <f>MAX(0,Data!AF336-Data!Y336)</f>
        <v>203862.16999999998</v>
      </c>
      <c r="F336" s="3">
        <f>Data!Y336</f>
        <v>70465.440000000002</v>
      </c>
      <c r="G336" s="3">
        <f>Data!X336</f>
        <v>11121.56</v>
      </c>
      <c r="H336" s="3">
        <f>Data!K336+Data!R336</f>
        <v>13494.12</v>
      </c>
      <c r="I336" s="3">
        <f>Data!I336+Data!L336+Data!M336+Data!N336+Data!O336+Data!S336</f>
        <v>0</v>
      </c>
      <c r="J336" s="3">
        <f>Data!Q336</f>
        <v>0</v>
      </c>
      <c r="K336" s="3">
        <f>Data!J336+Data!P336</f>
        <v>14967.98</v>
      </c>
      <c r="L336" s="3">
        <f>Data!T336</f>
        <v>0</v>
      </c>
      <c r="M336" s="3">
        <f>ROUND(Data!AD336*$B$3,2)</f>
        <v>33842.11</v>
      </c>
      <c r="N336" s="3">
        <f>Data!U336</f>
        <v>0</v>
      </c>
      <c r="O336" s="3">
        <f t="shared" si="16"/>
        <v>492196.98</v>
      </c>
      <c r="P336" s="3">
        <f t="shared" si="17"/>
        <v>458354.87</v>
      </c>
      <c r="Q336" s="3">
        <f t="shared" si="18"/>
        <v>33842.11</v>
      </c>
    </row>
    <row r="337" spans="1:17" x14ac:dyDescent="0.2">
      <c r="A337" s="18">
        <v>2890</v>
      </c>
      <c r="B337" s="18">
        <v>1</v>
      </c>
      <c r="C337" s="3" t="s">
        <v>334</v>
      </c>
      <c r="D337" s="3">
        <f>ROUND(Data!AC337*$B$3,2)</f>
        <v>127469.88</v>
      </c>
      <c r="E337" s="3">
        <f>MAX(0,Data!AF337-Data!Y337)</f>
        <v>303792.56</v>
      </c>
      <c r="F337" s="3">
        <f>Data!Y337</f>
        <v>202355.05</v>
      </c>
      <c r="G337" s="3">
        <f>Data!X337</f>
        <v>0</v>
      </c>
      <c r="H337" s="3">
        <f>Data!K337+Data!R337</f>
        <v>13037.38</v>
      </c>
      <c r="I337" s="3">
        <f>Data!I337+Data!L337+Data!M337+Data!N337+Data!O337+Data!S337</f>
        <v>0</v>
      </c>
      <c r="J337" s="3">
        <f>Data!Q337</f>
        <v>0</v>
      </c>
      <c r="K337" s="3">
        <f>Data!J337+Data!P337</f>
        <v>2389.5300000000002</v>
      </c>
      <c r="L337" s="3">
        <f>Data!T337</f>
        <v>0</v>
      </c>
      <c r="M337" s="3">
        <f>ROUND(Data!AD337*$B$3,2)</f>
        <v>31495.97</v>
      </c>
      <c r="N337" s="3">
        <f>Data!U337</f>
        <v>0</v>
      </c>
      <c r="O337" s="3">
        <f t="shared" si="16"/>
        <v>680540.37</v>
      </c>
      <c r="P337" s="3">
        <f t="shared" si="17"/>
        <v>649044.4</v>
      </c>
      <c r="Q337" s="3">
        <f t="shared" si="18"/>
        <v>31495.97</v>
      </c>
    </row>
    <row r="338" spans="1:17" x14ac:dyDescent="0.2">
      <c r="A338" s="18">
        <v>2895</v>
      </c>
      <c r="B338" s="18">
        <v>1</v>
      </c>
      <c r="C338" s="3" t="s">
        <v>335</v>
      </c>
      <c r="D338" s="3">
        <f>ROUND(Data!AC338*$B$3,2)</f>
        <v>265200.26</v>
      </c>
      <c r="E338" s="3">
        <f>MAX(0,Data!AF338-Data!Y338)</f>
        <v>424148.58</v>
      </c>
      <c r="F338" s="3">
        <f>Data!Y338</f>
        <v>40827.550000000003</v>
      </c>
      <c r="G338" s="3">
        <f>Data!X338</f>
        <v>13469.21</v>
      </c>
      <c r="H338" s="3">
        <f>Data!K338+Data!R338</f>
        <v>21031.050000000003</v>
      </c>
      <c r="I338" s="3">
        <f>Data!I338+Data!L338+Data!M338+Data!N338+Data!O338+Data!S338</f>
        <v>0</v>
      </c>
      <c r="J338" s="3">
        <f>Data!Q338</f>
        <v>0</v>
      </c>
      <c r="K338" s="3">
        <f>Data!J338+Data!P338</f>
        <v>10403.200000000001</v>
      </c>
      <c r="L338" s="3">
        <f>Data!T338</f>
        <v>0</v>
      </c>
      <c r="M338" s="3">
        <f>ROUND(Data!AD338*$B$3,2)</f>
        <v>58524.61</v>
      </c>
      <c r="N338" s="3">
        <f>Data!U338</f>
        <v>0</v>
      </c>
      <c r="O338" s="3">
        <f t="shared" si="16"/>
        <v>833604.46000000008</v>
      </c>
      <c r="P338" s="3">
        <f t="shared" si="17"/>
        <v>775079.85000000009</v>
      </c>
      <c r="Q338" s="3">
        <f t="shared" si="18"/>
        <v>58524.61</v>
      </c>
    </row>
    <row r="339" spans="1:17" x14ac:dyDescent="0.2">
      <c r="A339" s="18">
        <v>2897</v>
      </c>
      <c r="B339" s="18">
        <v>1</v>
      </c>
      <c r="C339" s="3" t="s">
        <v>336</v>
      </c>
      <c r="D339" s="3">
        <f>ROUND(Data!AC339*$B$3,2)</f>
        <v>178463.91</v>
      </c>
      <c r="E339" s="3">
        <f>MAX(0,Data!AF339-Data!Y339)</f>
        <v>181353.33</v>
      </c>
      <c r="F339" s="3">
        <f>Data!Y339</f>
        <v>0</v>
      </c>
      <c r="G339" s="3">
        <f>Data!X339</f>
        <v>0</v>
      </c>
      <c r="H339" s="3">
        <f>Data!K339+Data!R339</f>
        <v>0</v>
      </c>
      <c r="I339" s="3">
        <f>Data!I339+Data!L339+Data!M339+Data!N339+Data!O339+Data!S339</f>
        <v>0</v>
      </c>
      <c r="J339" s="3">
        <f>Data!Q339</f>
        <v>-7827.43</v>
      </c>
      <c r="K339" s="3">
        <f>Data!J339+Data!P339</f>
        <v>10313.73</v>
      </c>
      <c r="L339" s="3">
        <f>Data!T339</f>
        <v>0</v>
      </c>
      <c r="M339" s="3">
        <f>ROUND(Data!AD339*$B$3,2)</f>
        <v>52856.39</v>
      </c>
      <c r="N339" s="3">
        <f>Data!U339</f>
        <v>0</v>
      </c>
      <c r="O339" s="3">
        <f t="shared" si="16"/>
        <v>415159.93</v>
      </c>
      <c r="P339" s="3">
        <f t="shared" si="17"/>
        <v>362303.54</v>
      </c>
      <c r="Q339" s="3">
        <f t="shared" si="18"/>
        <v>52856.39</v>
      </c>
    </row>
    <row r="340" spans="1:17" x14ac:dyDescent="0.2">
      <c r="A340" s="18">
        <v>2898</v>
      </c>
      <c r="B340" s="18">
        <v>1</v>
      </c>
      <c r="C340" s="3" t="s">
        <v>337</v>
      </c>
      <c r="D340" s="3">
        <f>ROUND(Data!AC340*$B$3,2)</f>
        <v>120860.32</v>
      </c>
      <c r="E340" s="3">
        <f>MAX(0,Data!AF340-Data!Y340)</f>
        <v>0</v>
      </c>
      <c r="F340" s="3">
        <f>Data!Y340</f>
        <v>115844.14</v>
      </c>
      <c r="G340" s="3">
        <f>Data!X340</f>
        <v>0</v>
      </c>
      <c r="H340" s="3">
        <f>Data!K340+Data!R340</f>
        <v>12628.8</v>
      </c>
      <c r="I340" s="3">
        <f>Data!I340+Data!L340+Data!M340+Data!N340+Data!O340+Data!S340</f>
        <v>0</v>
      </c>
      <c r="J340" s="3">
        <f>Data!Q340</f>
        <v>0</v>
      </c>
      <c r="K340" s="3">
        <f>Data!J340+Data!P340</f>
        <v>11805.42</v>
      </c>
      <c r="L340" s="3">
        <f>Data!T340</f>
        <v>0</v>
      </c>
      <c r="M340" s="3">
        <f>ROUND(Data!AD340*$B$3,2)</f>
        <v>18963.23</v>
      </c>
      <c r="N340" s="3">
        <f>Data!U340</f>
        <v>0</v>
      </c>
      <c r="O340" s="3">
        <f t="shared" si="16"/>
        <v>280101.91000000003</v>
      </c>
      <c r="P340" s="3">
        <f t="shared" si="17"/>
        <v>261138.68000000002</v>
      </c>
      <c r="Q340" s="3">
        <f t="shared" si="18"/>
        <v>18963.23</v>
      </c>
    </row>
    <row r="341" spans="1:17" x14ac:dyDescent="0.2">
      <c r="A341" s="18">
        <v>2899</v>
      </c>
      <c r="B341" s="18">
        <v>1</v>
      </c>
      <c r="C341" s="3" t="s">
        <v>503</v>
      </c>
      <c r="D341" s="3">
        <f>ROUND(Data!AC341*$B$3,2)</f>
        <v>258778.19</v>
      </c>
      <c r="E341" s="3">
        <f>MAX(0,Data!AF341-Data!Y341)</f>
        <v>123705.32</v>
      </c>
      <c r="F341" s="3">
        <f>Data!Y341</f>
        <v>24224.82</v>
      </c>
      <c r="G341" s="3">
        <f>Data!X341</f>
        <v>0</v>
      </c>
      <c r="H341" s="3">
        <f>Data!K341+Data!R341</f>
        <v>31889.600000000002</v>
      </c>
      <c r="I341" s="3">
        <f>Data!I341+Data!L341+Data!M341+Data!N341+Data!O341+Data!S341</f>
        <v>0</v>
      </c>
      <c r="J341" s="3">
        <f>Data!Q341</f>
        <v>0</v>
      </c>
      <c r="K341" s="3">
        <f>Data!J341+Data!P341</f>
        <v>910.98</v>
      </c>
      <c r="L341" s="3">
        <f>Data!T341</f>
        <v>0</v>
      </c>
      <c r="M341" s="3">
        <f>ROUND(Data!AD341*$B$3,2)</f>
        <v>36888.86</v>
      </c>
      <c r="N341" s="3">
        <f>Data!U341</f>
        <v>0</v>
      </c>
      <c r="O341" s="3">
        <f>SUM(D341:N341)</f>
        <v>476397.76999999996</v>
      </c>
      <c r="P341" s="3">
        <f t="shared" si="17"/>
        <v>439508.91</v>
      </c>
      <c r="Q341" s="3">
        <f t="shared" si="18"/>
        <v>36888.86</v>
      </c>
    </row>
    <row r="342" spans="1:17" x14ac:dyDescent="0.2">
      <c r="A342" s="18">
        <v>2902</v>
      </c>
      <c r="B342" s="18">
        <v>1</v>
      </c>
      <c r="C342" s="3" t="s">
        <v>502</v>
      </c>
      <c r="D342" s="3">
        <f>ROUND(Data!AC342*$B$3,2)</f>
        <v>112044.65</v>
      </c>
      <c r="E342" s="3">
        <f>MAX(0,Data!AF342-Data!Y342)</f>
        <v>53091.349999999991</v>
      </c>
      <c r="F342" s="3">
        <f>Data!Y342</f>
        <v>56182.83</v>
      </c>
      <c r="G342" s="3">
        <f>Data!X342</f>
        <v>479.17</v>
      </c>
      <c r="H342" s="3">
        <f>Data!K342+Data!R342</f>
        <v>12799.51</v>
      </c>
      <c r="I342" s="3">
        <f>Data!I342+Data!L342+Data!M342+Data!N342+Data!O342+Data!S342</f>
        <v>0</v>
      </c>
      <c r="J342" s="3">
        <f>Data!Q342</f>
        <v>0</v>
      </c>
      <c r="K342" s="3">
        <f>Data!J342+Data!P342</f>
        <v>14982.77</v>
      </c>
      <c r="L342" s="3">
        <f>Data!T342</f>
        <v>0</v>
      </c>
      <c r="M342" s="3">
        <f>ROUND(Data!AD342*$B$3,2)</f>
        <v>45451.69</v>
      </c>
      <c r="N342" s="3">
        <f>Data!U342</f>
        <v>0</v>
      </c>
      <c r="O342" s="3">
        <f>SUM(D342:N342)</f>
        <v>295031.97000000003</v>
      </c>
      <c r="P342" s="3">
        <f t="shared" si="17"/>
        <v>249580.28000000003</v>
      </c>
      <c r="Q342" s="3">
        <f t="shared" si="18"/>
        <v>45451.69</v>
      </c>
    </row>
    <row r="343" spans="1:17" x14ac:dyDescent="0.2">
      <c r="A343" s="18">
        <v>2903</v>
      </c>
      <c r="B343" s="18">
        <v>1</v>
      </c>
      <c r="C343" s="3" t="s">
        <v>649</v>
      </c>
      <c r="D343" s="3">
        <f>ROUND(Data!AC343*$B$3,2)</f>
        <v>243054.55</v>
      </c>
      <c r="E343" s="3">
        <f>MAX(0,Data!AF343-Data!Y343)</f>
        <v>98420.67</v>
      </c>
      <c r="F343" s="3">
        <f>Data!Y343</f>
        <v>78903.95</v>
      </c>
      <c r="G343" s="3">
        <f>Data!X343</f>
        <v>0</v>
      </c>
      <c r="H343" s="3">
        <f>Data!K343+Data!R343</f>
        <v>17446.849999999999</v>
      </c>
      <c r="I343" s="3">
        <f>Data!I343+Data!L343+Data!M343+Data!N343+Data!O343+Data!S343</f>
        <v>0</v>
      </c>
      <c r="J343" s="3">
        <f>Data!Q343</f>
        <v>0</v>
      </c>
      <c r="K343" s="3">
        <f>Data!J343+Data!P343</f>
        <v>0</v>
      </c>
      <c r="L343" s="3">
        <f>Data!T343</f>
        <v>0</v>
      </c>
      <c r="M343" s="3">
        <f>ROUND(Data!AD343*$B$3,2)</f>
        <v>24320.31</v>
      </c>
      <c r="N343" s="3">
        <f>Data!U343</f>
        <v>0</v>
      </c>
      <c r="O343" s="3">
        <f>SUM(D343:N343)</f>
        <v>462146.32999999996</v>
      </c>
      <c r="P343" s="3">
        <f>SUM(D343:L343)</f>
        <v>437826.01999999996</v>
      </c>
      <c r="Q343" s="3">
        <f>SUM(M343:N343)</f>
        <v>24320.31</v>
      </c>
    </row>
    <row r="344" spans="1:17" x14ac:dyDescent="0.2">
      <c r="A344" s="18">
        <v>2904</v>
      </c>
      <c r="B344" s="18">
        <v>1</v>
      </c>
      <c r="C344" s="3" t="s">
        <v>650</v>
      </c>
      <c r="D344" s="3">
        <f>ROUND(Data!AC344*$B$3,2)</f>
        <v>203485.14</v>
      </c>
      <c r="E344" s="3">
        <f>MAX(0,Data!AF344-Data!Y344)</f>
        <v>159309.16999999998</v>
      </c>
      <c r="F344" s="3">
        <f>Data!Y344</f>
        <v>99195.199999999997</v>
      </c>
      <c r="G344" s="3">
        <f>Data!X344</f>
        <v>4004.21</v>
      </c>
      <c r="H344" s="3">
        <f>Data!K344+Data!R344</f>
        <v>18378.79</v>
      </c>
      <c r="I344" s="3">
        <f>Data!I344+Data!L344+Data!M344+Data!N344+Data!O344+Data!S344</f>
        <v>0</v>
      </c>
      <c r="J344" s="3">
        <f>Data!Q344</f>
        <v>0</v>
      </c>
      <c r="K344" s="3">
        <f>Data!J344+Data!P344</f>
        <v>23538.29</v>
      </c>
      <c r="L344" s="3">
        <f>Data!T344</f>
        <v>0</v>
      </c>
      <c r="M344" s="3">
        <f>ROUND(Data!AD344*$B$3,2)</f>
        <v>35965.46</v>
      </c>
      <c r="N344" s="3">
        <f>Data!U344</f>
        <v>0</v>
      </c>
      <c r="O344" s="3">
        <f>SUM(D344:N344)</f>
        <v>543876.26</v>
      </c>
      <c r="P344" s="3">
        <f>SUM(D344:L344)</f>
        <v>507910.8</v>
      </c>
      <c r="Q344" s="3">
        <f>SUM(M344:N344)</f>
        <v>35965.46</v>
      </c>
    </row>
  </sheetData>
  <phoneticPr fontId="0" type="noConversion"/>
  <pageMargins left="0.75" right="0.75" top="1" bottom="1" header="0.5" footer="0.5"/>
  <pageSetup scale="65" fitToHeight="7" orientation="landscape" r:id="rId1"/>
  <headerFooter alignWithMargins="0">
    <oddFooter>&amp;C&amp;P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347"/>
  <sheetViews>
    <sheetView workbookViewId="0">
      <pane xSplit="3" ySplit="7" topLeftCell="D8" activePane="bottomRight" state="frozen"/>
      <selection pane="topRight" activeCell="D1" sqref="D1"/>
      <selection pane="bottomLeft" activeCell="A8" sqref="A8"/>
      <selection pane="bottomRight" activeCell="M9" sqref="M9"/>
    </sheetView>
  </sheetViews>
  <sheetFormatPr defaultColWidth="13.83203125" defaultRowHeight="11.25" x14ac:dyDescent="0.2"/>
  <cols>
    <col min="1" max="1" width="7" style="18" customWidth="1"/>
    <col min="2" max="2" width="6.83203125" style="18" customWidth="1"/>
    <col min="3" max="3" width="18.33203125" style="3" customWidth="1"/>
    <col min="4" max="7" width="15.1640625" style="3" customWidth="1"/>
    <col min="8" max="8" width="16.6640625" style="3" customWidth="1"/>
    <col min="9" max="9" width="14.1640625" style="154" customWidth="1"/>
    <col min="10" max="10" width="14.1640625" style="3" customWidth="1"/>
    <col min="11" max="11" width="13.83203125" style="3" customWidth="1"/>
    <col min="12" max="12" width="13" style="3" customWidth="1"/>
    <col min="13" max="13" width="13.83203125" style="3" customWidth="1"/>
    <col min="14" max="15" width="13" style="3" customWidth="1"/>
    <col min="16" max="18" width="13.83203125" style="3" customWidth="1"/>
    <col min="19" max="24" width="13" style="3" customWidth="1"/>
    <col min="25" max="25" width="14.83203125" style="3" customWidth="1"/>
    <col min="26" max="26" width="14.1640625" style="154" customWidth="1"/>
    <col min="27" max="27" width="14.1640625" style="3" customWidth="1"/>
    <col min="28" max="28" width="14.83203125" style="3" customWidth="1"/>
    <col min="29" max="29" width="16.5" style="3" customWidth="1"/>
    <col min="30" max="31" width="14.83203125" style="3" customWidth="1"/>
    <col min="32" max="32" width="16" style="3" customWidth="1"/>
    <col min="33" max="16384" width="13.83203125" style="3"/>
  </cols>
  <sheetData>
    <row r="1" spans="1:32" x14ac:dyDescent="0.2">
      <c r="A1" s="22" t="str">
        <f>Levy!A3</f>
        <v>Pay 2011 Levy</v>
      </c>
      <c r="AF1" s="148">
        <f>Report!I1</f>
        <v>40795</v>
      </c>
    </row>
    <row r="3" spans="1:32" x14ac:dyDescent="0.2">
      <c r="H3" s="166"/>
    </row>
    <row r="4" spans="1:32" s="9" customFormat="1" ht="33.75" x14ac:dyDescent="0.2">
      <c r="A4" s="156"/>
      <c r="B4" s="156"/>
      <c r="D4" s="9" t="s">
        <v>627</v>
      </c>
      <c r="E4" s="9" t="s">
        <v>349</v>
      </c>
      <c r="F4" s="9" t="s">
        <v>350</v>
      </c>
      <c r="G4" s="9" t="s">
        <v>351</v>
      </c>
      <c r="H4" s="9" t="s">
        <v>338</v>
      </c>
      <c r="I4" s="155" t="s">
        <v>352</v>
      </c>
      <c r="J4" s="9" t="s">
        <v>339</v>
      </c>
      <c r="K4" s="9" t="s">
        <v>464</v>
      </c>
      <c r="L4" s="9" t="s">
        <v>340</v>
      </c>
      <c r="M4" s="9" t="s">
        <v>367</v>
      </c>
      <c r="N4" s="9" t="s">
        <v>354</v>
      </c>
      <c r="O4" s="9" t="s">
        <v>355</v>
      </c>
      <c r="P4" s="9" t="s">
        <v>486</v>
      </c>
      <c r="Q4" s="9" t="s">
        <v>485</v>
      </c>
      <c r="R4" s="9" t="s">
        <v>662</v>
      </c>
      <c r="S4" s="9" t="s">
        <v>353</v>
      </c>
      <c r="T4" s="9" t="s">
        <v>496</v>
      </c>
      <c r="U4" s="9" t="s">
        <v>497</v>
      </c>
      <c r="V4" s="17" t="s">
        <v>483</v>
      </c>
      <c r="W4" s="17" t="s">
        <v>482</v>
      </c>
      <c r="X4" s="9" t="s">
        <v>344</v>
      </c>
      <c r="Y4" s="17" t="s">
        <v>643</v>
      </c>
      <c r="Z4" s="155" t="s">
        <v>341</v>
      </c>
      <c r="AA4" s="17" t="s">
        <v>342</v>
      </c>
      <c r="AB4" s="9" t="s">
        <v>343</v>
      </c>
      <c r="AC4" s="9" t="s">
        <v>509</v>
      </c>
      <c r="AD4" s="9" t="s">
        <v>510</v>
      </c>
      <c r="AE4" s="9" t="str">
        <f>Instructions!P1&amp;" Refer at Shift Percent"</f>
        <v>Pay 2011 Refer at Shift Percent</v>
      </c>
      <c r="AF4" s="9" t="str">
        <f>"Refer (GTR of "&amp;Instructions!P1&amp;" or Pay 2001)"</f>
        <v>Refer (GTR of Pay 2011 or Pay 2001)</v>
      </c>
    </row>
    <row r="5" spans="1:32" x14ac:dyDescent="0.2">
      <c r="V5" s="21"/>
      <c r="W5" s="21"/>
      <c r="Y5" s="21"/>
      <c r="AA5" s="21"/>
      <c r="AC5" s="149"/>
      <c r="AD5" s="149"/>
    </row>
    <row r="6" spans="1:32" x14ac:dyDescent="0.2">
      <c r="C6" s="3" t="s">
        <v>347</v>
      </c>
      <c r="D6" s="3">
        <f>SUM(D8:D344)</f>
        <v>734149608.63000047</v>
      </c>
      <c r="E6" s="3">
        <f t="shared" ref="E6:AF6" si="0">SUM(E8:E344)</f>
        <v>100154820.76999995</v>
      </c>
      <c r="F6" s="3">
        <f t="shared" si="0"/>
        <v>40595498.219999999</v>
      </c>
      <c r="G6" s="3">
        <f t="shared" si="0"/>
        <v>428870309.60000002</v>
      </c>
      <c r="H6" s="3">
        <f t="shared" si="0"/>
        <v>73254627.609999985</v>
      </c>
      <c r="I6" s="154">
        <f t="shared" si="0"/>
        <v>12432359.65</v>
      </c>
      <c r="J6" s="3">
        <f t="shared" si="0"/>
        <v>13066645.469999999</v>
      </c>
      <c r="K6" s="3">
        <f t="shared" si="0"/>
        <v>15062238.359999999</v>
      </c>
      <c r="L6" s="3">
        <f t="shared" si="0"/>
        <v>3262292.91</v>
      </c>
      <c r="M6" s="3">
        <f t="shared" si="0"/>
        <v>12044733.869999999</v>
      </c>
      <c r="N6" s="3">
        <f t="shared" si="0"/>
        <v>175418.21</v>
      </c>
      <c r="O6" s="3">
        <f t="shared" si="0"/>
        <v>266913.05</v>
      </c>
      <c r="P6" s="3">
        <f t="shared" si="0"/>
        <v>1163764.9299999995</v>
      </c>
      <c r="Q6" s="3">
        <f t="shared" si="0"/>
        <v>-172020.46</v>
      </c>
      <c r="R6" s="3">
        <f t="shared" si="0"/>
        <v>-377597.91999999987</v>
      </c>
      <c r="S6" s="3">
        <f t="shared" si="0"/>
        <v>-161326.93000000011</v>
      </c>
      <c r="T6" s="3">
        <f t="shared" si="0"/>
        <v>0</v>
      </c>
      <c r="U6" s="3">
        <f t="shared" si="0"/>
        <v>0</v>
      </c>
      <c r="V6" s="3">
        <f t="shared" si="0"/>
        <v>38100</v>
      </c>
      <c r="W6" s="3">
        <f t="shared" si="0"/>
        <v>88900</v>
      </c>
      <c r="X6" s="3">
        <f t="shared" si="0"/>
        <v>4282529.1899999995</v>
      </c>
      <c r="Y6" s="21">
        <f t="shared" si="0"/>
        <v>114228540.45999998</v>
      </c>
      <c r="Z6" s="154">
        <f>SUM(Z8:Z344)</f>
        <v>0</v>
      </c>
      <c r="AA6" s="3">
        <f>SUM(AA8:AA344)</f>
        <v>0</v>
      </c>
      <c r="AB6" s="3">
        <f t="shared" si="0"/>
        <v>56763421.140000008</v>
      </c>
      <c r="AC6" s="3">
        <f t="shared" si="0"/>
        <v>508946528.53000039</v>
      </c>
      <c r="AD6" s="3">
        <f t="shared" si="0"/>
        <v>73254627.609999985</v>
      </c>
      <c r="AE6" s="3">
        <f t="shared" si="0"/>
        <v>356778193.25999999</v>
      </c>
      <c r="AF6" s="3">
        <f t="shared" si="0"/>
        <v>359731944.82999992</v>
      </c>
    </row>
    <row r="7" spans="1:32" x14ac:dyDescent="0.2">
      <c r="V7" s="21"/>
      <c r="W7" s="21"/>
      <c r="Y7" s="21"/>
      <c r="AA7" s="21"/>
    </row>
    <row r="8" spans="1:32" x14ac:dyDescent="0.2">
      <c r="A8" s="18">
        <v>1</v>
      </c>
      <c r="B8" s="18">
        <v>1</v>
      </c>
      <c r="C8" s="3" t="s">
        <v>6</v>
      </c>
      <c r="D8" s="3">
        <f>Levy!F8</f>
        <v>82.68</v>
      </c>
      <c r="E8" s="3">
        <f>Levy!G8</f>
        <v>353780.58</v>
      </c>
      <c r="F8" s="3">
        <f>Levy!H8</f>
        <v>0</v>
      </c>
      <c r="G8" s="3">
        <f>Levy!I8</f>
        <v>532517.18999999994</v>
      </c>
      <c r="H8" s="3">
        <f>Levy!J8</f>
        <v>5153.4399999999996</v>
      </c>
      <c r="I8" s="154">
        <v>0</v>
      </c>
      <c r="J8" s="19">
        <v>4000</v>
      </c>
      <c r="K8" s="19">
        <v>25985.599999999999</v>
      </c>
      <c r="L8" s="19">
        <v>0</v>
      </c>
      <c r="M8" s="3">
        <v>0</v>
      </c>
      <c r="N8" s="3">
        <v>0</v>
      </c>
      <c r="O8" s="3">
        <v>0</v>
      </c>
      <c r="P8" s="19">
        <v>-595.91</v>
      </c>
      <c r="Q8" s="19">
        <v>0</v>
      </c>
      <c r="R8" s="19">
        <v>-350.77</v>
      </c>
      <c r="S8" s="19">
        <v>0</v>
      </c>
      <c r="T8" s="3">
        <v>0</v>
      </c>
      <c r="U8" s="3">
        <v>0</v>
      </c>
      <c r="V8" s="21">
        <v>0</v>
      </c>
      <c r="W8" s="21">
        <v>0</v>
      </c>
      <c r="X8" s="3">
        <v>0</v>
      </c>
      <c r="Y8" s="21">
        <v>141143.88</v>
      </c>
      <c r="Z8" s="154">
        <f>Levy!U8</f>
        <v>0</v>
      </c>
      <c r="AA8" s="3">
        <f>Levy!V8</f>
        <v>0</v>
      </c>
      <c r="AB8" s="3">
        <f>SUM(I8:T8)</f>
        <v>29038.92</v>
      </c>
      <c r="AC8" s="3">
        <f t="shared" ref="AC8:AC71" si="1">ROUND(MAX(E8+F8+G8-Z8-W8-X8-AB8,0),2)</f>
        <v>857258.85</v>
      </c>
      <c r="AD8" s="3">
        <f t="shared" ref="AD8:AD71" si="2">ROUND(MAX(H8-U8-AA8,0),2)</f>
        <v>5153.4399999999996</v>
      </c>
      <c r="AE8" s="3">
        <f>ROUND(MAX(0,(D8-V8)*Shift11!$B$3),2)</f>
        <v>40.18</v>
      </c>
      <c r="AF8" s="3">
        <f>MAX(AE8,Y8)</f>
        <v>141143.88</v>
      </c>
    </row>
    <row r="9" spans="1:32" x14ac:dyDescent="0.2">
      <c r="A9" s="18">
        <v>1.2</v>
      </c>
      <c r="B9" s="18">
        <v>3</v>
      </c>
      <c r="C9" s="3" t="s">
        <v>7</v>
      </c>
      <c r="D9" s="3">
        <f>Levy!F9</f>
        <v>65578247.200000003</v>
      </c>
      <c r="E9" s="3">
        <f>Levy!G9</f>
        <v>8745449.2300000004</v>
      </c>
      <c r="F9" s="3">
        <f>Levy!H9</f>
        <v>0</v>
      </c>
      <c r="G9" s="3">
        <f>Levy!I9</f>
        <v>33619344.43</v>
      </c>
      <c r="H9" s="3">
        <f>Levy!J9</f>
        <v>4104049.28</v>
      </c>
      <c r="I9" s="154">
        <v>6229979.1500000004</v>
      </c>
      <c r="J9" s="19">
        <v>1500000</v>
      </c>
      <c r="K9" s="19">
        <v>526395.81000000006</v>
      </c>
      <c r="L9" s="19">
        <v>0</v>
      </c>
      <c r="M9" s="3">
        <v>2250000</v>
      </c>
      <c r="N9" s="3">
        <v>110675.86</v>
      </c>
      <c r="O9" s="3">
        <v>288433.25</v>
      </c>
      <c r="P9" s="19">
        <v>257181.65</v>
      </c>
      <c r="Q9" s="19">
        <v>0</v>
      </c>
      <c r="R9" s="19">
        <v>3342.21</v>
      </c>
      <c r="S9" s="19">
        <v>-11400</v>
      </c>
      <c r="T9" s="3">
        <v>0</v>
      </c>
      <c r="U9" s="3">
        <v>0</v>
      </c>
      <c r="V9" s="21">
        <v>0</v>
      </c>
      <c r="W9" s="21">
        <v>0</v>
      </c>
      <c r="X9" s="3">
        <v>1205612.71</v>
      </c>
      <c r="Y9" s="21">
        <v>10049626.5</v>
      </c>
      <c r="Z9" s="154">
        <f>Levy!U9</f>
        <v>0</v>
      </c>
      <c r="AA9" s="3">
        <f>Levy!V9</f>
        <v>0</v>
      </c>
      <c r="AB9" s="3">
        <f t="shared" ref="AB9:AB71" si="3">SUM(I9:T9)</f>
        <v>11154607.930000002</v>
      </c>
      <c r="AC9" s="3">
        <f t="shared" si="1"/>
        <v>30004573.02</v>
      </c>
      <c r="AD9" s="3">
        <f t="shared" si="2"/>
        <v>4104049.28</v>
      </c>
      <c r="AE9" s="3">
        <f>ROUND(MAX(0,(D9-V9)*Shift11!$B$3),2)</f>
        <v>31871028.140000001</v>
      </c>
      <c r="AF9" s="3">
        <f t="shared" ref="AF9:AF71" si="4">MAX(AE9,Y9)</f>
        <v>31871028.140000001</v>
      </c>
    </row>
    <row r="10" spans="1:32" x14ac:dyDescent="0.2">
      <c r="A10" s="18">
        <v>2</v>
      </c>
      <c r="B10" s="18">
        <v>1</v>
      </c>
      <c r="C10" s="3" t="s">
        <v>8</v>
      </c>
      <c r="D10" s="3">
        <f>Levy!F10</f>
        <v>0</v>
      </c>
      <c r="E10" s="3">
        <f>Levy!G10</f>
        <v>31903.83</v>
      </c>
      <c r="F10" s="3">
        <f>Levy!H10</f>
        <v>0</v>
      </c>
      <c r="G10" s="3">
        <f>Levy!I10</f>
        <v>79442.22</v>
      </c>
      <c r="H10" s="3">
        <f>Levy!J10</f>
        <v>18913.3</v>
      </c>
      <c r="I10" s="154">
        <v>0</v>
      </c>
      <c r="J10" s="19">
        <v>3843.77</v>
      </c>
      <c r="K10" s="19">
        <v>10000</v>
      </c>
      <c r="L10" s="19">
        <v>0</v>
      </c>
      <c r="M10" s="3">
        <v>0</v>
      </c>
      <c r="N10" s="3">
        <v>0</v>
      </c>
      <c r="O10" s="3">
        <v>0</v>
      </c>
      <c r="P10" s="19">
        <v>548.07000000000005</v>
      </c>
      <c r="Q10" s="19">
        <v>0</v>
      </c>
      <c r="R10" s="19">
        <v>0</v>
      </c>
      <c r="S10" s="19">
        <v>0</v>
      </c>
      <c r="T10" s="3">
        <v>0</v>
      </c>
      <c r="U10" s="3">
        <v>0</v>
      </c>
      <c r="V10" s="21">
        <v>0</v>
      </c>
      <c r="W10" s="21">
        <v>0</v>
      </c>
      <c r="X10" s="3">
        <v>0</v>
      </c>
      <c r="Y10" s="21">
        <v>0</v>
      </c>
      <c r="Z10" s="154">
        <f>Levy!U10</f>
        <v>0</v>
      </c>
      <c r="AA10" s="3">
        <f>Levy!V10</f>
        <v>0</v>
      </c>
      <c r="AB10" s="3">
        <f t="shared" si="3"/>
        <v>14391.84</v>
      </c>
      <c r="AC10" s="3">
        <f t="shared" si="1"/>
        <v>96954.21</v>
      </c>
      <c r="AD10" s="3">
        <f t="shared" si="2"/>
        <v>18913.3</v>
      </c>
      <c r="AE10" s="3">
        <f>ROUND(MAX(0,(D10-V10)*Shift11!$B$3),2)</f>
        <v>0</v>
      </c>
      <c r="AF10" s="3">
        <f t="shared" si="4"/>
        <v>0</v>
      </c>
    </row>
    <row r="11" spans="1:32" x14ac:dyDescent="0.2">
      <c r="A11" s="18">
        <v>4</v>
      </c>
      <c r="B11" s="18">
        <v>1</v>
      </c>
      <c r="C11" s="3" t="s">
        <v>9</v>
      </c>
      <c r="D11" s="3">
        <f>Levy!F11</f>
        <v>674.24</v>
      </c>
      <c r="E11" s="3">
        <f>Levy!G11</f>
        <v>115531.99</v>
      </c>
      <c r="F11" s="3">
        <f>Levy!H11</f>
        <v>0</v>
      </c>
      <c r="G11" s="3">
        <f>Levy!I11</f>
        <v>269632.63</v>
      </c>
      <c r="H11" s="3">
        <f>Levy!J11</f>
        <v>52116.06</v>
      </c>
      <c r="I11" s="154">
        <v>0</v>
      </c>
      <c r="J11" s="19">
        <v>10000</v>
      </c>
      <c r="K11" s="19">
        <v>10000</v>
      </c>
      <c r="L11" s="19">
        <v>0</v>
      </c>
      <c r="M11" s="3">
        <v>0</v>
      </c>
      <c r="N11" s="3">
        <v>0</v>
      </c>
      <c r="O11" s="3">
        <v>0</v>
      </c>
      <c r="P11" s="19">
        <v>10099.799999999999</v>
      </c>
      <c r="Q11" s="19">
        <v>0</v>
      </c>
      <c r="R11" s="19">
        <v>0</v>
      </c>
      <c r="S11" s="19">
        <v>0</v>
      </c>
      <c r="T11" s="3">
        <v>0</v>
      </c>
      <c r="U11" s="3">
        <v>0</v>
      </c>
      <c r="V11" s="21">
        <v>0</v>
      </c>
      <c r="W11" s="21">
        <v>0</v>
      </c>
      <c r="X11" s="3">
        <v>0</v>
      </c>
      <c r="Y11" s="21">
        <v>51784.65</v>
      </c>
      <c r="Z11" s="154">
        <f>Levy!U11</f>
        <v>0</v>
      </c>
      <c r="AA11" s="3">
        <f>Levy!V11</f>
        <v>0</v>
      </c>
      <c r="AB11" s="3">
        <f t="shared" si="3"/>
        <v>30099.8</v>
      </c>
      <c r="AC11" s="3">
        <f t="shared" si="1"/>
        <v>355064.82</v>
      </c>
      <c r="AD11" s="3">
        <f t="shared" si="2"/>
        <v>52116.06</v>
      </c>
      <c r="AE11" s="3">
        <f>ROUND(MAX(0,(D11-V11)*Shift11!$B$3),2)</f>
        <v>327.68</v>
      </c>
      <c r="AF11" s="3">
        <f t="shared" si="4"/>
        <v>51784.65</v>
      </c>
    </row>
    <row r="12" spans="1:32" x14ac:dyDescent="0.2">
      <c r="A12" s="18">
        <v>6</v>
      </c>
      <c r="B12" s="18">
        <v>3</v>
      </c>
      <c r="C12" s="3" t="s">
        <v>10</v>
      </c>
      <c r="D12" s="3">
        <f>Levy!F12</f>
        <v>3203250</v>
      </c>
      <c r="E12" s="3">
        <f>Levy!G12</f>
        <v>539388</v>
      </c>
      <c r="F12" s="3">
        <f>Levy!H12</f>
        <v>640087</v>
      </c>
      <c r="G12" s="3">
        <f>Levy!I12</f>
        <v>1589109</v>
      </c>
      <c r="H12" s="3">
        <f>Levy!J12</f>
        <v>302251</v>
      </c>
      <c r="I12" s="154">
        <v>0</v>
      </c>
      <c r="J12" s="19">
        <v>48615</v>
      </c>
      <c r="K12" s="19">
        <v>62274.400000000001</v>
      </c>
      <c r="L12" s="19">
        <v>0</v>
      </c>
      <c r="M12" s="3">
        <v>0</v>
      </c>
      <c r="N12" s="3">
        <v>0</v>
      </c>
      <c r="O12" s="3">
        <v>0</v>
      </c>
      <c r="P12" s="19">
        <v>-17232.66</v>
      </c>
      <c r="Q12" s="19">
        <v>0</v>
      </c>
      <c r="R12" s="19">
        <v>-1894.4</v>
      </c>
      <c r="S12" s="19">
        <v>0</v>
      </c>
      <c r="T12" s="3">
        <v>0</v>
      </c>
      <c r="U12" s="3">
        <v>0</v>
      </c>
      <c r="V12" s="21">
        <v>0</v>
      </c>
      <c r="W12" s="21">
        <v>0</v>
      </c>
      <c r="X12" s="3">
        <v>0</v>
      </c>
      <c r="Y12" s="21">
        <v>360711.07</v>
      </c>
      <c r="Z12" s="154">
        <f>Levy!U12</f>
        <v>0</v>
      </c>
      <c r="AA12" s="3">
        <f>Levy!V12</f>
        <v>0</v>
      </c>
      <c r="AB12" s="3">
        <f t="shared" si="3"/>
        <v>91762.34</v>
      </c>
      <c r="AC12" s="3">
        <f t="shared" si="1"/>
        <v>2676821.66</v>
      </c>
      <c r="AD12" s="3">
        <f t="shared" si="2"/>
        <v>302251</v>
      </c>
      <c r="AE12" s="3">
        <f>ROUND(MAX(0,(D12-V12)*Shift11!$B$3),2)</f>
        <v>1556779.5</v>
      </c>
      <c r="AF12" s="3">
        <f t="shared" si="4"/>
        <v>1556779.5</v>
      </c>
    </row>
    <row r="13" spans="1:32" x14ac:dyDescent="0.2">
      <c r="A13" s="18">
        <v>11</v>
      </c>
      <c r="B13" s="18">
        <v>1</v>
      </c>
      <c r="C13" s="3" t="s">
        <v>11</v>
      </c>
      <c r="D13" s="3">
        <f>Levy!F13</f>
        <v>50454873.270000003</v>
      </c>
      <c r="E13" s="3">
        <f>Levy!G13</f>
        <v>4370826.51</v>
      </c>
      <c r="F13" s="3">
        <f>Levy!H13</f>
        <v>0</v>
      </c>
      <c r="G13" s="3">
        <f>Levy!I13</f>
        <v>21735864.23</v>
      </c>
      <c r="H13" s="3">
        <f>Levy!J13</f>
        <v>3260433.24</v>
      </c>
      <c r="I13" s="154">
        <v>0</v>
      </c>
      <c r="J13" s="19">
        <v>500000</v>
      </c>
      <c r="K13" s="19">
        <v>817620</v>
      </c>
      <c r="L13" s="19">
        <v>0</v>
      </c>
      <c r="M13" s="3">
        <v>0</v>
      </c>
      <c r="N13" s="3">
        <v>0</v>
      </c>
      <c r="O13" s="3">
        <v>0</v>
      </c>
      <c r="P13" s="19">
        <v>135663.96</v>
      </c>
      <c r="Q13" s="19">
        <v>0</v>
      </c>
      <c r="R13" s="19">
        <v>-13829.6</v>
      </c>
      <c r="S13" s="19">
        <v>0</v>
      </c>
      <c r="T13" s="3">
        <v>0</v>
      </c>
      <c r="U13" s="3">
        <v>0</v>
      </c>
      <c r="V13" s="21">
        <v>0</v>
      </c>
      <c r="W13" s="21">
        <v>0</v>
      </c>
      <c r="X13" s="3">
        <v>197692.1</v>
      </c>
      <c r="Y13" s="21">
        <v>3515884.7</v>
      </c>
      <c r="Z13" s="154">
        <f>Levy!U13</f>
        <v>0</v>
      </c>
      <c r="AA13" s="3">
        <f>Levy!V13</f>
        <v>0</v>
      </c>
      <c r="AB13" s="3">
        <f t="shared" si="3"/>
        <v>1439454.3599999999</v>
      </c>
      <c r="AC13" s="3">
        <f t="shared" si="1"/>
        <v>24469544.280000001</v>
      </c>
      <c r="AD13" s="3">
        <f t="shared" si="2"/>
        <v>3260433.24</v>
      </c>
      <c r="AE13" s="3">
        <f>ROUND(MAX(0,(D13-V13)*Shift11!$B$3),2)</f>
        <v>24521068.41</v>
      </c>
      <c r="AF13" s="3">
        <f t="shared" si="4"/>
        <v>24521068.41</v>
      </c>
    </row>
    <row r="14" spans="1:32" x14ac:dyDescent="0.2">
      <c r="A14" s="18">
        <v>12</v>
      </c>
      <c r="B14" s="18">
        <v>1</v>
      </c>
      <c r="C14" s="3" t="s">
        <v>12</v>
      </c>
      <c r="D14" s="3">
        <f>Levy!F14</f>
        <v>4247476.97</v>
      </c>
      <c r="E14" s="3">
        <f>Levy!G14</f>
        <v>934744.97</v>
      </c>
      <c r="F14" s="3">
        <f>Levy!H14</f>
        <v>0</v>
      </c>
      <c r="G14" s="3">
        <f>Levy!I14</f>
        <v>2541150.14</v>
      </c>
      <c r="H14" s="3">
        <f>Levy!J14</f>
        <v>463676.71</v>
      </c>
      <c r="I14" s="154">
        <v>0</v>
      </c>
      <c r="J14" s="19">
        <v>100000</v>
      </c>
      <c r="K14" s="19">
        <v>98681.4</v>
      </c>
      <c r="L14" s="19">
        <v>0</v>
      </c>
      <c r="M14" s="3">
        <v>0</v>
      </c>
      <c r="N14" s="3">
        <v>0</v>
      </c>
      <c r="O14" s="3">
        <v>0</v>
      </c>
      <c r="P14" s="19">
        <v>31350.46</v>
      </c>
      <c r="Q14" s="19">
        <v>0</v>
      </c>
      <c r="R14" s="19">
        <v>0</v>
      </c>
      <c r="S14" s="19">
        <v>0</v>
      </c>
      <c r="T14" s="3">
        <v>0</v>
      </c>
      <c r="U14" s="3">
        <v>0</v>
      </c>
      <c r="V14" s="21">
        <v>0</v>
      </c>
      <c r="W14" s="21">
        <v>0</v>
      </c>
      <c r="X14" s="3">
        <v>16533.75</v>
      </c>
      <c r="Y14" s="21">
        <v>320094.52</v>
      </c>
      <c r="Z14" s="154">
        <f>Levy!U14</f>
        <v>0</v>
      </c>
      <c r="AA14" s="3">
        <f>Levy!V14</f>
        <v>0</v>
      </c>
      <c r="AB14" s="3">
        <f t="shared" si="3"/>
        <v>230031.86</v>
      </c>
      <c r="AC14" s="3">
        <f t="shared" si="1"/>
        <v>3229329.5</v>
      </c>
      <c r="AD14" s="3">
        <f t="shared" si="2"/>
        <v>463676.71</v>
      </c>
      <c r="AE14" s="3">
        <f>ROUND(MAX(0,(D14-V14)*Shift11!$B$3),2)</f>
        <v>2064273.81</v>
      </c>
      <c r="AF14" s="3">
        <f t="shared" si="4"/>
        <v>2064273.81</v>
      </c>
    </row>
    <row r="15" spans="1:32" x14ac:dyDescent="0.2">
      <c r="A15" s="18">
        <v>13</v>
      </c>
      <c r="B15" s="18">
        <v>1</v>
      </c>
      <c r="C15" s="3" t="s">
        <v>13</v>
      </c>
      <c r="D15" s="3">
        <f>Levy!F15</f>
        <v>3288637.86</v>
      </c>
      <c r="E15" s="3">
        <f>Levy!G15</f>
        <v>346840.3</v>
      </c>
      <c r="F15" s="3">
        <f>Levy!H15</f>
        <v>0</v>
      </c>
      <c r="G15" s="3">
        <f>Levy!I15</f>
        <v>1713397.29</v>
      </c>
      <c r="H15" s="3">
        <f>Levy!J15</f>
        <v>287096.98</v>
      </c>
      <c r="I15" s="154">
        <v>0</v>
      </c>
      <c r="J15" s="19">
        <v>20000</v>
      </c>
      <c r="K15" s="19">
        <v>53438.400000000001</v>
      </c>
      <c r="L15" s="19">
        <v>0</v>
      </c>
      <c r="M15" s="3">
        <v>0</v>
      </c>
      <c r="N15" s="3">
        <v>0</v>
      </c>
      <c r="O15" s="3">
        <v>0</v>
      </c>
      <c r="P15" s="19">
        <v>19764.669999999998</v>
      </c>
      <c r="Q15" s="19">
        <v>0</v>
      </c>
      <c r="R15" s="19">
        <v>-1286.4000000000001</v>
      </c>
      <c r="S15" s="19">
        <v>0</v>
      </c>
      <c r="T15" s="3">
        <v>0</v>
      </c>
      <c r="U15" s="3">
        <v>0</v>
      </c>
      <c r="V15" s="21">
        <v>0</v>
      </c>
      <c r="W15" s="21">
        <v>0</v>
      </c>
      <c r="X15" s="3">
        <v>0</v>
      </c>
      <c r="Y15" s="21">
        <v>848958.71</v>
      </c>
      <c r="Z15" s="154">
        <f>Levy!U15</f>
        <v>0</v>
      </c>
      <c r="AA15" s="3">
        <f>Levy!V15</f>
        <v>0</v>
      </c>
      <c r="AB15" s="3">
        <f t="shared" si="3"/>
        <v>91916.67</v>
      </c>
      <c r="AC15" s="3">
        <f t="shared" si="1"/>
        <v>1968320.92</v>
      </c>
      <c r="AD15" s="3">
        <f t="shared" si="2"/>
        <v>287096.98</v>
      </c>
      <c r="AE15" s="3">
        <f>ROUND(MAX(0,(D15-V15)*Shift11!$B$3),2)</f>
        <v>1598278</v>
      </c>
      <c r="AF15" s="3">
        <f t="shared" si="4"/>
        <v>1598278</v>
      </c>
    </row>
    <row r="16" spans="1:32" x14ac:dyDescent="0.2">
      <c r="A16" s="18">
        <v>14</v>
      </c>
      <c r="B16" s="18">
        <v>1</v>
      </c>
      <c r="C16" s="3" t="s">
        <v>14</v>
      </c>
      <c r="D16" s="3">
        <f>Levy!F16</f>
        <v>2852552.42</v>
      </c>
      <c r="E16" s="3">
        <f>Levy!G16</f>
        <v>374692.1</v>
      </c>
      <c r="F16" s="3">
        <f>Levy!H16</f>
        <v>820454</v>
      </c>
      <c r="G16" s="3">
        <f>Levy!I16</f>
        <v>1480611.06</v>
      </c>
      <c r="H16" s="3">
        <f>Levy!J16</f>
        <v>451361.41</v>
      </c>
      <c r="I16" s="154">
        <v>0</v>
      </c>
      <c r="J16" s="19">
        <v>65000</v>
      </c>
      <c r="K16" s="19">
        <v>58793.07</v>
      </c>
      <c r="L16" s="19">
        <v>0</v>
      </c>
      <c r="M16" s="3">
        <v>0</v>
      </c>
      <c r="N16" s="3">
        <v>0</v>
      </c>
      <c r="O16" s="3">
        <v>0</v>
      </c>
      <c r="P16" s="19">
        <v>16860.439999999999</v>
      </c>
      <c r="Q16" s="19">
        <v>0</v>
      </c>
      <c r="R16" s="19">
        <v>0</v>
      </c>
      <c r="S16" s="19">
        <v>0</v>
      </c>
      <c r="T16" s="3">
        <v>0</v>
      </c>
      <c r="U16" s="3">
        <v>0</v>
      </c>
      <c r="V16" s="21">
        <v>0</v>
      </c>
      <c r="W16" s="21">
        <v>0</v>
      </c>
      <c r="X16" s="3">
        <v>0</v>
      </c>
      <c r="Y16" s="21">
        <v>468605.33</v>
      </c>
      <c r="Z16" s="154">
        <f>Levy!U16</f>
        <v>0</v>
      </c>
      <c r="AA16" s="3">
        <f>Levy!V16</f>
        <v>0</v>
      </c>
      <c r="AB16" s="3">
        <f t="shared" si="3"/>
        <v>140653.51</v>
      </c>
      <c r="AC16" s="3">
        <f t="shared" si="1"/>
        <v>2535103.65</v>
      </c>
      <c r="AD16" s="3">
        <f t="shared" si="2"/>
        <v>451361.41</v>
      </c>
      <c r="AE16" s="3">
        <f>ROUND(MAX(0,(D16-V16)*Shift11!$B$3),2)</f>
        <v>1386340.48</v>
      </c>
      <c r="AF16" s="3">
        <f t="shared" si="4"/>
        <v>1386340.48</v>
      </c>
    </row>
    <row r="17" spans="1:32" x14ac:dyDescent="0.2">
      <c r="A17" s="18">
        <v>15</v>
      </c>
      <c r="B17" s="18">
        <v>1</v>
      </c>
      <c r="C17" s="3" t="s">
        <v>15</v>
      </c>
      <c r="D17" s="3">
        <f>Levy!F17</f>
        <v>2072491.15</v>
      </c>
      <c r="E17" s="3">
        <f>Levy!G17</f>
        <v>916918.25</v>
      </c>
      <c r="F17" s="3">
        <f>Levy!H17</f>
        <v>0</v>
      </c>
      <c r="G17" s="3">
        <f>Levy!I17</f>
        <v>2200892.62</v>
      </c>
      <c r="H17" s="3">
        <f>Levy!J17</f>
        <v>401120.65</v>
      </c>
      <c r="I17" s="154">
        <v>0</v>
      </c>
      <c r="J17" s="19">
        <v>113000</v>
      </c>
      <c r="K17" s="19">
        <v>116740</v>
      </c>
      <c r="L17" s="19">
        <v>0</v>
      </c>
      <c r="M17" s="3">
        <v>0</v>
      </c>
      <c r="N17" s="3">
        <v>0</v>
      </c>
      <c r="O17" s="3">
        <v>0</v>
      </c>
      <c r="P17" s="19">
        <v>910.4</v>
      </c>
      <c r="Q17" s="19">
        <v>0</v>
      </c>
      <c r="R17" s="19">
        <v>-10364</v>
      </c>
      <c r="S17" s="19">
        <v>0</v>
      </c>
      <c r="T17" s="3">
        <v>0</v>
      </c>
      <c r="U17" s="3">
        <v>0</v>
      </c>
      <c r="V17" s="21">
        <v>0</v>
      </c>
      <c r="W17" s="21">
        <v>0</v>
      </c>
      <c r="X17" s="3">
        <v>0</v>
      </c>
      <c r="Y17" s="21">
        <v>288492.78999999998</v>
      </c>
      <c r="Z17" s="154">
        <f>Levy!U17</f>
        <v>0</v>
      </c>
      <c r="AA17" s="3">
        <f>Levy!V17</f>
        <v>0</v>
      </c>
      <c r="AB17" s="3">
        <f t="shared" si="3"/>
        <v>220286.4</v>
      </c>
      <c r="AC17" s="3">
        <f t="shared" si="1"/>
        <v>2897524.47</v>
      </c>
      <c r="AD17" s="3">
        <f t="shared" si="2"/>
        <v>401120.65</v>
      </c>
      <c r="AE17" s="3">
        <f>ROUND(MAX(0,(D17-V17)*Shift11!$B$3),2)</f>
        <v>1007230.7</v>
      </c>
      <c r="AF17" s="3">
        <f t="shared" si="4"/>
        <v>1007230.7</v>
      </c>
    </row>
    <row r="18" spans="1:32" x14ac:dyDescent="0.2">
      <c r="A18" s="18">
        <v>16</v>
      </c>
      <c r="B18" s="18">
        <v>1</v>
      </c>
      <c r="C18" s="3" t="s">
        <v>16</v>
      </c>
      <c r="D18" s="3">
        <f>Levy!F18</f>
        <v>4571087.76</v>
      </c>
      <c r="E18" s="3">
        <f>Levy!G18</f>
        <v>928233.15</v>
      </c>
      <c r="F18" s="3">
        <f>Levy!H18</f>
        <v>0</v>
      </c>
      <c r="G18" s="3">
        <f>Levy!I18</f>
        <v>3225149.7</v>
      </c>
      <c r="H18" s="3">
        <f>Levy!J18</f>
        <v>424326.86</v>
      </c>
      <c r="I18" s="154">
        <v>0</v>
      </c>
      <c r="J18" s="19">
        <v>75000</v>
      </c>
      <c r="K18" s="19">
        <v>77822.91</v>
      </c>
      <c r="L18" s="19">
        <v>0</v>
      </c>
      <c r="M18" s="3">
        <v>0</v>
      </c>
      <c r="N18" s="3">
        <v>0</v>
      </c>
      <c r="O18" s="3">
        <v>0</v>
      </c>
      <c r="P18" s="19">
        <v>-24254.51</v>
      </c>
      <c r="Q18" s="19">
        <v>0</v>
      </c>
      <c r="R18" s="19">
        <v>-9347.4500000000007</v>
      </c>
      <c r="S18" s="19">
        <v>0</v>
      </c>
      <c r="T18" s="3">
        <v>0</v>
      </c>
      <c r="U18" s="3">
        <v>0</v>
      </c>
      <c r="V18" s="21">
        <v>0</v>
      </c>
      <c r="W18" s="21">
        <v>0</v>
      </c>
      <c r="X18" s="3">
        <v>73286.44</v>
      </c>
      <c r="Y18" s="21">
        <v>804793.86</v>
      </c>
      <c r="Z18" s="154">
        <f>Levy!U18</f>
        <v>0</v>
      </c>
      <c r="AA18" s="3">
        <f>Levy!V18</f>
        <v>0</v>
      </c>
      <c r="AB18" s="3">
        <f t="shared" si="3"/>
        <v>119220.95000000001</v>
      </c>
      <c r="AC18" s="3">
        <f t="shared" si="1"/>
        <v>3960875.46</v>
      </c>
      <c r="AD18" s="3">
        <f t="shared" si="2"/>
        <v>424326.86</v>
      </c>
      <c r="AE18" s="3">
        <f>ROUND(MAX(0,(D18-V18)*Shift11!$B$3),2)</f>
        <v>2221548.65</v>
      </c>
      <c r="AF18" s="3">
        <f t="shared" si="4"/>
        <v>2221548.65</v>
      </c>
    </row>
    <row r="19" spans="1:32" x14ac:dyDescent="0.2">
      <c r="A19" s="18">
        <v>22</v>
      </c>
      <c r="B19" s="18">
        <v>1</v>
      </c>
      <c r="C19" s="3" t="s">
        <v>17</v>
      </c>
      <c r="D19" s="3">
        <f>Levy!F19</f>
        <v>1352181.9</v>
      </c>
      <c r="E19" s="3">
        <f>Levy!G19</f>
        <v>392084.49</v>
      </c>
      <c r="F19" s="3">
        <f>Levy!H19</f>
        <v>0</v>
      </c>
      <c r="G19" s="3">
        <f>Levy!I19</f>
        <v>1111466.99</v>
      </c>
      <c r="H19" s="3">
        <f>Levy!J19</f>
        <v>198652.23</v>
      </c>
      <c r="I19" s="154">
        <v>0</v>
      </c>
      <c r="J19" s="19">
        <v>25000</v>
      </c>
      <c r="K19" s="19">
        <v>48230.37</v>
      </c>
      <c r="L19" s="19">
        <v>0</v>
      </c>
      <c r="M19" s="3">
        <v>0</v>
      </c>
      <c r="N19" s="3">
        <v>0</v>
      </c>
      <c r="O19" s="3">
        <v>0</v>
      </c>
      <c r="P19" s="19">
        <v>-8766.9699999999993</v>
      </c>
      <c r="Q19" s="19">
        <v>0</v>
      </c>
      <c r="R19" s="19">
        <v>0</v>
      </c>
      <c r="S19" s="19">
        <v>0</v>
      </c>
      <c r="T19" s="3">
        <v>0</v>
      </c>
      <c r="U19" s="3">
        <v>0</v>
      </c>
      <c r="V19" s="21">
        <v>0</v>
      </c>
      <c r="W19" s="21">
        <v>0</v>
      </c>
      <c r="X19" s="3">
        <v>0</v>
      </c>
      <c r="Y19" s="21">
        <v>133298.49</v>
      </c>
      <c r="Z19" s="154">
        <f>Levy!U19</f>
        <v>0</v>
      </c>
      <c r="AA19" s="3">
        <f>Levy!V19</f>
        <v>0</v>
      </c>
      <c r="AB19" s="3">
        <f t="shared" si="3"/>
        <v>64463.399999999994</v>
      </c>
      <c r="AC19" s="3">
        <f t="shared" si="1"/>
        <v>1439088.08</v>
      </c>
      <c r="AD19" s="3">
        <f t="shared" si="2"/>
        <v>198652.23</v>
      </c>
      <c r="AE19" s="3">
        <f>ROUND(MAX(0,(D19-V19)*Shift11!$B$3),2)</f>
        <v>657160.4</v>
      </c>
      <c r="AF19" s="3">
        <f t="shared" si="4"/>
        <v>657160.4</v>
      </c>
    </row>
    <row r="20" spans="1:32" x14ac:dyDescent="0.2">
      <c r="A20" s="18">
        <v>23</v>
      </c>
      <c r="B20" s="18">
        <v>1</v>
      </c>
      <c r="C20" s="3" t="s">
        <v>18</v>
      </c>
      <c r="D20" s="3">
        <f>Levy!F20</f>
        <v>975291.82</v>
      </c>
      <c r="E20" s="3">
        <f>Levy!G20</f>
        <v>96293.54</v>
      </c>
      <c r="F20" s="3">
        <f>Levy!H20</f>
        <v>0</v>
      </c>
      <c r="G20" s="3">
        <f>Levy!I20</f>
        <v>310925.21999999997</v>
      </c>
      <c r="H20" s="3">
        <f>Levy!J20</f>
        <v>83237.89</v>
      </c>
      <c r="I20" s="154">
        <v>0</v>
      </c>
      <c r="J20" s="19">
        <v>10000</v>
      </c>
      <c r="K20" s="19">
        <v>24222.38</v>
      </c>
      <c r="L20" s="19">
        <v>0</v>
      </c>
      <c r="M20" s="3">
        <v>0</v>
      </c>
      <c r="N20" s="3">
        <v>0</v>
      </c>
      <c r="O20" s="3">
        <v>0</v>
      </c>
      <c r="P20" s="19">
        <v>0</v>
      </c>
      <c r="Q20" s="19">
        <v>0</v>
      </c>
      <c r="R20" s="19">
        <v>0</v>
      </c>
      <c r="S20" s="19">
        <v>0</v>
      </c>
      <c r="T20" s="3">
        <v>0</v>
      </c>
      <c r="U20" s="3">
        <v>0</v>
      </c>
      <c r="V20" s="21">
        <v>0</v>
      </c>
      <c r="W20" s="21">
        <v>0</v>
      </c>
      <c r="X20" s="3">
        <v>0</v>
      </c>
      <c r="Y20" s="21">
        <v>0</v>
      </c>
      <c r="Z20" s="154">
        <f>Levy!U20</f>
        <v>0</v>
      </c>
      <c r="AA20" s="3">
        <f>Levy!V20</f>
        <v>0</v>
      </c>
      <c r="AB20" s="3">
        <f t="shared" si="3"/>
        <v>34222.380000000005</v>
      </c>
      <c r="AC20" s="3">
        <f t="shared" si="1"/>
        <v>372996.38</v>
      </c>
      <c r="AD20" s="3">
        <f t="shared" si="2"/>
        <v>83237.89</v>
      </c>
      <c r="AE20" s="3">
        <f>ROUND(MAX(0,(D20-V20)*Shift11!$B$3),2)</f>
        <v>473991.82</v>
      </c>
      <c r="AF20" s="3">
        <f t="shared" si="4"/>
        <v>473991.82</v>
      </c>
    </row>
    <row r="21" spans="1:32" x14ac:dyDescent="0.2">
      <c r="A21" s="18">
        <v>25</v>
      </c>
      <c r="B21" s="18">
        <v>1</v>
      </c>
      <c r="C21" s="3" t="s">
        <v>348</v>
      </c>
      <c r="D21" s="3">
        <f>Levy!F21</f>
        <v>0</v>
      </c>
      <c r="E21" s="3">
        <f>Levy!G21</f>
        <v>0</v>
      </c>
      <c r="F21" s="3">
        <f>Levy!H21</f>
        <v>0</v>
      </c>
      <c r="G21" s="3">
        <f>Levy!I21</f>
        <v>0</v>
      </c>
      <c r="H21" s="3">
        <f>Levy!J21</f>
        <v>0</v>
      </c>
      <c r="I21" s="154">
        <v>0</v>
      </c>
      <c r="J21" s="19">
        <v>0</v>
      </c>
      <c r="K21" s="19">
        <v>0</v>
      </c>
      <c r="L21" s="19">
        <v>0</v>
      </c>
      <c r="M21" s="3">
        <v>0</v>
      </c>
      <c r="N21" s="3">
        <v>0</v>
      </c>
      <c r="O21" s="3">
        <v>0</v>
      </c>
      <c r="P21" s="19">
        <v>0</v>
      </c>
      <c r="Q21" s="19">
        <v>0</v>
      </c>
      <c r="R21" s="19">
        <v>0</v>
      </c>
      <c r="S21" s="19">
        <v>0</v>
      </c>
      <c r="T21" s="3">
        <v>0</v>
      </c>
      <c r="U21" s="3">
        <v>0</v>
      </c>
      <c r="V21" s="21">
        <v>0</v>
      </c>
      <c r="W21" s="21">
        <v>0</v>
      </c>
      <c r="X21" s="3">
        <v>0</v>
      </c>
      <c r="Y21" s="21">
        <v>0</v>
      </c>
      <c r="Z21" s="154">
        <f>Levy!U21</f>
        <v>0</v>
      </c>
      <c r="AA21" s="3">
        <f>Levy!V21</f>
        <v>0</v>
      </c>
      <c r="AB21" s="3">
        <f t="shared" si="3"/>
        <v>0</v>
      </c>
      <c r="AC21" s="3">
        <f t="shared" si="1"/>
        <v>0</v>
      </c>
      <c r="AD21" s="3">
        <f t="shared" si="2"/>
        <v>0</v>
      </c>
      <c r="AE21" s="3">
        <f>ROUND(MAX(0,(D21-V21)*Shift11!$B$3),2)</f>
        <v>0</v>
      </c>
      <c r="AF21" s="3">
        <f t="shared" si="4"/>
        <v>0</v>
      </c>
    </row>
    <row r="22" spans="1:32" x14ac:dyDescent="0.2">
      <c r="A22" s="18">
        <v>31</v>
      </c>
      <c r="B22" s="18">
        <v>1</v>
      </c>
      <c r="C22" s="3" t="s">
        <v>19</v>
      </c>
      <c r="D22" s="3">
        <f>Levy!F22</f>
        <v>2249947.2999999998</v>
      </c>
      <c r="E22" s="3">
        <f>Levy!G22</f>
        <v>485249</v>
      </c>
      <c r="F22" s="3">
        <f>Levy!H22</f>
        <v>0</v>
      </c>
      <c r="G22" s="3">
        <f>Levy!I22</f>
        <v>1626562.43</v>
      </c>
      <c r="H22" s="3">
        <f>Levy!J22</f>
        <v>360382.89</v>
      </c>
      <c r="I22" s="154">
        <v>0</v>
      </c>
      <c r="J22" s="19">
        <v>30000</v>
      </c>
      <c r="K22" s="19">
        <v>95528.71</v>
      </c>
      <c r="L22" s="19">
        <v>0</v>
      </c>
      <c r="M22" s="3">
        <v>0</v>
      </c>
      <c r="N22" s="3">
        <v>0</v>
      </c>
      <c r="O22" s="3">
        <v>0</v>
      </c>
      <c r="P22" s="19">
        <v>4695.91</v>
      </c>
      <c r="Q22" s="19">
        <v>0</v>
      </c>
      <c r="R22" s="19">
        <v>0</v>
      </c>
      <c r="S22" s="19">
        <v>0</v>
      </c>
      <c r="T22" s="3">
        <v>0</v>
      </c>
      <c r="U22" s="3">
        <v>0</v>
      </c>
      <c r="V22" s="21">
        <v>0</v>
      </c>
      <c r="W22" s="21">
        <v>0</v>
      </c>
      <c r="X22" s="3">
        <v>0</v>
      </c>
      <c r="Y22" s="21">
        <v>195530.98</v>
      </c>
      <c r="Z22" s="154">
        <f>Levy!U22</f>
        <v>0</v>
      </c>
      <c r="AA22" s="3">
        <f>Levy!V22</f>
        <v>0</v>
      </c>
      <c r="AB22" s="3">
        <f t="shared" si="3"/>
        <v>130224.62000000001</v>
      </c>
      <c r="AC22" s="3">
        <f t="shared" si="1"/>
        <v>1981586.81</v>
      </c>
      <c r="AD22" s="3">
        <f t="shared" si="2"/>
        <v>360382.89</v>
      </c>
      <c r="AE22" s="3">
        <f>ROUND(MAX(0,(D22-V22)*Shift11!$B$3),2)</f>
        <v>1093474.3899999999</v>
      </c>
      <c r="AF22" s="3">
        <f t="shared" si="4"/>
        <v>1093474.3899999999</v>
      </c>
    </row>
    <row r="23" spans="1:32" x14ac:dyDescent="0.2">
      <c r="A23" s="18">
        <v>32</v>
      </c>
      <c r="B23" s="18">
        <v>1</v>
      </c>
      <c r="C23" s="3" t="s">
        <v>20</v>
      </c>
      <c r="D23" s="3">
        <f>Levy!F23</f>
        <v>382.22</v>
      </c>
      <c r="E23" s="3">
        <f>Levy!G23</f>
        <v>103612.05</v>
      </c>
      <c r="F23" s="3">
        <f>Levy!H23</f>
        <v>0</v>
      </c>
      <c r="G23" s="3">
        <f>Levy!I23</f>
        <v>203593.16</v>
      </c>
      <c r="H23" s="3">
        <f>Levy!J23</f>
        <v>35127.71</v>
      </c>
      <c r="I23" s="154">
        <v>0</v>
      </c>
      <c r="J23" s="19">
        <v>1500</v>
      </c>
      <c r="K23" s="19">
        <v>18345.52</v>
      </c>
      <c r="L23" s="19">
        <v>0</v>
      </c>
      <c r="M23" s="3">
        <v>0</v>
      </c>
      <c r="N23" s="3">
        <v>0</v>
      </c>
      <c r="O23" s="3">
        <v>0</v>
      </c>
      <c r="P23" s="19">
        <v>-2905.9</v>
      </c>
      <c r="Q23" s="19">
        <v>0</v>
      </c>
      <c r="R23" s="19">
        <v>0</v>
      </c>
      <c r="S23" s="19">
        <v>0</v>
      </c>
      <c r="T23" s="3">
        <v>0</v>
      </c>
      <c r="U23" s="3">
        <v>0</v>
      </c>
      <c r="V23" s="21">
        <v>0</v>
      </c>
      <c r="W23" s="21">
        <v>0</v>
      </c>
      <c r="X23" s="3">
        <v>0</v>
      </c>
      <c r="Y23" s="21">
        <v>0</v>
      </c>
      <c r="Z23" s="154">
        <f>Levy!U23</f>
        <v>0</v>
      </c>
      <c r="AA23" s="3">
        <f>Levy!V23</f>
        <v>0</v>
      </c>
      <c r="AB23" s="3">
        <f t="shared" si="3"/>
        <v>16939.62</v>
      </c>
      <c r="AC23" s="3">
        <f t="shared" si="1"/>
        <v>290265.59000000003</v>
      </c>
      <c r="AD23" s="3">
        <f t="shared" si="2"/>
        <v>35127.71</v>
      </c>
      <c r="AE23" s="3">
        <f>ROUND(MAX(0,(D23-V23)*Shift11!$B$3),2)</f>
        <v>185.76</v>
      </c>
      <c r="AF23" s="3">
        <f t="shared" si="4"/>
        <v>185.76</v>
      </c>
    </row>
    <row r="24" spans="1:32" x14ac:dyDescent="0.2">
      <c r="A24" s="18">
        <v>36</v>
      </c>
      <c r="B24" s="18">
        <v>1</v>
      </c>
      <c r="C24" s="3" t="s">
        <v>21</v>
      </c>
      <c r="D24" s="3">
        <f>Levy!F24</f>
        <v>0</v>
      </c>
      <c r="E24" s="3">
        <f>Levy!G24</f>
        <v>29921.66</v>
      </c>
      <c r="F24" s="3">
        <f>Levy!H24</f>
        <v>0</v>
      </c>
      <c r="G24" s="3">
        <f>Levy!I24</f>
        <v>155.12</v>
      </c>
      <c r="H24" s="3">
        <f>Levy!J24</f>
        <v>12517.88</v>
      </c>
      <c r="I24" s="154">
        <v>0</v>
      </c>
      <c r="J24" s="19">
        <v>0</v>
      </c>
      <c r="K24" s="19">
        <v>0</v>
      </c>
      <c r="L24" s="19">
        <v>0</v>
      </c>
      <c r="M24" s="3">
        <v>0</v>
      </c>
      <c r="N24" s="3">
        <v>0</v>
      </c>
      <c r="O24" s="3">
        <v>0</v>
      </c>
      <c r="P24" s="19">
        <v>0</v>
      </c>
      <c r="Q24" s="19">
        <v>0</v>
      </c>
      <c r="R24" s="19">
        <v>0</v>
      </c>
      <c r="S24" s="19">
        <v>0</v>
      </c>
      <c r="T24" s="3">
        <v>0</v>
      </c>
      <c r="U24" s="3">
        <v>0</v>
      </c>
      <c r="V24" s="21">
        <v>0</v>
      </c>
      <c r="W24" s="21">
        <v>0</v>
      </c>
      <c r="X24" s="3">
        <v>0</v>
      </c>
      <c r="Y24" s="21">
        <v>0</v>
      </c>
      <c r="Z24" s="154">
        <f>Levy!U24</f>
        <v>0</v>
      </c>
      <c r="AA24" s="3">
        <f>Levy!V24</f>
        <v>0</v>
      </c>
      <c r="AB24" s="3">
        <f t="shared" si="3"/>
        <v>0</v>
      </c>
      <c r="AC24" s="3">
        <f t="shared" si="1"/>
        <v>30076.78</v>
      </c>
      <c r="AD24" s="3">
        <f t="shared" si="2"/>
        <v>12517.88</v>
      </c>
      <c r="AE24" s="3">
        <f>ROUND(MAX(0,(D24-V24)*Shift11!$B$3),2)</f>
        <v>0</v>
      </c>
      <c r="AF24" s="3">
        <f t="shared" si="4"/>
        <v>0</v>
      </c>
    </row>
    <row r="25" spans="1:32" x14ac:dyDescent="0.2">
      <c r="A25" s="18">
        <v>38</v>
      </c>
      <c r="B25" s="18">
        <v>1</v>
      </c>
      <c r="C25" s="3" t="s">
        <v>22</v>
      </c>
      <c r="D25" s="3">
        <f>Levy!F25</f>
        <v>2061.06</v>
      </c>
      <c r="E25" s="3">
        <f>Levy!G25</f>
        <v>241.34</v>
      </c>
      <c r="F25" s="3">
        <f>Levy!H25</f>
        <v>0</v>
      </c>
      <c r="G25" s="3">
        <f>Levy!I25</f>
        <v>2639.92</v>
      </c>
      <c r="H25" s="3">
        <f>Levy!J25</f>
        <v>119.92</v>
      </c>
      <c r="I25" s="154">
        <v>0</v>
      </c>
      <c r="J25" s="19">
        <v>0</v>
      </c>
      <c r="K25" s="19">
        <v>0</v>
      </c>
      <c r="L25" s="19">
        <v>0</v>
      </c>
      <c r="M25" s="3">
        <v>0</v>
      </c>
      <c r="N25" s="3">
        <v>0</v>
      </c>
      <c r="O25" s="3">
        <v>0</v>
      </c>
      <c r="P25" s="19">
        <v>0</v>
      </c>
      <c r="Q25" s="19">
        <v>0</v>
      </c>
      <c r="R25" s="19">
        <v>-428.58</v>
      </c>
      <c r="S25" s="19">
        <v>0</v>
      </c>
      <c r="T25" s="3">
        <v>0</v>
      </c>
      <c r="U25" s="3">
        <v>0</v>
      </c>
      <c r="V25" s="21">
        <v>0</v>
      </c>
      <c r="W25" s="21">
        <v>0</v>
      </c>
      <c r="X25" s="3">
        <v>0</v>
      </c>
      <c r="Y25" s="21">
        <v>149.12</v>
      </c>
      <c r="Z25" s="154">
        <f>Levy!U25</f>
        <v>0</v>
      </c>
      <c r="AA25" s="3">
        <f>Levy!V25</f>
        <v>0</v>
      </c>
      <c r="AB25" s="3">
        <f t="shared" si="3"/>
        <v>-428.58</v>
      </c>
      <c r="AC25" s="3">
        <f t="shared" si="1"/>
        <v>3309.84</v>
      </c>
      <c r="AD25" s="3">
        <f t="shared" si="2"/>
        <v>119.92</v>
      </c>
      <c r="AE25" s="3">
        <f>ROUND(MAX(0,(D25-V25)*Shift11!$B$3),2)</f>
        <v>1001.68</v>
      </c>
      <c r="AF25" s="3">
        <f t="shared" si="4"/>
        <v>1001.68</v>
      </c>
    </row>
    <row r="26" spans="1:32" x14ac:dyDescent="0.2">
      <c r="A26" s="18">
        <v>47</v>
      </c>
      <c r="B26" s="18">
        <v>1</v>
      </c>
      <c r="C26" s="3" t="s">
        <v>23</v>
      </c>
      <c r="D26" s="3">
        <f>Levy!F26</f>
        <v>0</v>
      </c>
      <c r="E26" s="3">
        <f>Levy!G26</f>
        <v>277746.95</v>
      </c>
      <c r="F26" s="3">
        <f>Levy!H26</f>
        <v>0</v>
      </c>
      <c r="G26" s="3">
        <f>Levy!I26</f>
        <v>1103876.3600000001</v>
      </c>
      <c r="H26" s="3">
        <f>Levy!J26</f>
        <v>262977.25</v>
      </c>
      <c r="I26" s="154">
        <v>0</v>
      </c>
      <c r="J26" s="19">
        <v>40000</v>
      </c>
      <c r="K26" s="19">
        <v>69740</v>
      </c>
      <c r="L26" s="19">
        <v>0</v>
      </c>
      <c r="M26" s="3">
        <v>0</v>
      </c>
      <c r="N26" s="3">
        <v>0</v>
      </c>
      <c r="O26" s="3">
        <v>0</v>
      </c>
      <c r="P26" s="19">
        <v>-655.32000000000005</v>
      </c>
      <c r="Q26" s="19">
        <v>0</v>
      </c>
      <c r="R26" s="19">
        <v>1161.5999999999999</v>
      </c>
      <c r="S26" s="19">
        <v>0</v>
      </c>
      <c r="T26" s="3">
        <v>0</v>
      </c>
      <c r="U26" s="3">
        <v>0</v>
      </c>
      <c r="V26" s="21">
        <v>0</v>
      </c>
      <c r="W26" s="21">
        <v>0</v>
      </c>
      <c r="X26" s="3">
        <v>0</v>
      </c>
      <c r="Y26" s="21">
        <v>133802</v>
      </c>
      <c r="Z26" s="154">
        <f>Levy!U26</f>
        <v>0</v>
      </c>
      <c r="AA26" s="3">
        <f>Levy!V26</f>
        <v>0</v>
      </c>
      <c r="AB26" s="3">
        <f t="shared" si="3"/>
        <v>110246.28</v>
      </c>
      <c r="AC26" s="3">
        <f t="shared" si="1"/>
        <v>1271377.03</v>
      </c>
      <c r="AD26" s="3">
        <f t="shared" si="2"/>
        <v>262977.25</v>
      </c>
      <c r="AE26" s="3">
        <f>ROUND(MAX(0,(D26-V26)*Shift11!$B$3),2)</f>
        <v>0</v>
      </c>
      <c r="AF26" s="3">
        <f t="shared" si="4"/>
        <v>133802</v>
      </c>
    </row>
    <row r="27" spans="1:32" x14ac:dyDescent="0.2">
      <c r="A27" s="18">
        <v>51</v>
      </c>
      <c r="B27" s="18">
        <v>1</v>
      </c>
      <c r="C27" s="3" t="s">
        <v>24</v>
      </c>
      <c r="D27" s="3">
        <f>Levy!F27</f>
        <v>255903.46</v>
      </c>
      <c r="E27" s="3">
        <f>Levy!G27</f>
        <v>147664.54999999999</v>
      </c>
      <c r="F27" s="3">
        <f>Levy!H27</f>
        <v>0</v>
      </c>
      <c r="G27" s="3">
        <f>Levy!I27</f>
        <v>403407.51</v>
      </c>
      <c r="H27" s="3">
        <f>Levy!J27</f>
        <v>98424.47</v>
      </c>
      <c r="I27" s="154">
        <v>0</v>
      </c>
      <c r="J27" s="19">
        <v>0</v>
      </c>
      <c r="K27" s="19">
        <v>31280</v>
      </c>
      <c r="L27" s="19">
        <v>0</v>
      </c>
      <c r="M27" s="3">
        <v>0</v>
      </c>
      <c r="N27" s="3">
        <v>0</v>
      </c>
      <c r="O27" s="3">
        <v>0</v>
      </c>
      <c r="P27" s="19">
        <v>20349.97</v>
      </c>
      <c r="Q27" s="19">
        <v>0</v>
      </c>
      <c r="R27" s="19">
        <v>-936</v>
      </c>
      <c r="S27" s="19">
        <v>0</v>
      </c>
      <c r="T27" s="3">
        <v>0</v>
      </c>
      <c r="U27" s="3">
        <v>0</v>
      </c>
      <c r="V27" s="21">
        <v>0</v>
      </c>
      <c r="W27" s="21">
        <v>0</v>
      </c>
      <c r="X27" s="3">
        <v>0</v>
      </c>
      <c r="Y27" s="21">
        <v>32144.54</v>
      </c>
      <c r="Z27" s="154">
        <f>Levy!U27</f>
        <v>0</v>
      </c>
      <c r="AA27" s="3">
        <f>Levy!V27</f>
        <v>0</v>
      </c>
      <c r="AB27" s="3">
        <f t="shared" si="3"/>
        <v>50693.97</v>
      </c>
      <c r="AC27" s="3">
        <f t="shared" si="1"/>
        <v>500378.09</v>
      </c>
      <c r="AD27" s="3">
        <f t="shared" si="2"/>
        <v>98424.47</v>
      </c>
      <c r="AE27" s="3">
        <f>ROUND(MAX(0,(D27-V27)*Shift11!$B$3),2)</f>
        <v>124369.08</v>
      </c>
      <c r="AF27" s="3">
        <f t="shared" si="4"/>
        <v>124369.08</v>
      </c>
    </row>
    <row r="28" spans="1:32" x14ac:dyDescent="0.2">
      <c r="A28" s="18">
        <v>75</v>
      </c>
      <c r="B28" s="18">
        <v>1</v>
      </c>
      <c r="C28" s="3" t="s">
        <v>25</v>
      </c>
      <c r="D28" s="3">
        <f>Levy!F28</f>
        <v>216863.33</v>
      </c>
      <c r="E28" s="3">
        <f>Levy!G28</f>
        <v>72709.350000000006</v>
      </c>
      <c r="F28" s="3">
        <f>Levy!H28</f>
        <v>0</v>
      </c>
      <c r="G28" s="3">
        <f>Levy!I28</f>
        <v>213725.47</v>
      </c>
      <c r="H28" s="3">
        <f>Levy!J28</f>
        <v>30746.71</v>
      </c>
      <c r="I28" s="154">
        <v>0</v>
      </c>
      <c r="J28" s="19">
        <v>10475</v>
      </c>
      <c r="K28" s="19">
        <v>11648</v>
      </c>
      <c r="L28" s="19">
        <v>0</v>
      </c>
      <c r="M28" s="3">
        <v>0</v>
      </c>
      <c r="N28" s="3">
        <v>0</v>
      </c>
      <c r="O28" s="3">
        <v>0</v>
      </c>
      <c r="P28" s="19">
        <v>-5442.3</v>
      </c>
      <c r="Q28" s="19">
        <v>0</v>
      </c>
      <c r="R28" s="19">
        <v>256</v>
      </c>
      <c r="S28" s="19">
        <v>0</v>
      </c>
      <c r="T28" s="3">
        <v>0</v>
      </c>
      <c r="U28" s="3">
        <v>0</v>
      </c>
      <c r="V28" s="21">
        <v>0</v>
      </c>
      <c r="W28" s="21">
        <v>0</v>
      </c>
      <c r="X28" s="3">
        <v>0</v>
      </c>
      <c r="Y28" s="21">
        <v>59511.62</v>
      </c>
      <c r="Z28" s="154">
        <f>Levy!U28</f>
        <v>0</v>
      </c>
      <c r="AA28" s="3">
        <f>Levy!V28</f>
        <v>0</v>
      </c>
      <c r="AB28" s="3">
        <f t="shared" si="3"/>
        <v>16936.7</v>
      </c>
      <c r="AC28" s="3">
        <f t="shared" si="1"/>
        <v>269498.12</v>
      </c>
      <c r="AD28" s="3">
        <f t="shared" si="2"/>
        <v>30746.71</v>
      </c>
      <c r="AE28" s="3">
        <f>ROUND(MAX(0,(D28-V28)*Shift11!$B$3),2)</f>
        <v>105395.58</v>
      </c>
      <c r="AF28" s="3">
        <f t="shared" si="4"/>
        <v>105395.58</v>
      </c>
    </row>
    <row r="29" spans="1:32" x14ac:dyDescent="0.2">
      <c r="A29" s="18">
        <v>77</v>
      </c>
      <c r="B29" s="18">
        <v>1</v>
      </c>
      <c r="C29" s="3" t="s">
        <v>26</v>
      </c>
      <c r="D29" s="3">
        <f>Levy!F29</f>
        <v>5457333.6200000001</v>
      </c>
      <c r="E29" s="3">
        <f>Levy!G29</f>
        <v>1108874.51</v>
      </c>
      <c r="F29" s="3">
        <f>Levy!H29</f>
        <v>500000</v>
      </c>
      <c r="G29" s="3">
        <f>Levy!I29</f>
        <v>3134312.89</v>
      </c>
      <c r="H29" s="3">
        <f>Levy!J29</f>
        <v>669107.93000000005</v>
      </c>
      <c r="I29" s="154">
        <v>0</v>
      </c>
      <c r="J29" s="19">
        <v>60000</v>
      </c>
      <c r="K29" s="19">
        <v>131611.20000000001</v>
      </c>
      <c r="L29" s="19">
        <v>0</v>
      </c>
      <c r="M29" s="3">
        <v>0</v>
      </c>
      <c r="N29" s="3">
        <v>0</v>
      </c>
      <c r="O29" s="3">
        <v>0</v>
      </c>
      <c r="P29" s="19">
        <v>-1407.59</v>
      </c>
      <c r="Q29" s="19">
        <v>0</v>
      </c>
      <c r="R29" s="19">
        <v>202.67</v>
      </c>
      <c r="S29" s="19">
        <v>0</v>
      </c>
      <c r="T29" s="3">
        <v>0</v>
      </c>
      <c r="U29" s="3">
        <v>0</v>
      </c>
      <c r="V29" s="21">
        <v>0</v>
      </c>
      <c r="W29" s="21">
        <v>0</v>
      </c>
      <c r="X29" s="3">
        <v>0</v>
      </c>
      <c r="Y29" s="21">
        <v>751973.08</v>
      </c>
      <c r="Z29" s="154">
        <f>Levy!U29</f>
        <v>0</v>
      </c>
      <c r="AA29" s="3">
        <f>Levy!V29</f>
        <v>0</v>
      </c>
      <c r="AB29" s="3">
        <f t="shared" si="3"/>
        <v>190406.28000000003</v>
      </c>
      <c r="AC29" s="3">
        <f t="shared" si="1"/>
        <v>4552781.12</v>
      </c>
      <c r="AD29" s="3">
        <f t="shared" si="2"/>
        <v>669107.93000000005</v>
      </c>
      <c r="AE29" s="3">
        <f>ROUND(MAX(0,(D29-V29)*Shift11!$B$3),2)</f>
        <v>2652264.14</v>
      </c>
      <c r="AF29" s="3">
        <f t="shared" si="4"/>
        <v>2652264.14</v>
      </c>
    </row>
    <row r="30" spans="1:32" x14ac:dyDescent="0.2">
      <c r="A30" s="18">
        <v>81</v>
      </c>
      <c r="B30" s="18">
        <v>1</v>
      </c>
      <c r="C30" s="3" t="s">
        <v>27</v>
      </c>
      <c r="D30" s="3">
        <f>Levy!F30</f>
        <v>154586.38</v>
      </c>
      <c r="E30" s="3">
        <f>Levy!G30</f>
        <v>16411.63</v>
      </c>
      <c r="F30" s="3">
        <f>Levy!H30</f>
        <v>0</v>
      </c>
      <c r="G30" s="3">
        <f>Levy!I30</f>
        <v>136015.71</v>
      </c>
      <c r="H30" s="3">
        <f>Levy!J30</f>
        <v>24672.28</v>
      </c>
      <c r="I30" s="154">
        <v>0</v>
      </c>
      <c r="J30" s="19">
        <v>4500</v>
      </c>
      <c r="K30" s="19">
        <v>10000</v>
      </c>
      <c r="L30" s="19">
        <v>0</v>
      </c>
      <c r="M30" s="3">
        <v>0</v>
      </c>
      <c r="N30" s="3">
        <v>0</v>
      </c>
      <c r="O30" s="3">
        <v>0</v>
      </c>
      <c r="P30" s="19">
        <v>-2349.9499999999998</v>
      </c>
      <c r="Q30" s="19">
        <v>0</v>
      </c>
      <c r="R30" s="19">
        <v>0</v>
      </c>
      <c r="S30" s="19">
        <v>0</v>
      </c>
      <c r="T30" s="3">
        <v>0</v>
      </c>
      <c r="U30" s="3">
        <v>0</v>
      </c>
      <c r="V30" s="21">
        <v>0</v>
      </c>
      <c r="W30" s="21">
        <v>0</v>
      </c>
      <c r="X30" s="3">
        <v>0</v>
      </c>
      <c r="Y30" s="21">
        <v>65568.179999999993</v>
      </c>
      <c r="Z30" s="154">
        <f>Levy!U30</f>
        <v>0</v>
      </c>
      <c r="AA30" s="3">
        <f>Levy!V30</f>
        <v>0</v>
      </c>
      <c r="AB30" s="3">
        <f t="shared" si="3"/>
        <v>12150.05</v>
      </c>
      <c r="AC30" s="3">
        <f t="shared" si="1"/>
        <v>140277.29</v>
      </c>
      <c r="AD30" s="3">
        <f t="shared" si="2"/>
        <v>24672.28</v>
      </c>
      <c r="AE30" s="3">
        <f>ROUND(MAX(0,(D30-V30)*Shift11!$B$3),2)</f>
        <v>75128.98</v>
      </c>
      <c r="AF30" s="3">
        <f t="shared" si="4"/>
        <v>75128.98</v>
      </c>
    </row>
    <row r="31" spans="1:32" x14ac:dyDescent="0.2">
      <c r="A31" s="18">
        <v>84</v>
      </c>
      <c r="B31" s="18">
        <v>1</v>
      </c>
      <c r="C31" s="3" t="s">
        <v>28</v>
      </c>
      <c r="D31" s="3">
        <f>Levy!F31</f>
        <v>0</v>
      </c>
      <c r="E31" s="3">
        <f>Levy!G31</f>
        <v>74813.91</v>
      </c>
      <c r="F31" s="3">
        <f>Levy!H31</f>
        <v>0</v>
      </c>
      <c r="G31" s="3">
        <f>Levy!I31</f>
        <v>257059.63</v>
      </c>
      <c r="H31" s="3">
        <f>Levy!J31</f>
        <v>72040.94</v>
      </c>
      <c r="I31" s="154">
        <v>0</v>
      </c>
      <c r="J31" s="19">
        <v>15000</v>
      </c>
      <c r="K31" s="19">
        <v>15879.66</v>
      </c>
      <c r="L31" s="19">
        <v>0</v>
      </c>
      <c r="M31" s="3">
        <v>0</v>
      </c>
      <c r="N31" s="3">
        <v>0</v>
      </c>
      <c r="O31" s="3">
        <v>0</v>
      </c>
      <c r="P31" s="19">
        <v>-9029.82</v>
      </c>
      <c r="Q31" s="19">
        <v>0</v>
      </c>
      <c r="R31" s="19">
        <v>0</v>
      </c>
      <c r="S31" s="19">
        <v>0</v>
      </c>
      <c r="T31" s="3">
        <v>0</v>
      </c>
      <c r="U31" s="3">
        <v>0</v>
      </c>
      <c r="V31" s="21">
        <v>0</v>
      </c>
      <c r="W31" s="21">
        <v>0</v>
      </c>
      <c r="X31" s="3">
        <v>0</v>
      </c>
      <c r="Y31" s="21">
        <v>64890.080000000002</v>
      </c>
      <c r="Z31" s="154">
        <f>Levy!U31</f>
        <v>0</v>
      </c>
      <c r="AA31" s="3">
        <f>Levy!V31</f>
        <v>0</v>
      </c>
      <c r="AB31" s="3">
        <f t="shared" si="3"/>
        <v>21849.84</v>
      </c>
      <c r="AC31" s="3">
        <f t="shared" si="1"/>
        <v>310023.7</v>
      </c>
      <c r="AD31" s="3">
        <f t="shared" si="2"/>
        <v>72040.94</v>
      </c>
      <c r="AE31" s="3">
        <f>ROUND(MAX(0,(D31-V31)*Shift11!$B$3),2)</f>
        <v>0</v>
      </c>
      <c r="AF31" s="3">
        <f t="shared" si="4"/>
        <v>64890.080000000002</v>
      </c>
    </row>
    <row r="32" spans="1:32" x14ac:dyDescent="0.2">
      <c r="A32" s="18">
        <v>85</v>
      </c>
      <c r="B32" s="18">
        <v>1</v>
      </c>
      <c r="C32" s="3" t="s">
        <v>29</v>
      </c>
      <c r="D32" s="3">
        <f>Levy!F32</f>
        <v>157575.48000000001</v>
      </c>
      <c r="E32" s="3">
        <f>Levy!G32</f>
        <v>38587.599999999999</v>
      </c>
      <c r="F32" s="3">
        <f>Levy!H32</f>
        <v>0</v>
      </c>
      <c r="G32" s="3">
        <f>Levy!I32</f>
        <v>210083.34</v>
      </c>
      <c r="H32" s="3">
        <f>Levy!J32</f>
        <v>33773.17</v>
      </c>
      <c r="I32" s="154">
        <v>0</v>
      </c>
      <c r="J32" s="19">
        <v>8350</v>
      </c>
      <c r="K32" s="19">
        <v>20777.87</v>
      </c>
      <c r="L32" s="19">
        <v>0</v>
      </c>
      <c r="M32" s="3">
        <v>0</v>
      </c>
      <c r="N32" s="3">
        <v>0</v>
      </c>
      <c r="O32" s="3">
        <v>0</v>
      </c>
      <c r="P32" s="19">
        <v>-3575.46</v>
      </c>
      <c r="Q32" s="19">
        <v>0</v>
      </c>
      <c r="R32" s="19">
        <v>0</v>
      </c>
      <c r="S32" s="19">
        <v>0</v>
      </c>
      <c r="T32" s="3">
        <v>0</v>
      </c>
      <c r="U32" s="3">
        <v>0</v>
      </c>
      <c r="V32" s="21">
        <v>0</v>
      </c>
      <c r="W32" s="21">
        <v>0</v>
      </c>
      <c r="X32" s="3">
        <v>0</v>
      </c>
      <c r="Y32" s="21">
        <v>0</v>
      </c>
      <c r="Z32" s="154">
        <f>Levy!U32</f>
        <v>0</v>
      </c>
      <c r="AA32" s="3">
        <f>Levy!V32</f>
        <v>0</v>
      </c>
      <c r="AB32" s="3">
        <f t="shared" si="3"/>
        <v>25552.41</v>
      </c>
      <c r="AC32" s="3">
        <f t="shared" si="1"/>
        <v>223118.53</v>
      </c>
      <c r="AD32" s="3">
        <f t="shared" si="2"/>
        <v>33773.17</v>
      </c>
      <c r="AE32" s="3">
        <f>ROUND(MAX(0,(D32-V32)*Shift11!$B$3),2)</f>
        <v>76581.679999999993</v>
      </c>
      <c r="AF32" s="3">
        <f t="shared" si="4"/>
        <v>76581.679999999993</v>
      </c>
    </row>
    <row r="33" spans="1:32" x14ac:dyDescent="0.2">
      <c r="A33" s="18">
        <v>88</v>
      </c>
      <c r="B33" s="18">
        <v>1</v>
      </c>
      <c r="C33" s="3" t="s">
        <v>30</v>
      </c>
      <c r="D33" s="3">
        <f>Levy!F33</f>
        <v>1777890.32</v>
      </c>
      <c r="E33" s="3">
        <f>Levy!G33</f>
        <v>239996.64</v>
      </c>
      <c r="F33" s="3">
        <f>Levy!H33</f>
        <v>0</v>
      </c>
      <c r="G33" s="3">
        <f>Levy!I33</f>
        <v>1200874.18</v>
      </c>
      <c r="H33" s="3">
        <f>Levy!J33</f>
        <v>204030.21</v>
      </c>
      <c r="I33" s="154">
        <v>0</v>
      </c>
      <c r="J33" s="19">
        <v>25000</v>
      </c>
      <c r="K33" s="19">
        <v>52316.14</v>
      </c>
      <c r="L33" s="19">
        <v>0</v>
      </c>
      <c r="M33" s="3">
        <v>0</v>
      </c>
      <c r="N33" s="3">
        <v>0</v>
      </c>
      <c r="O33" s="3">
        <v>0</v>
      </c>
      <c r="P33" s="19">
        <v>-13587.94</v>
      </c>
      <c r="Q33" s="19">
        <v>0</v>
      </c>
      <c r="R33" s="19">
        <v>0</v>
      </c>
      <c r="S33" s="19">
        <v>0</v>
      </c>
      <c r="T33" s="3">
        <v>0</v>
      </c>
      <c r="U33" s="3">
        <v>0</v>
      </c>
      <c r="V33" s="21">
        <v>0</v>
      </c>
      <c r="W33" s="21">
        <v>0</v>
      </c>
      <c r="X33" s="3">
        <v>97377.63</v>
      </c>
      <c r="Y33" s="21">
        <v>135266</v>
      </c>
      <c r="Z33" s="154">
        <f>Levy!U33</f>
        <v>0</v>
      </c>
      <c r="AA33" s="3">
        <f>Levy!V33</f>
        <v>0</v>
      </c>
      <c r="AB33" s="3">
        <f t="shared" si="3"/>
        <v>63728.2</v>
      </c>
      <c r="AC33" s="3">
        <f t="shared" si="1"/>
        <v>1279764.99</v>
      </c>
      <c r="AD33" s="3">
        <f t="shared" si="2"/>
        <v>204030.21</v>
      </c>
      <c r="AE33" s="3">
        <f>ROUND(MAX(0,(D33-V33)*Shift11!$B$3),2)</f>
        <v>864054.7</v>
      </c>
      <c r="AF33" s="3">
        <f t="shared" si="4"/>
        <v>864054.7</v>
      </c>
    </row>
    <row r="34" spans="1:32" x14ac:dyDescent="0.2">
      <c r="A34" s="18">
        <v>91</v>
      </c>
      <c r="B34" s="18">
        <v>1</v>
      </c>
      <c r="C34" s="3" t="s">
        <v>31</v>
      </c>
      <c r="D34" s="3">
        <f>Levy!F34</f>
        <v>93222.74</v>
      </c>
      <c r="E34" s="3">
        <f>Levy!G34</f>
        <v>74501.31</v>
      </c>
      <c r="F34" s="3">
        <f>Levy!H34</f>
        <v>0</v>
      </c>
      <c r="G34" s="3">
        <f>Levy!I34</f>
        <v>199766.92</v>
      </c>
      <c r="H34" s="3">
        <f>Levy!J34</f>
        <v>50273.37</v>
      </c>
      <c r="I34" s="154">
        <v>0</v>
      </c>
      <c r="J34" s="19">
        <v>6000</v>
      </c>
      <c r="K34" s="19">
        <v>11178.4</v>
      </c>
      <c r="L34" s="19">
        <v>0</v>
      </c>
      <c r="M34" s="3">
        <v>0</v>
      </c>
      <c r="N34" s="3">
        <v>0</v>
      </c>
      <c r="O34" s="3">
        <v>0</v>
      </c>
      <c r="P34" s="19">
        <v>9482.43</v>
      </c>
      <c r="Q34" s="19">
        <v>0</v>
      </c>
      <c r="R34" s="19">
        <v>0</v>
      </c>
      <c r="S34" s="19">
        <v>0</v>
      </c>
      <c r="T34" s="3">
        <v>0</v>
      </c>
      <c r="U34" s="3">
        <v>0</v>
      </c>
      <c r="V34" s="21">
        <v>0</v>
      </c>
      <c r="W34" s="21">
        <v>0</v>
      </c>
      <c r="X34" s="3">
        <v>0</v>
      </c>
      <c r="Y34" s="21">
        <v>19807.54</v>
      </c>
      <c r="Z34" s="154">
        <f>Levy!U34</f>
        <v>0</v>
      </c>
      <c r="AA34" s="3">
        <f>Levy!V34</f>
        <v>0</v>
      </c>
      <c r="AB34" s="3">
        <f t="shared" si="3"/>
        <v>26660.83</v>
      </c>
      <c r="AC34" s="3">
        <f t="shared" si="1"/>
        <v>247607.4</v>
      </c>
      <c r="AD34" s="3">
        <f t="shared" si="2"/>
        <v>50273.37</v>
      </c>
      <c r="AE34" s="3">
        <f>ROUND(MAX(0,(D34-V34)*Shift11!$B$3),2)</f>
        <v>45306.25</v>
      </c>
      <c r="AF34" s="3">
        <f t="shared" si="4"/>
        <v>45306.25</v>
      </c>
    </row>
    <row r="35" spans="1:32" x14ac:dyDescent="0.2">
      <c r="A35" s="18">
        <v>93</v>
      </c>
      <c r="B35" s="18">
        <v>1</v>
      </c>
      <c r="C35" s="3" t="s">
        <v>32</v>
      </c>
      <c r="D35" s="3">
        <f>Levy!F35</f>
        <v>757879.99</v>
      </c>
      <c r="E35" s="3">
        <f>Levy!G35</f>
        <v>27502.32</v>
      </c>
      <c r="F35" s="3">
        <f>Levy!H35</f>
        <v>0</v>
      </c>
      <c r="G35" s="3">
        <f>Levy!I35</f>
        <v>178535.83</v>
      </c>
      <c r="H35" s="3">
        <f>Levy!J35</f>
        <v>39107.230000000003</v>
      </c>
      <c r="I35" s="154">
        <v>0</v>
      </c>
      <c r="J35" s="19">
        <v>10000</v>
      </c>
      <c r="K35" s="19">
        <v>10000</v>
      </c>
      <c r="L35" s="19">
        <v>0</v>
      </c>
      <c r="M35" s="3">
        <v>0</v>
      </c>
      <c r="N35" s="3">
        <v>0</v>
      </c>
      <c r="O35" s="3">
        <v>0</v>
      </c>
      <c r="P35" s="19">
        <v>-5596.77</v>
      </c>
      <c r="Q35" s="19">
        <v>0</v>
      </c>
      <c r="R35" s="19">
        <v>0</v>
      </c>
      <c r="S35" s="19">
        <v>0</v>
      </c>
      <c r="T35" s="3">
        <v>0</v>
      </c>
      <c r="U35" s="3">
        <v>0</v>
      </c>
      <c r="V35" s="21">
        <v>0</v>
      </c>
      <c r="W35" s="21">
        <v>0</v>
      </c>
      <c r="X35" s="3">
        <v>0</v>
      </c>
      <c r="Y35" s="21">
        <v>27479.15</v>
      </c>
      <c r="Z35" s="154">
        <f>Levy!U35</f>
        <v>0</v>
      </c>
      <c r="AA35" s="3">
        <f>Levy!V35</f>
        <v>0</v>
      </c>
      <c r="AB35" s="3">
        <f t="shared" si="3"/>
        <v>14403.23</v>
      </c>
      <c r="AC35" s="3">
        <f t="shared" si="1"/>
        <v>191634.92</v>
      </c>
      <c r="AD35" s="3">
        <f t="shared" si="2"/>
        <v>39107.230000000003</v>
      </c>
      <c r="AE35" s="3">
        <f>ROUND(MAX(0,(D35-V35)*Shift11!$B$3),2)</f>
        <v>368329.68</v>
      </c>
      <c r="AF35" s="3">
        <f t="shared" si="4"/>
        <v>368329.68</v>
      </c>
    </row>
    <row r="36" spans="1:32" x14ac:dyDescent="0.2">
      <c r="A36" s="18">
        <v>94</v>
      </c>
      <c r="B36" s="18">
        <v>1</v>
      </c>
      <c r="C36" s="3" t="s">
        <v>33</v>
      </c>
      <c r="D36" s="3">
        <f>Levy!F36</f>
        <v>172791.6</v>
      </c>
      <c r="E36" s="3">
        <f>Levy!G36</f>
        <v>256783.1</v>
      </c>
      <c r="F36" s="3">
        <f>Levy!H36</f>
        <v>0</v>
      </c>
      <c r="G36" s="3">
        <f>Levy!I36</f>
        <v>466823.35</v>
      </c>
      <c r="H36" s="3">
        <f>Levy!J36</f>
        <v>246291.27</v>
      </c>
      <c r="I36" s="154">
        <v>0</v>
      </c>
      <c r="J36" s="19">
        <v>35000</v>
      </c>
      <c r="K36" s="19">
        <v>34548.25</v>
      </c>
      <c r="L36" s="19">
        <v>22044</v>
      </c>
      <c r="M36" s="3">
        <v>0</v>
      </c>
      <c r="N36" s="3">
        <v>0</v>
      </c>
      <c r="O36" s="3">
        <v>0</v>
      </c>
      <c r="P36" s="19">
        <v>-17502.060000000001</v>
      </c>
      <c r="Q36" s="19">
        <v>0</v>
      </c>
      <c r="R36" s="19">
        <v>0</v>
      </c>
      <c r="S36" s="19">
        <v>0</v>
      </c>
      <c r="T36" s="3">
        <v>0</v>
      </c>
      <c r="U36" s="3">
        <v>0</v>
      </c>
      <c r="V36" s="21">
        <v>0</v>
      </c>
      <c r="W36" s="21">
        <v>0</v>
      </c>
      <c r="X36" s="3">
        <v>0</v>
      </c>
      <c r="Y36" s="21">
        <v>91861.41</v>
      </c>
      <c r="Z36" s="154">
        <f>Levy!U36</f>
        <v>0</v>
      </c>
      <c r="AA36" s="3">
        <f>Levy!V36</f>
        <v>0</v>
      </c>
      <c r="AB36" s="3">
        <f t="shared" si="3"/>
        <v>74090.19</v>
      </c>
      <c r="AC36" s="3">
        <f t="shared" si="1"/>
        <v>649516.26</v>
      </c>
      <c r="AD36" s="3">
        <f t="shared" si="2"/>
        <v>246291.27</v>
      </c>
      <c r="AE36" s="3">
        <f>ROUND(MAX(0,(D36-V36)*Shift11!$B$3),2)</f>
        <v>83976.72</v>
      </c>
      <c r="AF36" s="3">
        <f t="shared" si="4"/>
        <v>91861.41</v>
      </c>
    </row>
    <row r="37" spans="1:32" x14ac:dyDescent="0.2">
      <c r="A37" s="18">
        <v>95</v>
      </c>
      <c r="B37" s="18">
        <v>1</v>
      </c>
      <c r="C37" s="3" t="s">
        <v>34</v>
      </c>
      <c r="D37" s="3">
        <f>Levy!F37</f>
        <v>0</v>
      </c>
      <c r="E37" s="3">
        <f>Levy!G37</f>
        <v>38265.51</v>
      </c>
      <c r="F37" s="3">
        <f>Levy!H37</f>
        <v>0</v>
      </c>
      <c r="G37" s="3">
        <f>Levy!I37</f>
        <v>80719.78</v>
      </c>
      <c r="H37" s="3">
        <f>Levy!J37</f>
        <v>21171.99</v>
      </c>
      <c r="I37" s="154">
        <v>0</v>
      </c>
      <c r="J37" s="19">
        <v>0</v>
      </c>
      <c r="K37" s="19">
        <v>10000</v>
      </c>
      <c r="L37" s="19">
        <v>0</v>
      </c>
      <c r="M37" s="3">
        <v>0</v>
      </c>
      <c r="N37" s="3">
        <v>0</v>
      </c>
      <c r="O37" s="3">
        <v>0</v>
      </c>
      <c r="P37" s="19">
        <v>3170.54</v>
      </c>
      <c r="Q37" s="19">
        <v>0</v>
      </c>
      <c r="R37" s="19">
        <v>0</v>
      </c>
      <c r="S37" s="19">
        <v>0</v>
      </c>
      <c r="T37" s="3">
        <v>0</v>
      </c>
      <c r="U37" s="3">
        <v>0</v>
      </c>
      <c r="V37" s="21">
        <v>0</v>
      </c>
      <c r="W37" s="21">
        <v>0</v>
      </c>
      <c r="X37" s="3">
        <v>0</v>
      </c>
      <c r="Y37" s="21">
        <v>0</v>
      </c>
      <c r="Z37" s="154">
        <f>Levy!U37</f>
        <v>0</v>
      </c>
      <c r="AA37" s="3">
        <f>Levy!V37</f>
        <v>0</v>
      </c>
      <c r="AB37" s="3">
        <f t="shared" si="3"/>
        <v>13170.54</v>
      </c>
      <c r="AC37" s="3">
        <f t="shared" si="1"/>
        <v>105814.75</v>
      </c>
      <c r="AD37" s="3">
        <f t="shared" si="2"/>
        <v>21171.99</v>
      </c>
      <c r="AE37" s="3">
        <f>ROUND(MAX(0,(D37-V37)*Shift11!$B$3),2)</f>
        <v>0</v>
      </c>
      <c r="AF37" s="3">
        <f t="shared" si="4"/>
        <v>0</v>
      </c>
    </row>
    <row r="38" spans="1:32" x14ac:dyDescent="0.2">
      <c r="A38" s="18">
        <v>97</v>
      </c>
      <c r="B38" s="18">
        <v>1</v>
      </c>
      <c r="C38" s="3" t="s">
        <v>35</v>
      </c>
      <c r="D38" s="3">
        <f>Levy!F38</f>
        <v>156432.43</v>
      </c>
      <c r="E38" s="3">
        <f>Levy!G38</f>
        <v>86667.46</v>
      </c>
      <c r="F38" s="3">
        <f>Levy!H38</f>
        <v>0</v>
      </c>
      <c r="G38" s="3">
        <f>Levy!I38</f>
        <v>301160.64</v>
      </c>
      <c r="H38" s="3">
        <f>Levy!J38</f>
        <v>60223.75</v>
      </c>
      <c r="I38" s="154">
        <v>0</v>
      </c>
      <c r="J38" s="19">
        <v>20000</v>
      </c>
      <c r="K38" s="19">
        <v>5792</v>
      </c>
      <c r="L38" s="19">
        <v>0</v>
      </c>
      <c r="M38" s="3">
        <v>0</v>
      </c>
      <c r="N38" s="3">
        <v>0</v>
      </c>
      <c r="O38" s="3">
        <v>0</v>
      </c>
      <c r="P38" s="19">
        <v>-1472.3</v>
      </c>
      <c r="Q38" s="19">
        <v>0</v>
      </c>
      <c r="R38" s="19">
        <v>0</v>
      </c>
      <c r="S38" s="19">
        <v>0</v>
      </c>
      <c r="T38" s="3">
        <v>0</v>
      </c>
      <c r="U38" s="3">
        <v>0</v>
      </c>
      <c r="V38" s="21">
        <v>0</v>
      </c>
      <c r="W38" s="21">
        <v>0</v>
      </c>
      <c r="X38" s="3">
        <v>0</v>
      </c>
      <c r="Y38" s="21">
        <v>31851.86</v>
      </c>
      <c r="Z38" s="154">
        <f>Levy!U38</f>
        <v>0</v>
      </c>
      <c r="AA38" s="3">
        <f>Levy!V38</f>
        <v>0</v>
      </c>
      <c r="AB38" s="3">
        <f t="shared" si="3"/>
        <v>24319.7</v>
      </c>
      <c r="AC38" s="3">
        <f t="shared" si="1"/>
        <v>363508.4</v>
      </c>
      <c r="AD38" s="3">
        <f t="shared" si="2"/>
        <v>60223.75</v>
      </c>
      <c r="AE38" s="3">
        <f>ROUND(MAX(0,(D38-V38)*Shift11!$B$3),2)</f>
        <v>76026.16</v>
      </c>
      <c r="AF38" s="3">
        <f t="shared" si="4"/>
        <v>76026.16</v>
      </c>
    </row>
    <row r="39" spans="1:32" x14ac:dyDescent="0.2">
      <c r="A39" s="18">
        <v>99</v>
      </c>
      <c r="B39" s="18">
        <v>1</v>
      </c>
      <c r="C39" s="3" t="s">
        <v>36</v>
      </c>
      <c r="D39" s="3">
        <f>Levy!F39</f>
        <v>782.24</v>
      </c>
      <c r="E39" s="3">
        <f>Levy!G39</f>
        <v>191527.67</v>
      </c>
      <c r="F39" s="3">
        <f>Levy!H39</f>
        <v>0</v>
      </c>
      <c r="G39" s="3">
        <f>Levy!I39</f>
        <v>252997.34</v>
      </c>
      <c r="H39" s="3">
        <f>Levy!J39</f>
        <v>55806.45</v>
      </c>
      <c r="I39" s="154">
        <v>0</v>
      </c>
      <c r="J39" s="19">
        <v>2000</v>
      </c>
      <c r="K39" s="19">
        <v>22572</v>
      </c>
      <c r="L39" s="19">
        <v>0</v>
      </c>
      <c r="M39" s="3">
        <v>0</v>
      </c>
      <c r="N39" s="3">
        <v>0</v>
      </c>
      <c r="O39" s="3">
        <v>0</v>
      </c>
      <c r="P39" s="19">
        <v>-2261.9899999999998</v>
      </c>
      <c r="Q39" s="19">
        <v>0</v>
      </c>
      <c r="R39" s="19">
        <v>-640.79999999999995</v>
      </c>
      <c r="S39" s="19">
        <v>0</v>
      </c>
      <c r="T39" s="3">
        <v>0</v>
      </c>
      <c r="U39" s="3">
        <v>0</v>
      </c>
      <c r="V39" s="21">
        <v>0</v>
      </c>
      <c r="W39" s="21">
        <v>0</v>
      </c>
      <c r="X39" s="3">
        <v>11758.5</v>
      </c>
      <c r="Y39" s="21">
        <v>29606.959999999999</v>
      </c>
      <c r="Z39" s="154">
        <f>Levy!U39</f>
        <v>0</v>
      </c>
      <c r="AA39" s="3">
        <f>Levy!V39</f>
        <v>0</v>
      </c>
      <c r="AB39" s="3">
        <f t="shared" si="3"/>
        <v>21669.210000000003</v>
      </c>
      <c r="AC39" s="3">
        <f t="shared" si="1"/>
        <v>411097.3</v>
      </c>
      <c r="AD39" s="3">
        <f t="shared" si="2"/>
        <v>55806.45</v>
      </c>
      <c r="AE39" s="3">
        <f>ROUND(MAX(0,(D39-V39)*Shift11!$B$3),2)</f>
        <v>380.17</v>
      </c>
      <c r="AF39" s="3">
        <f t="shared" si="4"/>
        <v>29606.959999999999</v>
      </c>
    </row>
    <row r="40" spans="1:32" x14ac:dyDescent="0.2">
      <c r="A40" s="18">
        <v>100</v>
      </c>
      <c r="B40" s="18">
        <v>1</v>
      </c>
      <c r="C40" s="3" t="s">
        <v>37</v>
      </c>
      <c r="D40" s="3">
        <f>Levy!F40</f>
        <v>188557.15</v>
      </c>
      <c r="E40" s="3">
        <f>Levy!G40</f>
        <v>39651.910000000003</v>
      </c>
      <c r="F40" s="3">
        <f>Levy!H40</f>
        <v>0</v>
      </c>
      <c r="G40" s="3">
        <f>Levy!I40</f>
        <v>139794.49</v>
      </c>
      <c r="H40" s="3">
        <f>Levy!J40</f>
        <v>22239.52</v>
      </c>
      <c r="I40" s="154">
        <v>0</v>
      </c>
      <c r="J40" s="19">
        <v>10000</v>
      </c>
      <c r="K40" s="19">
        <v>10000</v>
      </c>
      <c r="L40" s="19">
        <v>0</v>
      </c>
      <c r="M40" s="3">
        <v>0</v>
      </c>
      <c r="N40" s="3">
        <v>0</v>
      </c>
      <c r="O40" s="3">
        <v>0</v>
      </c>
      <c r="P40" s="19">
        <v>6799.74</v>
      </c>
      <c r="Q40" s="19">
        <v>0</v>
      </c>
      <c r="R40" s="19">
        <v>0</v>
      </c>
      <c r="S40" s="19">
        <v>0</v>
      </c>
      <c r="T40" s="3">
        <v>0</v>
      </c>
      <c r="U40" s="3">
        <v>0</v>
      </c>
      <c r="V40" s="21">
        <v>0</v>
      </c>
      <c r="W40" s="21">
        <v>0</v>
      </c>
      <c r="X40" s="3">
        <v>10979.92</v>
      </c>
      <c r="Y40" s="21">
        <v>14322.89</v>
      </c>
      <c r="Z40" s="154">
        <f>Levy!U40</f>
        <v>0</v>
      </c>
      <c r="AA40" s="3">
        <f>Levy!V40</f>
        <v>0</v>
      </c>
      <c r="AB40" s="3">
        <f t="shared" si="3"/>
        <v>26799.739999999998</v>
      </c>
      <c r="AC40" s="3">
        <f t="shared" si="1"/>
        <v>141666.74</v>
      </c>
      <c r="AD40" s="3">
        <f t="shared" si="2"/>
        <v>22239.52</v>
      </c>
      <c r="AE40" s="3">
        <f>ROUND(MAX(0,(D40-V40)*Shift11!$B$3),2)</f>
        <v>91638.77</v>
      </c>
      <c r="AF40" s="3">
        <f t="shared" si="4"/>
        <v>91638.77</v>
      </c>
    </row>
    <row r="41" spans="1:32" x14ac:dyDescent="0.2">
      <c r="A41" s="18">
        <v>108</v>
      </c>
      <c r="B41" s="18">
        <v>1</v>
      </c>
      <c r="C41" s="3" t="s">
        <v>38</v>
      </c>
      <c r="D41" s="3">
        <f>Levy!F41</f>
        <v>635290</v>
      </c>
      <c r="E41" s="3">
        <f>Levy!G41</f>
        <v>186479.98</v>
      </c>
      <c r="F41" s="3">
        <f>Levy!H41</f>
        <v>0</v>
      </c>
      <c r="G41" s="3">
        <f>Levy!I41</f>
        <v>480644.64</v>
      </c>
      <c r="H41" s="3">
        <f>Levy!J41</f>
        <v>188362.06</v>
      </c>
      <c r="I41" s="154">
        <v>0</v>
      </c>
      <c r="J41" s="19">
        <v>15000</v>
      </c>
      <c r="K41" s="19">
        <v>23427.89</v>
      </c>
      <c r="L41" s="19">
        <v>0</v>
      </c>
      <c r="M41" s="3">
        <v>0</v>
      </c>
      <c r="N41" s="3">
        <v>0</v>
      </c>
      <c r="O41" s="3">
        <v>0</v>
      </c>
      <c r="P41" s="19">
        <v>-13071.67</v>
      </c>
      <c r="Q41" s="19">
        <v>0</v>
      </c>
      <c r="R41" s="19">
        <v>0</v>
      </c>
      <c r="S41" s="19">
        <v>0</v>
      </c>
      <c r="T41" s="3">
        <v>0</v>
      </c>
      <c r="U41" s="3">
        <v>0</v>
      </c>
      <c r="V41" s="21">
        <v>0</v>
      </c>
      <c r="W41" s="21">
        <v>0</v>
      </c>
      <c r="X41" s="3">
        <v>0</v>
      </c>
      <c r="Y41" s="21">
        <v>63073.58</v>
      </c>
      <c r="Z41" s="154">
        <f>Levy!U41</f>
        <v>0</v>
      </c>
      <c r="AA41" s="3">
        <f>Levy!V41</f>
        <v>0</v>
      </c>
      <c r="AB41" s="3">
        <f t="shared" si="3"/>
        <v>25356.22</v>
      </c>
      <c r="AC41" s="3">
        <f t="shared" si="1"/>
        <v>641768.4</v>
      </c>
      <c r="AD41" s="3">
        <f t="shared" si="2"/>
        <v>188362.06</v>
      </c>
      <c r="AE41" s="3">
        <f>ROUND(MAX(0,(D41-V41)*Shift11!$B$3),2)</f>
        <v>308750.94</v>
      </c>
      <c r="AF41" s="3">
        <f t="shared" si="4"/>
        <v>308750.94</v>
      </c>
    </row>
    <row r="42" spans="1:32" x14ac:dyDescent="0.2">
      <c r="A42" s="18">
        <v>110</v>
      </c>
      <c r="B42" s="18">
        <v>1</v>
      </c>
      <c r="C42" s="3" t="s">
        <v>39</v>
      </c>
      <c r="D42" s="3">
        <f>Levy!F42</f>
        <v>2877361.83</v>
      </c>
      <c r="E42" s="3">
        <f>Levy!G42</f>
        <v>581841.93000000005</v>
      </c>
      <c r="F42" s="3">
        <f>Levy!H42</f>
        <v>0</v>
      </c>
      <c r="G42" s="3">
        <f>Levy!I42</f>
        <v>1418517.05</v>
      </c>
      <c r="H42" s="3">
        <f>Levy!J42</f>
        <v>299103.35999999999</v>
      </c>
      <c r="I42" s="154">
        <v>0</v>
      </c>
      <c r="J42" s="19">
        <v>30790</v>
      </c>
      <c r="K42" s="19">
        <v>49832.05</v>
      </c>
      <c r="L42" s="19">
        <v>0</v>
      </c>
      <c r="M42" s="3">
        <v>0</v>
      </c>
      <c r="N42" s="3">
        <v>0</v>
      </c>
      <c r="O42" s="3">
        <v>0</v>
      </c>
      <c r="P42" s="19">
        <v>-2643.02</v>
      </c>
      <c r="Q42" s="19">
        <v>0</v>
      </c>
      <c r="R42" s="19">
        <v>-890.92</v>
      </c>
      <c r="S42" s="19">
        <v>0</v>
      </c>
      <c r="T42" s="3">
        <v>0</v>
      </c>
      <c r="U42" s="3">
        <v>0</v>
      </c>
      <c r="V42" s="21">
        <v>0</v>
      </c>
      <c r="W42" s="21">
        <v>0</v>
      </c>
      <c r="X42" s="3">
        <v>47580.01</v>
      </c>
      <c r="Y42" s="21">
        <v>263386.8</v>
      </c>
      <c r="Z42" s="154">
        <f>Levy!U42</f>
        <v>0</v>
      </c>
      <c r="AA42" s="3">
        <f>Levy!V42</f>
        <v>0</v>
      </c>
      <c r="AB42" s="3">
        <f t="shared" si="3"/>
        <v>77088.11</v>
      </c>
      <c r="AC42" s="3">
        <f t="shared" si="1"/>
        <v>1875690.86</v>
      </c>
      <c r="AD42" s="3">
        <f t="shared" si="2"/>
        <v>299103.35999999999</v>
      </c>
      <c r="AE42" s="3">
        <f>ROUND(MAX(0,(D42-V42)*Shift11!$B$3),2)</f>
        <v>1398397.85</v>
      </c>
      <c r="AF42" s="3">
        <f t="shared" si="4"/>
        <v>1398397.85</v>
      </c>
    </row>
    <row r="43" spans="1:32" x14ac:dyDescent="0.2">
      <c r="A43" s="18">
        <v>111</v>
      </c>
      <c r="B43" s="18">
        <v>1</v>
      </c>
      <c r="C43" s="3" t="s">
        <v>40</v>
      </c>
      <c r="D43" s="3">
        <f>Levy!F43</f>
        <v>454141.29</v>
      </c>
      <c r="E43" s="3">
        <f>Levy!G43</f>
        <v>344144.18</v>
      </c>
      <c r="F43" s="3">
        <f>Levy!H43</f>
        <v>0</v>
      </c>
      <c r="G43" s="3">
        <f>Levy!I43</f>
        <v>563617.15</v>
      </c>
      <c r="H43" s="3">
        <f>Levy!J43</f>
        <v>210711.69</v>
      </c>
      <c r="I43" s="154">
        <v>0</v>
      </c>
      <c r="J43" s="19">
        <v>24000</v>
      </c>
      <c r="K43" s="19">
        <v>34054.400000000001</v>
      </c>
      <c r="L43" s="19">
        <v>0</v>
      </c>
      <c r="M43" s="3">
        <v>0</v>
      </c>
      <c r="N43" s="3">
        <v>0</v>
      </c>
      <c r="O43" s="3">
        <v>0</v>
      </c>
      <c r="P43" s="19">
        <v>7835.67</v>
      </c>
      <c r="Q43" s="19">
        <v>0</v>
      </c>
      <c r="R43" s="19">
        <v>-3279.2</v>
      </c>
      <c r="S43" s="19">
        <v>0</v>
      </c>
      <c r="T43" s="3">
        <v>0</v>
      </c>
      <c r="U43" s="3">
        <v>0</v>
      </c>
      <c r="V43" s="21">
        <v>0</v>
      </c>
      <c r="W43" s="21">
        <v>0</v>
      </c>
      <c r="X43" s="3">
        <v>14098.14</v>
      </c>
      <c r="Y43" s="21">
        <v>53287.46</v>
      </c>
      <c r="Z43" s="154">
        <f>Levy!U43</f>
        <v>0</v>
      </c>
      <c r="AA43" s="3">
        <f>Levy!V43</f>
        <v>0</v>
      </c>
      <c r="AB43" s="3">
        <f t="shared" si="3"/>
        <v>62610.87000000001</v>
      </c>
      <c r="AC43" s="3">
        <f t="shared" si="1"/>
        <v>831052.32</v>
      </c>
      <c r="AD43" s="3">
        <f t="shared" si="2"/>
        <v>210711.69</v>
      </c>
      <c r="AE43" s="3">
        <f>ROUND(MAX(0,(D43-V43)*Shift11!$B$3),2)</f>
        <v>220712.67</v>
      </c>
      <c r="AF43" s="3">
        <f t="shared" si="4"/>
        <v>220712.67</v>
      </c>
    </row>
    <row r="44" spans="1:32" x14ac:dyDescent="0.2">
      <c r="A44" s="18">
        <v>112</v>
      </c>
      <c r="B44" s="18">
        <v>1</v>
      </c>
      <c r="C44" s="3" t="s">
        <v>41</v>
      </c>
      <c r="D44" s="3">
        <f>Levy!F44</f>
        <v>12040765.859999999</v>
      </c>
      <c r="E44" s="3">
        <f>Levy!G44</f>
        <v>1147463.8999999999</v>
      </c>
      <c r="F44" s="3">
        <f>Levy!H44</f>
        <v>0</v>
      </c>
      <c r="G44" s="3">
        <f>Levy!I44</f>
        <v>4436899.47</v>
      </c>
      <c r="H44" s="3">
        <f>Levy!J44</f>
        <v>834803.51</v>
      </c>
      <c r="I44" s="154">
        <v>0</v>
      </c>
      <c r="J44" s="19">
        <v>75000</v>
      </c>
      <c r="K44" s="19">
        <v>142423.28</v>
      </c>
      <c r="L44" s="19">
        <v>0</v>
      </c>
      <c r="M44" s="3">
        <v>0</v>
      </c>
      <c r="N44" s="3">
        <v>0</v>
      </c>
      <c r="O44" s="3">
        <v>0</v>
      </c>
      <c r="P44" s="19">
        <v>2910.73</v>
      </c>
      <c r="Q44" s="19">
        <v>0</v>
      </c>
      <c r="R44" s="19">
        <v>0</v>
      </c>
      <c r="S44" s="19">
        <v>0</v>
      </c>
      <c r="T44" s="3">
        <v>0</v>
      </c>
      <c r="U44" s="3">
        <v>0</v>
      </c>
      <c r="V44" s="21">
        <v>0</v>
      </c>
      <c r="W44" s="21">
        <v>0</v>
      </c>
      <c r="X44" s="3">
        <v>41804.71</v>
      </c>
      <c r="Y44" s="21">
        <v>1809944.64</v>
      </c>
      <c r="Z44" s="154">
        <f>Levy!U44</f>
        <v>0</v>
      </c>
      <c r="AA44" s="3">
        <f>Levy!V44</f>
        <v>0</v>
      </c>
      <c r="AB44" s="3">
        <f t="shared" si="3"/>
        <v>220334.01</v>
      </c>
      <c r="AC44" s="3">
        <f t="shared" si="1"/>
        <v>5322224.6500000004</v>
      </c>
      <c r="AD44" s="3">
        <f t="shared" si="2"/>
        <v>834803.51</v>
      </c>
      <c r="AE44" s="3">
        <f>ROUND(MAX(0,(D44-V44)*Shift11!$B$3),2)</f>
        <v>5851812.21</v>
      </c>
      <c r="AF44" s="3">
        <f t="shared" si="4"/>
        <v>5851812.21</v>
      </c>
    </row>
    <row r="45" spans="1:32" x14ac:dyDescent="0.2">
      <c r="A45" s="18">
        <v>113</v>
      </c>
      <c r="B45" s="18">
        <v>1</v>
      </c>
      <c r="C45" s="3" t="s">
        <v>42</v>
      </c>
      <c r="D45" s="3">
        <f>Levy!F45</f>
        <v>0</v>
      </c>
      <c r="E45" s="3">
        <f>Levy!G45</f>
        <v>159096.73000000001</v>
      </c>
      <c r="F45" s="3">
        <f>Levy!H45</f>
        <v>0</v>
      </c>
      <c r="G45" s="3">
        <f>Levy!I45</f>
        <v>418608.75</v>
      </c>
      <c r="H45" s="3">
        <f>Levy!J45</f>
        <v>85878.88</v>
      </c>
      <c r="I45" s="154">
        <v>0</v>
      </c>
      <c r="J45" s="19">
        <v>0</v>
      </c>
      <c r="K45" s="19">
        <v>20972.62</v>
      </c>
      <c r="L45" s="19">
        <v>0</v>
      </c>
      <c r="M45" s="3">
        <v>0</v>
      </c>
      <c r="N45" s="3">
        <v>0</v>
      </c>
      <c r="O45" s="3">
        <v>0</v>
      </c>
      <c r="P45" s="19">
        <v>16601.96</v>
      </c>
      <c r="Q45" s="19">
        <v>0</v>
      </c>
      <c r="R45" s="19">
        <v>-16131.83</v>
      </c>
      <c r="S45" s="19">
        <v>0</v>
      </c>
      <c r="T45" s="3">
        <v>0</v>
      </c>
      <c r="U45" s="3">
        <v>0</v>
      </c>
      <c r="V45" s="21">
        <v>0</v>
      </c>
      <c r="W45" s="21">
        <v>0</v>
      </c>
      <c r="X45" s="3">
        <v>0</v>
      </c>
      <c r="Y45" s="21">
        <v>0</v>
      </c>
      <c r="Z45" s="154">
        <f>Levy!U45</f>
        <v>0</v>
      </c>
      <c r="AA45" s="3">
        <f>Levy!V45</f>
        <v>0</v>
      </c>
      <c r="AB45" s="3">
        <f t="shared" si="3"/>
        <v>21442.75</v>
      </c>
      <c r="AC45" s="3">
        <f t="shared" si="1"/>
        <v>556262.73</v>
      </c>
      <c r="AD45" s="3">
        <f t="shared" si="2"/>
        <v>85878.88</v>
      </c>
      <c r="AE45" s="3">
        <f>ROUND(MAX(0,(D45-V45)*Shift11!$B$3),2)</f>
        <v>0</v>
      </c>
      <c r="AF45" s="3">
        <f t="shared" si="4"/>
        <v>0</v>
      </c>
    </row>
    <row r="46" spans="1:32" x14ac:dyDescent="0.2">
      <c r="A46" s="18">
        <v>115</v>
      </c>
      <c r="B46" s="18">
        <v>1</v>
      </c>
      <c r="C46" s="3" t="s">
        <v>43</v>
      </c>
      <c r="D46" s="3">
        <f>Levy!F46</f>
        <v>0</v>
      </c>
      <c r="E46" s="3">
        <f>Levy!G46</f>
        <v>243785.29</v>
      </c>
      <c r="F46" s="3">
        <f>Levy!H46</f>
        <v>0</v>
      </c>
      <c r="G46" s="3">
        <f>Levy!I46</f>
        <v>188718.58</v>
      </c>
      <c r="H46" s="3">
        <f>Levy!J46</f>
        <v>45603.7</v>
      </c>
      <c r="I46" s="154">
        <v>0</v>
      </c>
      <c r="J46" s="19">
        <v>25000</v>
      </c>
      <c r="K46" s="19">
        <v>18438.400000000001</v>
      </c>
      <c r="L46" s="19">
        <v>0</v>
      </c>
      <c r="M46" s="3">
        <v>0</v>
      </c>
      <c r="N46" s="3">
        <v>0</v>
      </c>
      <c r="O46" s="3">
        <v>0</v>
      </c>
      <c r="P46" s="19">
        <v>-22650</v>
      </c>
      <c r="Q46" s="19">
        <v>0</v>
      </c>
      <c r="R46" s="19">
        <v>-5681.37</v>
      </c>
      <c r="S46" s="19">
        <v>0</v>
      </c>
      <c r="T46" s="3">
        <v>0</v>
      </c>
      <c r="U46" s="3">
        <v>0</v>
      </c>
      <c r="V46" s="21">
        <v>0</v>
      </c>
      <c r="W46" s="21">
        <v>0</v>
      </c>
      <c r="X46" s="3">
        <v>0</v>
      </c>
      <c r="Y46" s="21">
        <v>0</v>
      </c>
      <c r="Z46" s="154">
        <f>Levy!U46</f>
        <v>0</v>
      </c>
      <c r="AA46" s="3">
        <f>Levy!V46</f>
        <v>0</v>
      </c>
      <c r="AB46" s="3">
        <f t="shared" si="3"/>
        <v>15107.030000000002</v>
      </c>
      <c r="AC46" s="3">
        <f t="shared" si="1"/>
        <v>417396.84</v>
      </c>
      <c r="AD46" s="3">
        <f t="shared" si="2"/>
        <v>45603.7</v>
      </c>
      <c r="AE46" s="3">
        <f>ROUND(MAX(0,(D46-V46)*Shift11!$B$3),2)</f>
        <v>0</v>
      </c>
      <c r="AF46" s="3">
        <f t="shared" si="4"/>
        <v>0</v>
      </c>
    </row>
    <row r="47" spans="1:32" x14ac:dyDescent="0.2">
      <c r="A47" s="18">
        <v>116</v>
      </c>
      <c r="B47" s="18">
        <v>1</v>
      </c>
      <c r="C47" s="3" t="s">
        <v>44</v>
      </c>
      <c r="D47" s="3">
        <f>Levy!F47</f>
        <v>0</v>
      </c>
      <c r="E47" s="3">
        <f>Levy!G47</f>
        <v>185346.66</v>
      </c>
      <c r="F47" s="3">
        <f>Levy!H47</f>
        <v>0</v>
      </c>
      <c r="G47" s="3">
        <f>Levy!I47</f>
        <v>479090.76</v>
      </c>
      <c r="H47" s="3">
        <f>Levy!J47</f>
        <v>112574.39</v>
      </c>
      <c r="I47" s="154">
        <v>0</v>
      </c>
      <c r="J47" s="19">
        <v>20000</v>
      </c>
      <c r="K47" s="19">
        <v>15024</v>
      </c>
      <c r="L47" s="19">
        <v>0</v>
      </c>
      <c r="M47" s="3">
        <v>0</v>
      </c>
      <c r="N47" s="3">
        <v>0</v>
      </c>
      <c r="O47" s="3">
        <v>0</v>
      </c>
      <c r="P47" s="19">
        <v>-11407.09</v>
      </c>
      <c r="Q47" s="19">
        <v>0</v>
      </c>
      <c r="R47" s="19">
        <v>329.6</v>
      </c>
      <c r="S47" s="19">
        <v>0</v>
      </c>
      <c r="T47" s="3">
        <v>0</v>
      </c>
      <c r="U47" s="3">
        <v>0</v>
      </c>
      <c r="V47" s="21">
        <v>0</v>
      </c>
      <c r="W47" s="21">
        <v>0</v>
      </c>
      <c r="X47" s="3">
        <v>0</v>
      </c>
      <c r="Y47" s="21">
        <v>0</v>
      </c>
      <c r="Z47" s="154">
        <f>Levy!U47</f>
        <v>0</v>
      </c>
      <c r="AA47" s="3">
        <f>Levy!V47</f>
        <v>0</v>
      </c>
      <c r="AB47" s="3">
        <f t="shared" si="3"/>
        <v>23946.51</v>
      </c>
      <c r="AC47" s="3">
        <f t="shared" si="1"/>
        <v>640490.91</v>
      </c>
      <c r="AD47" s="3">
        <f t="shared" si="2"/>
        <v>112574.39</v>
      </c>
      <c r="AE47" s="3">
        <f>ROUND(MAX(0,(D47-V47)*Shift11!$B$3),2)</f>
        <v>0</v>
      </c>
      <c r="AF47" s="3">
        <f t="shared" si="4"/>
        <v>0</v>
      </c>
    </row>
    <row r="48" spans="1:32" x14ac:dyDescent="0.2">
      <c r="A48" s="18">
        <v>118</v>
      </c>
      <c r="B48" s="18">
        <v>1</v>
      </c>
      <c r="C48" s="3" t="s">
        <v>45</v>
      </c>
      <c r="D48" s="3">
        <f>Levy!F48</f>
        <v>233812.69</v>
      </c>
      <c r="E48" s="3">
        <f>Levy!G48</f>
        <v>44234.65</v>
      </c>
      <c r="F48" s="3">
        <f>Levy!H48</f>
        <v>0</v>
      </c>
      <c r="G48" s="3">
        <f>Levy!I48</f>
        <v>288085.24</v>
      </c>
      <c r="H48" s="3">
        <f>Levy!J48</f>
        <v>66482.990000000005</v>
      </c>
      <c r="I48" s="154">
        <v>0</v>
      </c>
      <c r="J48" s="19">
        <v>40000</v>
      </c>
      <c r="K48" s="19">
        <v>11326.05</v>
      </c>
      <c r="L48" s="19">
        <v>0</v>
      </c>
      <c r="M48" s="3">
        <v>0</v>
      </c>
      <c r="N48" s="3">
        <v>0</v>
      </c>
      <c r="O48" s="3">
        <v>0</v>
      </c>
      <c r="P48" s="19">
        <v>-1030.17</v>
      </c>
      <c r="Q48" s="19">
        <v>0</v>
      </c>
      <c r="R48" s="19">
        <v>0</v>
      </c>
      <c r="S48" s="19">
        <v>0</v>
      </c>
      <c r="T48" s="3">
        <v>0</v>
      </c>
      <c r="U48" s="3">
        <v>0</v>
      </c>
      <c r="V48" s="21">
        <v>0</v>
      </c>
      <c r="W48" s="21">
        <v>0</v>
      </c>
      <c r="X48" s="3">
        <v>0</v>
      </c>
      <c r="Y48" s="21">
        <v>71477.7</v>
      </c>
      <c r="Z48" s="154">
        <f>Levy!U48</f>
        <v>0</v>
      </c>
      <c r="AA48" s="3">
        <f>Levy!V48</f>
        <v>0</v>
      </c>
      <c r="AB48" s="3">
        <f t="shared" si="3"/>
        <v>50295.880000000005</v>
      </c>
      <c r="AC48" s="3">
        <f t="shared" si="1"/>
        <v>282024.01</v>
      </c>
      <c r="AD48" s="3">
        <f t="shared" si="2"/>
        <v>66482.990000000005</v>
      </c>
      <c r="AE48" s="3">
        <f>ROUND(MAX(0,(D48-V48)*Shift11!$B$3),2)</f>
        <v>113632.97</v>
      </c>
      <c r="AF48" s="3">
        <f t="shared" si="4"/>
        <v>113632.97</v>
      </c>
    </row>
    <row r="49" spans="1:32" x14ac:dyDescent="0.2">
      <c r="A49" s="18">
        <v>129</v>
      </c>
      <c r="B49" s="18">
        <v>1</v>
      </c>
      <c r="C49" s="3" t="s">
        <v>46</v>
      </c>
      <c r="D49" s="3">
        <f>Levy!F49</f>
        <v>344766.34</v>
      </c>
      <c r="E49" s="3">
        <f>Levy!G49</f>
        <v>87173.36</v>
      </c>
      <c r="F49" s="3">
        <f>Levy!H49</f>
        <v>0</v>
      </c>
      <c r="G49" s="3">
        <f>Levy!I49</f>
        <v>396214.4</v>
      </c>
      <c r="H49" s="3">
        <f>Levy!J49</f>
        <v>101081.2</v>
      </c>
      <c r="I49" s="154">
        <v>0</v>
      </c>
      <c r="J49" s="19">
        <v>30000</v>
      </c>
      <c r="K49" s="19">
        <v>79989.17</v>
      </c>
      <c r="L49" s="19">
        <v>0</v>
      </c>
      <c r="M49" s="3">
        <v>0</v>
      </c>
      <c r="N49" s="3">
        <v>0</v>
      </c>
      <c r="O49" s="3">
        <v>0</v>
      </c>
      <c r="P49" s="19">
        <v>-11675.58</v>
      </c>
      <c r="Q49" s="19">
        <v>0</v>
      </c>
      <c r="R49" s="19">
        <v>0</v>
      </c>
      <c r="S49" s="19">
        <v>0</v>
      </c>
      <c r="T49" s="3">
        <v>0</v>
      </c>
      <c r="U49" s="3">
        <v>0</v>
      </c>
      <c r="V49" s="21">
        <v>0</v>
      </c>
      <c r="W49" s="21">
        <v>0</v>
      </c>
      <c r="X49" s="3">
        <v>0</v>
      </c>
      <c r="Y49" s="21">
        <v>76642.47</v>
      </c>
      <c r="Z49" s="154">
        <f>Levy!U49</f>
        <v>0</v>
      </c>
      <c r="AA49" s="3">
        <f>Levy!V49</f>
        <v>0</v>
      </c>
      <c r="AB49" s="3">
        <f t="shared" si="3"/>
        <v>98313.59</v>
      </c>
      <c r="AC49" s="3">
        <f t="shared" si="1"/>
        <v>385074.17</v>
      </c>
      <c r="AD49" s="3">
        <f t="shared" si="2"/>
        <v>101081.2</v>
      </c>
      <c r="AE49" s="3">
        <f>ROUND(MAX(0,(D49-V49)*Shift11!$B$3),2)</f>
        <v>167556.44</v>
      </c>
      <c r="AF49" s="3">
        <f t="shared" si="4"/>
        <v>167556.44</v>
      </c>
    </row>
    <row r="50" spans="1:32" x14ac:dyDescent="0.2">
      <c r="A50" s="18">
        <v>138</v>
      </c>
      <c r="B50" s="18">
        <v>1</v>
      </c>
      <c r="C50" s="3" t="s">
        <v>47</v>
      </c>
      <c r="D50" s="3">
        <f>Levy!F50</f>
        <v>0</v>
      </c>
      <c r="E50" s="3">
        <f>Levy!G50</f>
        <v>310008.46000000002</v>
      </c>
      <c r="F50" s="3">
        <f>Levy!H50</f>
        <v>0</v>
      </c>
      <c r="G50" s="3">
        <f>Levy!I50</f>
        <v>1200462.6299999999</v>
      </c>
      <c r="H50" s="3">
        <f>Levy!J50</f>
        <v>223274.9</v>
      </c>
      <c r="I50" s="154">
        <v>0</v>
      </c>
      <c r="J50" s="19">
        <v>45000</v>
      </c>
      <c r="K50" s="19">
        <v>60341.96</v>
      </c>
      <c r="L50" s="19">
        <v>0</v>
      </c>
      <c r="M50" s="3">
        <v>0</v>
      </c>
      <c r="N50" s="3">
        <v>0</v>
      </c>
      <c r="O50" s="3">
        <v>0</v>
      </c>
      <c r="P50" s="19">
        <v>7469.46</v>
      </c>
      <c r="Q50" s="19">
        <v>0</v>
      </c>
      <c r="R50" s="19">
        <v>-4425.29</v>
      </c>
      <c r="S50" s="19">
        <v>0</v>
      </c>
      <c r="T50" s="3">
        <v>0</v>
      </c>
      <c r="U50" s="3">
        <v>0</v>
      </c>
      <c r="V50" s="21">
        <v>0</v>
      </c>
      <c r="W50" s="21">
        <v>0</v>
      </c>
      <c r="X50" s="3">
        <v>0</v>
      </c>
      <c r="Y50" s="21">
        <v>124195.25</v>
      </c>
      <c r="Z50" s="154">
        <f>Levy!U50</f>
        <v>0</v>
      </c>
      <c r="AA50" s="3">
        <f>Levy!V50</f>
        <v>0</v>
      </c>
      <c r="AB50" s="3">
        <f t="shared" si="3"/>
        <v>108386.13</v>
      </c>
      <c r="AC50" s="3">
        <f t="shared" si="1"/>
        <v>1402084.96</v>
      </c>
      <c r="AD50" s="3">
        <f t="shared" si="2"/>
        <v>223274.9</v>
      </c>
      <c r="AE50" s="3">
        <f>ROUND(MAX(0,(D50-V50)*Shift11!$B$3),2)</f>
        <v>0</v>
      </c>
      <c r="AF50" s="3">
        <f t="shared" si="4"/>
        <v>124195.25</v>
      </c>
    </row>
    <row r="51" spans="1:32" x14ac:dyDescent="0.2">
      <c r="A51" s="18">
        <v>139</v>
      </c>
      <c r="B51" s="18">
        <v>1</v>
      </c>
      <c r="C51" s="3" t="s">
        <v>48</v>
      </c>
      <c r="D51" s="3">
        <f>Levy!F51</f>
        <v>0</v>
      </c>
      <c r="E51" s="3">
        <f>Levy!G51</f>
        <v>115708.41</v>
      </c>
      <c r="F51" s="3">
        <f>Levy!H51</f>
        <v>0</v>
      </c>
      <c r="G51" s="3">
        <f>Levy!I51</f>
        <v>431159.8</v>
      </c>
      <c r="H51" s="3">
        <f>Levy!J51</f>
        <v>53194.9</v>
      </c>
      <c r="I51" s="154">
        <v>0</v>
      </c>
      <c r="J51" s="19">
        <v>15000</v>
      </c>
      <c r="K51" s="19">
        <v>18361.599999999999</v>
      </c>
      <c r="L51" s="19">
        <v>0</v>
      </c>
      <c r="M51" s="3">
        <v>0</v>
      </c>
      <c r="N51" s="3">
        <v>0</v>
      </c>
      <c r="O51" s="3">
        <v>0</v>
      </c>
      <c r="P51" s="19">
        <v>-3354.13</v>
      </c>
      <c r="Q51" s="19">
        <v>0</v>
      </c>
      <c r="R51" s="19">
        <v>-561.6</v>
      </c>
      <c r="S51" s="19">
        <v>0</v>
      </c>
      <c r="T51" s="3">
        <v>0</v>
      </c>
      <c r="U51" s="3">
        <v>0</v>
      </c>
      <c r="V51" s="21">
        <v>0</v>
      </c>
      <c r="W51" s="21">
        <v>0</v>
      </c>
      <c r="X51" s="3">
        <v>0</v>
      </c>
      <c r="Y51" s="21">
        <v>0</v>
      </c>
      <c r="Z51" s="154">
        <f>Levy!U51</f>
        <v>0</v>
      </c>
      <c r="AA51" s="3">
        <f>Levy!V51</f>
        <v>0</v>
      </c>
      <c r="AB51" s="3">
        <f t="shared" si="3"/>
        <v>29445.87</v>
      </c>
      <c r="AC51" s="3">
        <f t="shared" si="1"/>
        <v>517422.34</v>
      </c>
      <c r="AD51" s="3">
        <f t="shared" si="2"/>
        <v>53194.9</v>
      </c>
      <c r="AE51" s="3">
        <f>ROUND(MAX(0,(D51-V51)*Shift11!$B$3),2)</f>
        <v>0</v>
      </c>
      <c r="AF51" s="3">
        <f t="shared" si="4"/>
        <v>0</v>
      </c>
    </row>
    <row r="52" spans="1:32" x14ac:dyDescent="0.2">
      <c r="A52" s="18">
        <v>146</v>
      </c>
      <c r="B52" s="18">
        <v>1</v>
      </c>
      <c r="C52" s="3" t="s">
        <v>49</v>
      </c>
      <c r="D52" s="3">
        <f>Levy!F52</f>
        <v>548276.68999999994</v>
      </c>
      <c r="E52" s="3">
        <f>Levy!G52</f>
        <v>48642.15</v>
      </c>
      <c r="F52" s="3">
        <f>Levy!H52</f>
        <v>0</v>
      </c>
      <c r="G52" s="3">
        <f>Levy!I52</f>
        <v>261638.94</v>
      </c>
      <c r="H52" s="3">
        <f>Levy!J52</f>
        <v>52863.45</v>
      </c>
      <c r="I52" s="154">
        <v>0</v>
      </c>
      <c r="J52" s="19">
        <v>6000</v>
      </c>
      <c r="K52" s="19">
        <v>14783.2</v>
      </c>
      <c r="L52" s="19">
        <v>0</v>
      </c>
      <c r="M52" s="3">
        <v>0</v>
      </c>
      <c r="N52" s="3">
        <v>0</v>
      </c>
      <c r="O52" s="3">
        <v>0</v>
      </c>
      <c r="P52" s="19">
        <v>513.54999999999995</v>
      </c>
      <c r="Q52" s="19">
        <v>0</v>
      </c>
      <c r="R52" s="19">
        <v>-1057.98</v>
      </c>
      <c r="S52" s="19">
        <v>0</v>
      </c>
      <c r="T52" s="3">
        <v>0</v>
      </c>
      <c r="U52" s="3">
        <v>0</v>
      </c>
      <c r="V52" s="21">
        <v>0</v>
      </c>
      <c r="W52" s="21">
        <v>0</v>
      </c>
      <c r="X52" s="3">
        <v>0</v>
      </c>
      <c r="Y52" s="21">
        <v>47325.63</v>
      </c>
      <c r="Z52" s="154">
        <f>Levy!U52</f>
        <v>0</v>
      </c>
      <c r="AA52" s="3">
        <f>Levy!V52</f>
        <v>0</v>
      </c>
      <c r="AB52" s="3">
        <f t="shared" si="3"/>
        <v>20238.77</v>
      </c>
      <c r="AC52" s="3">
        <f t="shared" si="1"/>
        <v>290042.32</v>
      </c>
      <c r="AD52" s="3">
        <f t="shared" si="2"/>
        <v>52863.45</v>
      </c>
      <c r="AE52" s="3">
        <f>ROUND(MAX(0,(D52-V52)*Shift11!$B$3),2)</f>
        <v>266462.46999999997</v>
      </c>
      <c r="AF52" s="3">
        <f t="shared" si="4"/>
        <v>266462.46999999997</v>
      </c>
    </row>
    <row r="53" spans="1:32" x14ac:dyDescent="0.2">
      <c r="A53" s="18">
        <v>150</v>
      </c>
      <c r="B53" s="18">
        <v>1</v>
      </c>
      <c r="C53" s="3" t="s">
        <v>50</v>
      </c>
      <c r="D53" s="3">
        <f>Levy!F53</f>
        <v>230604.58</v>
      </c>
      <c r="E53" s="3">
        <f>Levy!G53</f>
        <v>61821.9</v>
      </c>
      <c r="F53" s="3">
        <f>Levy!H53</f>
        <v>0</v>
      </c>
      <c r="G53" s="3">
        <f>Levy!I53</f>
        <v>202220.7</v>
      </c>
      <c r="H53" s="3">
        <f>Levy!J53</f>
        <v>34333.08</v>
      </c>
      <c r="I53" s="154">
        <v>0</v>
      </c>
      <c r="J53" s="19">
        <v>17500</v>
      </c>
      <c r="K53" s="19">
        <v>16950.400000000001</v>
      </c>
      <c r="L53" s="19">
        <v>0</v>
      </c>
      <c r="M53" s="3">
        <v>0</v>
      </c>
      <c r="N53" s="3">
        <v>0</v>
      </c>
      <c r="O53" s="3">
        <v>0</v>
      </c>
      <c r="P53" s="19">
        <v>-1175.6099999999999</v>
      </c>
      <c r="Q53" s="19">
        <v>0</v>
      </c>
      <c r="R53" s="19">
        <v>-476.8</v>
      </c>
      <c r="S53" s="19">
        <v>0</v>
      </c>
      <c r="T53" s="3">
        <v>0</v>
      </c>
      <c r="U53" s="3">
        <v>0</v>
      </c>
      <c r="V53" s="21">
        <v>0</v>
      </c>
      <c r="W53" s="21">
        <v>0</v>
      </c>
      <c r="X53" s="3">
        <v>0</v>
      </c>
      <c r="Y53" s="21">
        <v>27885.64</v>
      </c>
      <c r="Z53" s="154">
        <f>Levy!U53</f>
        <v>0</v>
      </c>
      <c r="AA53" s="3">
        <f>Levy!V53</f>
        <v>0</v>
      </c>
      <c r="AB53" s="3">
        <f t="shared" si="3"/>
        <v>32797.99</v>
      </c>
      <c r="AC53" s="3">
        <f t="shared" si="1"/>
        <v>231244.61</v>
      </c>
      <c r="AD53" s="3">
        <f t="shared" si="2"/>
        <v>34333.08</v>
      </c>
      <c r="AE53" s="3">
        <f>ROUND(MAX(0,(D53-V53)*Shift11!$B$3),2)</f>
        <v>112073.83</v>
      </c>
      <c r="AF53" s="3">
        <f t="shared" si="4"/>
        <v>112073.83</v>
      </c>
    </row>
    <row r="54" spans="1:32" x14ac:dyDescent="0.2">
      <c r="A54" s="18">
        <v>152</v>
      </c>
      <c r="B54" s="18">
        <v>1</v>
      </c>
      <c r="C54" s="3" t="s">
        <v>51</v>
      </c>
      <c r="D54" s="3">
        <f>Levy!F54</f>
        <v>4261180.26</v>
      </c>
      <c r="E54" s="3">
        <f>Levy!G54</f>
        <v>653086.79</v>
      </c>
      <c r="F54" s="3">
        <f>Levy!H54</f>
        <v>0</v>
      </c>
      <c r="G54" s="3">
        <f>Levy!I54</f>
        <v>1466483.03</v>
      </c>
      <c r="H54" s="3">
        <f>Levy!J54</f>
        <v>458866.22</v>
      </c>
      <c r="I54" s="154">
        <v>0</v>
      </c>
      <c r="J54" s="19">
        <v>103726</v>
      </c>
      <c r="K54" s="19">
        <v>100434.4</v>
      </c>
      <c r="L54" s="19">
        <v>0</v>
      </c>
      <c r="M54" s="3">
        <v>0</v>
      </c>
      <c r="N54" s="3">
        <v>0</v>
      </c>
      <c r="O54" s="3">
        <v>0</v>
      </c>
      <c r="P54" s="19">
        <v>19495.84</v>
      </c>
      <c r="Q54" s="19">
        <v>0</v>
      </c>
      <c r="R54" s="19">
        <v>-3438.24</v>
      </c>
      <c r="S54" s="19">
        <v>0</v>
      </c>
      <c r="T54" s="3">
        <v>0</v>
      </c>
      <c r="U54" s="3">
        <v>0</v>
      </c>
      <c r="V54" s="21">
        <v>0</v>
      </c>
      <c r="W54" s="21">
        <v>0</v>
      </c>
      <c r="X54" s="3">
        <v>0</v>
      </c>
      <c r="Y54" s="21">
        <v>260799.18</v>
      </c>
      <c r="Z54" s="154">
        <f>Levy!U54</f>
        <v>0</v>
      </c>
      <c r="AA54" s="3">
        <f>Levy!V54</f>
        <v>0</v>
      </c>
      <c r="AB54" s="3">
        <f t="shared" si="3"/>
        <v>220218</v>
      </c>
      <c r="AC54" s="3">
        <f t="shared" si="1"/>
        <v>1899351.82</v>
      </c>
      <c r="AD54" s="3">
        <f t="shared" si="2"/>
        <v>458866.22</v>
      </c>
      <c r="AE54" s="3">
        <f>ROUND(MAX(0,(D54-V54)*Shift11!$B$3),2)</f>
        <v>2070933.61</v>
      </c>
      <c r="AF54" s="3">
        <f t="shared" si="4"/>
        <v>2070933.61</v>
      </c>
    </row>
    <row r="55" spans="1:32" x14ac:dyDescent="0.2">
      <c r="A55" s="18">
        <v>162</v>
      </c>
      <c r="B55" s="18">
        <v>1</v>
      </c>
      <c r="C55" s="3" t="s">
        <v>52</v>
      </c>
      <c r="D55" s="3">
        <f>Levy!F55</f>
        <v>0</v>
      </c>
      <c r="E55" s="3">
        <f>Levy!G55</f>
        <v>105661</v>
      </c>
      <c r="F55" s="3">
        <f>Levy!H55</f>
        <v>0</v>
      </c>
      <c r="G55" s="3">
        <f>Levy!I55</f>
        <v>350806</v>
      </c>
      <c r="H55" s="3">
        <f>Levy!J55</f>
        <v>64790</v>
      </c>
      <c r="I55" s="154">
        <v>0</v>
      </c>
      <c r="J55" s="19">
        <v>16000</v>
      </c>
      <c r="K55" s="19">
        <v>21062.29</v>
      </c>
      <c r="L55" s="19">
        <v>0</v>
      </c>
      <c r="M55" s="3">
        <v>0</v>
      </c>
      <c r="N55" s="3">
        <v>0</v>
      </c>
      <c r="O55" s="3">
        <v>0</v>
      </c>
      <c r="P55" s="19">
        <v>-731.93</v>
      </c>
      <c r="Q55" s="19">
        <v>0</v>
      </c>
      <c r="R55" s="19">
        <v>0</v>
      </c>
      <c r="S55" s="19">
        <v>0</v>
      </c>
      <c r="T55" s="3">
        <v>0</v>
      </c>
      <c r="U55" s="3">
        <v>0</v>
      </c>
      <c r="V55" s="21">
        <v>0</v>
      </c>
      <c r="W55" s="21">
        <v>0</v>
      </c>
      <c r="X55" s="3">
        <v>0</v>
      </c>
      <c r="Y55" s="21">
        <v>0</v>
      </c>
      <c r="Z55" s="154">
        <f>Levy!U55</f>
        <v>0</v>
      </c>
      <c r="AA55" s="3">
        <f>Levy!V55</f>
        <v>0</v>
      </c>
      <c r="AB55" s="3">
        <f t="shared" si="3"/>
        <v>36330.36</v>
      </c>
      <c r="AC55" s="3">
        <f t="shared" si="1"/>
        <v>420136.64</v>
      </c>
      <c r="AD55" s="3">
        <f t="shared" si="2"/>
        <v>64790</v>
      </c>
      <c r="AE55" s="3">
        <f>ROUND(MAX(0,(D55-V55)*Shift11!$B$3),2)</f>
        <v>0</v>
      </c>
      <c r="AF55" s="3">
        <f t="shared" si="4"/>
        <v>0</v>
      </c>
    </row>
    <row r="56" spans="1:32" x14ac:dyDescent="0.2">
      <c r="A56" s="18">
        <v>166</v>
      </c>
      <c r="B56" s="18">
        <v>1</v>
      </c>
      <c r="C56" s="3" t="s">
        <v>53</v>
      </c>
      <c r="D56" s="3">
        <f>Levy!F56</f>
        <v>438704.5</v>
      </c>
      <c r="E56" s="3">
        <f>Levy!G56</f>
        <v>45532.5</v>
      </c>
      <c r="F56" s="3">
        <f>Levy!H56</f>
        <v>0</v>
      </c>
      <c r="G56" s="3">
        <f>Levy!I56</f>
        <v>0</v>
      </c>
      <c r="H56" s="3">
        <f>Levy!J56</f>
        <v>0</v>
      </c>
      <c r="I56" s="154">
        <v>0</v>
      </c>
      <c r="J56" s="19">
        <v>10000</v>
      </c>
      <c r="K56" s="19">
        <v>14108.8</v>
      </c>
      <c r="L56" s="19">
        <v>0</v>
      </c>
      <c r="M56" s="3">
        <v>0</v>
      </c>
      <c r="N56" s="3">
        <v>0</v>
      </c>
      <c r="O56" s="3">
        <v>0</v>
      </c>
      <c r="P56" s="19">
        <v>7904.9</v>
      </c>
      <c r="Q56" s="19">
        <v>0</v>
      </c>
      <c r="R56" s="19">
        <v>-770.7</v>
      </c>
      <c r="S56" s="19">
        <v>0</v>
      </c>
      <c r="T56" s="3">
        <v>0</v>
      </c>
      <c r="U56" s="3">
        <v>0</v>
      </c>
      <c r="V56" s="21">
        <v>0</v>
      </c>
      <c r="W56" s="21">
        <v>0</v>
      </c>
      <c r="X56" s="3">
        <v>0</v>
      </c>
      <c r="Y56" s="21">
        <v>32084.66</v>
      </c>
      <c r="Z56" s="154">
        <f>Levy!U56</f>
        <v>0</v>
      </c>
      <c r="AA56" s="3">
        <f>Levy!V56</f>
        <v>0</v>
      </c>
      <c r="AB56" s="3">
        <f t="shared" si="3"/>
        <v>31242.999999999996</v>
      </c>
      <c r="AC56" s="3">
        <f t="shared" si="1"/>
        <v>14289.5</v>
      </c>
      <c r="AD56" s="3">
        <f t="shared" si="2"/>
        <v>0</v>
      </c>
      <c r="AE56" s="3">
        <f>ROUND(MAX(0,(D56-V56)*Shift11!$B$3),2)</f>
        <v>213210.39</v>
      </c>
      <c r="AF56" s="3">
        <f t="shared" si="4"/>
        <v>213210.39</v>
      </c>
    </row>
    <row r="57" spans="1:32" x14ac:dyDescent="0.2">
      <c r="A57" s="18">
        <v>173</v>
      </c>
      <c r="B57" s="18">
        <v>1</v>
      </c>
      <c r="C57" s="3" t="s">
        <v>54</v>
      </c>
      <c r="D57" s="3">
        <f>Levy!F57</f>
        <v>498985</v>
      </c>
      <c r="E57" s="3">
        <f>Levy!G57</f>
        <v>14815</v>
      </c>
      <c r="F57" s="3">
        <f>Levy!H57</f>
        <v>0</v>
      </c>
      <c r="G57" s="3">
        <f>Levy!I57</f>
        <v>212789</v>
      </c>
      <c r="H57" s="3">
        <f>Levy!J57</f>
        <v>48262</v>
      </c>
      <c r="I57" s="154">
        <v>0</v>
      </c>
      <c r="J57" s="19">
        <v>10000</v>
      </c>
      <c r="K57" s="19">
        <v>16057.38</v>
      </c>
      <c r="L57" s="19">
        <v>0</v>
      </c>
      <c r="M57" s="3">
        <v>0</v>
      </c>
      <c r="N57" s="3">
        <v>0</v>
      </c>
      <c r="O57" s="3">
        <v>0</v>
      </c>
      <c r="P57" s="19">
        <v>-3109.88</v>
      </c>
      <c r="Q57" s="19">
        <v>0</v>
      </c>
      <c r="R57" s="19">
        <v>0</v>
      </c>
      <c r="S57" s="19">
        <v>0</v>
      </c>
      <c r="T57" s="3">
        <v>0</v>
      </c>
      <c r="U57" s="3">
        <v>0</v>
      </c>
      <c r="V57" s="21">
        <v>0</v>
      </c>
      <c r="W57" s="21">
        <v>0</v>
      </c>
      <c r="X57" s="3">
        <v>4153.8</v>
      </c>
      <c r="Y57" s="21">
        <v>90731.14</v>
      </c>
      <c r="Z57" s="154">
        <f>Levy!U57</f>
        <v>0</v>
      </c>
      <c r="AA57" s="3">
        <f>Levy!V57</f>
        <v>0</v>
      </c>
      <c r="AB57" s="3">
        <f t="shared" si="3"/>
        <v>22947.499999999996</v>
      </c>
      <c r="AC57" s="3">
        <f t="shared" si="1"/>
        <v>200502.7</v>
      </c>
      <c r="AD57" s="3">
        <f t="shared" si="2"/>
        <v>48262</v>
      </c>
      <c r="AE57" s="3">
        <f>ROUND(MAX(0,(D57-V57)*Shift11!$B$3),2)</f>
        <v>242506.71</v>
      </c>
      <c r="AF57" s="3">
        <f t="shared" si="4"/>
        <v>242506.71</v>
      </c>
    </row>
    <row r="58" spans="1:32" x14ac:dyDescent="0.2">
      <c r="A58" s="18">
        <v>177</v>
      </c>
      <c r="B58" s="18">
        <v>1</v>
      </c>
      <c r="C58" s="3" t="s">
        <v>55</v>
      </c>
      <c r="D58" s="3">
        <f>Levy!F58</f>
        <v>999130</v>
      </c>
      <c r="E58" s="3">
        <f>Levy!G58</f>
        <v>58215</v>
      </c>
      <c r="F58" s="3">
        <f>Levy!H58</f>
        <v>0</v>
      </c>
      <c r="G58" s="3">
        <f>Levy!I58</f>
        <v>334019</v>
      </c>
      <c r="H58" s="3">
        <f>Levy!J58</f>
        <v>79241</v>
      </c>
      <c r="I58" s="154">
        <v>0</v>
      </c>
      <c r="J58" s="19">
        <v>4000</v>
      </c>
      <c r="K58" s="19">
        <v>20952.439999999999</v>
      </c>
      <c r="L58" s="19">
        <v>0</v>
      </c>
      <c r="M58" s="3">
        <v>0</v>
      </c>
      <c r="N58" s="3">
        <v>0</v>
      </c>
      <c r="O58" s="3">
        <v>0</v>
      </c>
      <c r="P58" s="19">
        <v>-1562.15</v>
      </c>
      <c r="Q58" s="19">
        <v>-4000</v>
      </c>
      <c r="R58" s="19">
        <v>-4089.64</v>
      </c>
      <c r="S58" s="19">
        <v>0</v>
      </c>
      <c r="T58" s="3">
        <v>0</v>
      </c>
      <c r="U58" s="3">
        <v>0</v>
      </c>
      <c r="V58" s="21">
        <v>0</v>
      </c>
      <c r="W58" s="21">
        <v>0</v>
      </c>
      <c r="X58" s="3">
        <v>7877.23</v>
      </c>
      <c r="Y58" s="21">
        <v>79181.69</v>
      </c>
      <c r="Z58" s="154">
        <f>Levy!U58</f>
        <v>0</v>
      </c>
      <c r="AA58" s="3">
        <f>Levy!V58</f>
        <v>0</v>
      </c>
      <c r="AB58" s="3">
        <f t="shared" si="3"/>
        <v>15300.649999999998</v>
      </c>
      <c r="AC58" s="3">
        <f t="shared" si="1"/>
        <v>369056.12</v>
      </c>
      <c r="AD58" s="3">
        <f t="shared" si="2"/>
        <v>79241</v>
      </c>
      <c r="AE58" s="3">
        <f>ROUND(MAX(0,(D58-V58)*Shift11!$B$3),2)</f>
        <v>485577.18</v>
      </c>
      <c r="AF58" s="3">
        <f t="shared" si="4"/>
        <v>485577.18</v>
      </c>
    </row>
    <row r="59" spans="1:32" x14ac:dyDescent="0.2">
      <c r="A59" s="18">
        <v>181</v>
      </c>
      <c r="B59" s="18">
        <v>1</v>
      </c>
      <c r="C59" s="3" t="s">
        <v>56</v>
      </c>
      <c r="D59" s="3">
        <f>Levy!F59</f>
        <v>1477964.29</v>
      </c>
      <c r="E59" s="3">
        <f>Levy!G59</f>
        <v>1020184.2</v>
      </c>
      <c r="F59" s="3">
        <f>Levy!H59</f>
        <v>0</v>
      </c>
      <c r="G59" s="3">
        <f>Levy!I59</f>
        <v>3625142.48</v>
      </c>
      <c r="H59" s="3">
        <f>Levy!J59</f>
        <v>596815.56000000006</v>
      </c>
      <c r="I59" s="154">
        <v>0</v>
      </c>
      <c r="J59" s="19">
        <v>60000</v>
      </c>
      <c r="K59" s="19">
        <v>244585.03</v>
      </c>
      <c r="L59" s="19">
        <v>0</v>
      </c>
      <c r="M59" s="3">
        <v>0</v>
      </c>
      <c r="N59" s="3">
        <v>0</v>
      </c>
      <c r="O59" s="3">
        <v>0</v>
      </c>
      <c r="P59" s="19">
        <v>-110195.89</v>
      </c>
      <c r="Q59" s="19">
        <v>0</v>
      </c>
      <c r="R59" s="19">
        <v>0</v>
      </c>
      <c r="S59" s="19">
        <v>0</v>
      </c>
      <c r="T59" s="3">
        <v>0</v>
      </c>
      <c r="U59" s="3">
        <v>0</v>
      </c>
      <c r="V59" s="21">
        <v>0</v>
      </c>
      <c r="W59" s="21">
        <v>0</v>
      </c>
      <c r="X59" s="3">
        <v>0</v>
      </c>
      <c r="Y59" s="21">
        <v>381870.54</v>
      </c>
      <c r="Z59" s="154">
        <f>Levy!U59</f>
        <v>0</v>
      </c>
      <c r="AA59" s="3">
        <f>Levy!V59</f>
        <v>0</v>
      </c>
      <c r="AB59" s="3">
        <f t="shared" si="3"/>
        <v>194389.14</v>
      </c>
      <c r="AC59" s="3">
        <f t="shared" si="1"/>
        <v>4450937.54</v>
      </c>
      <c r="AD59" s="3">
        <f t="shared" si="2"/>
        <v>596815.56000000006</v>
      </c>
      <c r="AE59" s="3">
        <f>ROUND(MAX(0,(D59-V59)*Shift11!$B$3),2)</f>
        <v>718290.64</v>
      </c>
      <c r="AF59" s="3">
        <f t="shared" si="4"/>
        <v>718290.64</v>
      </c>
    </row>
    <row r="60" spans="1:32" x14ac:dyDescent="0.2">
      <c r="A60" s="18">
        <v>182</v>
      </c>
      <c r="B60" s="18">
        <v>1</v>
      </c>
      <c r="C60" s="3" t="s">
        <v>57</v>
      </c>
      <c r="D60" s="3">
        <f>Levy!F60</f>
        <v>648186.30000000005</v>
      </c>
      <c r="E60" s="3">
        <f>Levy!G60</f>
        <v>155874.13</v>
      </c>
      <c r="F60" s="3">
        <f>Levy!H60</f>
        <v>0</v>
      </c>
      <c r="G60" s="3">
        <f>Levy!I60</f>
        <v>471660.96</v>
      </c>
      <c r="H60" s="3">
        <f>Levy!J60</f>
        <v>5559.6</v>
      </c>
      <c r="I60" s="154">
        <v>0</v>
      </c>
      <c r="J60" s="19">
        <v>6000</v>
      </c>
      <c r="K60" s="19">
        <v>27542.13</v>
      </c>
      <c r="L60" s="19">
        <v>0</v>
      </c>
      <c r="M60" s="3">
        <v>0</v>
      </c>
      <c r="N60" s="3">
        <v>0</v>
      </c>
      <c r="O60" s="3">
        <v>0</v>
      </c>
      <c r="P60" s="19">
        <v>3850.84</v>
      </c>
      <c r="Q60" s="19">
        <v>0</v>
      </c>
      <c r="R60" s="19">
        <v>0</v>
      </c>
      <c r="S60" s="19">
        <v>0</v>
      </c>
      <c r="T60" s="3">
        <v>0</v>
      </c>
      <c r="U60" s="3">
        <v>0</v>
      </c>
      <c r="V60" s="21">
        <v>0</v>
      </c>
      <c r="W60" s="21">
        <v>0</v>
      </c>
      <c r="X60" s="3">
        <v>0</v>
      </c>
      <c r="Y60" s="21">
        <v>41830.449999999997</v>
      </c>
      <c r="Z60" s="154">
        <f>Levy!U60</f>
        <v>0</v>
      </c>
      <c r="AA60" s="3">
        <f>Levy!V60</f>
        <v>0</v>
      </c>
      <c r="AB60" s="3">
        <f t="shared" si="3"/>
        <v>37392.97</v>
      </c>
      <c r="AC60" s="3">
        <f t="shared" si="1"/>
        <v>590142.12</v>
      </c>
      <c r="AD60" s="3">
        <f t="shared" si="2"/>
        <v>5559.6</v>
      </c>
      <c r="AE60" s="3">
        <f>ROUND(MAX(0,(D60-V60)*Shift11!$B$3),2)</f>
        <v>315018.53999999998</v>
      </c>
      <c r="AF60" s="3">
        <f t="shared" si="4"/>
        <v>315018.53999999998</v>
      </c>
    </row>
    <row r="61" spans="1:32" x14ac:dyDescent="0.2">
      <c r="A61" s="18">
        <v>186</v>
      </c>
      <c r="B61" s="18">
        <v>1</v>
      </c>
      <c r="C61" s="3" t="s">
        <v>58</v>
      </c>
      <c r="D61" s="3">
        <f>Levy!F61</f>
        <v>1879.75</v>
      </c>
      <c r="E61" s="3">
        <f>Levy!G61</f>
        <v>311128.8</v>
      </c>
      <c r="F61" s="3">
        <f>Levy!H61</f>
        <v>0</v>
      </c>
      <c r="G61" s="3">
        <f>Levy!I61</f>
        <v>930359.21</v>
      </c>
      <c r="H61" s="3">
        <f>Levy!J61</f>
        <v>173606.82</v>
      </c>
      <c r="I61" s="154">
        <v>0</v>
      </c>
      <c r="J61" s="19">
        <v>37500</v>
      </c>
      <c r="K61" s="19">
        <v>33282.400000000001</v>
      </c>
      <c r="L61" s="19">
        <v>0</v>
      </c>
      <c r="M61" s="3">
        <v>0</v>
      </c>
      <c r="N61" s="3">
        <v>0</v>
      </c>
      <c r="O61" s="3">
        <v>0</v>
      </c>
      <c r="P61" s="19">
        <v>2098.38</v>
      </c>
      <c r="Q61" s="19">
        <v>0</v>
      </c>
      <c r="R61" s="19">
        <v>-1455.2</v>
      </c>
      <c r="S61" s="19">
        <v>0</v>
      </c>
      <c r="T61" s="3">
        <v>0</v>
      </c>
      <c r="U61" s="3">
        <v>0</v>
      </c>
      <c r="V61" s="21">
        <v>0</v>
      </c>
      <c r="W61" s="21">
        <v>0</v>
      </c>
      <c r="X61" s="3">
        <v>0</v>
      </c>
      <c r="Y61" s="21">
        <v>0</v>
      </c>
      <c r="Z61" s="154">
        <f>Levy!U61</f>
        <v>0</v>
      </c>
      <c r="AA61" s="3">
        <f>Levy!V61</f>
        <v>0</v>
      </c>
      <c r="AB61" s="3">
        <f t="shared" si="3"/>
        <v>71425.58</v>
      </c>
      <c r="AC61" s="3">
        <f t="shared" si="1"/>
        <v>1170062.43</v>
      </c>
      <c r="AD61" s="3">
        <f t="shared" si="2"/>
        <v>173606.82</v>
      </c>
      <c r="AE61" s="3">
        <f>ROUND(MAX(0,(D61-V61)*Shift11!$B$3),2)</f>
        <v>913.56</v>
      </c>
      <c r="AF61" s="3">
        <f t="shared" si="4"/>
        <v>913.56</v>
      </c>
    </row>
    <row r="62" spans="1:32" x14ac:dyDescent="0.2">
      <c r="A62" s="18">
        <v>191</v>
      </c>
      <c r="B62" s="18">
        <v>1</v>
      </c>
      <c r="C62" s="3" t="s">
        <v>59</v>
      </c>
      <c r="D62" s="3">
        <f>Levy!F62</f>
        <v>17911831</v>
      </c>
      <c r="E62" s="3">
        <f>Levy!G62</f>
        <v>976028</v>
      </c>
      <c r="F62" s="3">
        <f>Levy!H62</f>
        <v>0</v>
      </c>
      <c r="G62" s="3">
        <f>Levy!I62</f>
        <v>5066062</v>
      </c>
      <c r="H62" s="3">
        <f>Levy!J62</f>
        <v>976207</v>
      </c>
      <c r="I62" s="154">
        <v>0</v>
      </c>
      <c r="J62" s="19">
        <v>225000</v>
      </c>
      <c r="K62" s="19">
        <v>207844.47</v>
      </c>
      <c r="L62" s="19">
        <v>0</v>
      </c>
      <c r="M62" s="3">
        <v>0</v>
      </c>
      <c r="N62" s="3">
        <v>0</v>
      </c>
      <c r="O62" s="3">
        <v>0</v>
      </c>
      <c r="P62" s="19">
        <v>59740.66</v>
      </c>
      <c r="Q62" s="19">
        <v>0</v>
      </c>
      <c r="R62" s="19">
        <v>0</v>
      </c>
      <c r="S62" s="19">
        <v>0</v>
      </c>
      <c r="T62" s="3">
        <v>0</v>
      </c>
      <c r="U62" s="3">
        <v>0</v>
      </c>
      <c r="V62" s="21">
        <v>0</v>
      </c>
      <c r="W62" s="21">
        <v>0</v>
      </c>
      <c r="X62" s="3">
        <v>0</v>
      </c>
      <c r="Y62" s="21">
        <v>3269341.23</v>
      </c>
      <c r="Z62" s="154">
        <f>Levy!U62</f>
        <v>0</v>
      </c>
      <c r="AA62" s="3">
        <f>Levy!V62</f>
        <v>0</v>
      </c>
      <c r="AB62" s="3">
        <f t="shared" si="3"/>
        <v>492585.13</v>
      </c>
      <c r="AC62" s="3">
        <f t="shared" si="1"/>
        <v>5549504.8700000001</v>
      </c>
      <c r="AD62" s="3">
        <f t="shared" si="2"/>
        <v>976207</v>
      </c>
      <c r="AE62" s="3">
        <f>ROUND(MAX(0,(D62-V62)*Shift11!$B$3),2)</f>
        <v>8705149.8699999992</v>
      </c>
      <c r="AF62" s="3">
        <f t="shared" si="4"/>
        <v>8705149.8699999992</v>
      </c>
    </row>
    <row r="63" spans="1:32" x14ac:dyDescent="0.2">
      <c r="A63" s="18">
        <v>192</v>
      </c>
      <c r="B63" s="18">
        <v>1</v>
      </c>
      <c r="C63" s="3" t="s">
        <v>60</v>
      </c>
      <c r="D63" s="3">
        <f>Levy!F63</f>
        <v>3319969</v>
      </c>
      <c r="E63" s="3">
        <f>Levy!G63</f>
        <v>709189</v>
      </c>
      <c r="F63" s="3">
        <f>Levy!H63</f>
        <v>0</v>
      </c>
      <c r="G63" s="3">
        <f>Levy!I63</f>
        <v>2183626</v>
      </c>
      <c r="H63" s="3">
        <f>Levy!J63</f>
        <v>414005</v>
      </c>
      <c r="I63" s="154">
        <v>0</v>
      </c>
      <c r="J63" s="19">
        <v>95000</v>
      </c>
      <c r="K63" s="19">
        <v>101665.60000000001</v>
      </c>
      <c r="L63" s="19">
        <v>0</v>
      </c>
      <c r="M63" s="3">
        <v>0</v>
      </c>
      <c r="N63" s="3">
        <v>0</v>
      </c>
      <c r="O63" s="3">
        <v>0</v>
      </c>
      <c r="P63" s="19">
        <v>26196.57</v>
      </c>
      <c r="Q63" s="19">
        <v>0</v>
      </c>
      <c r="R63" s="19">
        <v>-7598.6</v>
      </c>
      <c r="S63" s="19">
        <v>0</v>
      </c>
      <c r="T63" s="3">
        <v>0</v>
      </c>
      <c r="U63" s="3">
        <v>0</v>
      </c>
      <c r="V63" s="21">
        <v>0</v>
      </c>
      <c r="W63" s="21">
        <v>0</v>
      </c>
      <c r="X63" s="3">
        <v>34108.79</v>
      </c>
      <c r="Y63" s="21">
        <v>497003.31</v>
      </c>
      <c r="Z63" s="154">
        <f>Levy!U63</f>
        <v>0</v>
      </c>
      <c r="AA63" s="3">
        <f>Levy!V63</f>
        <v>0</v>
      </c>
      <c r="AB63" s="3">
        <f t="shared" si="3"/>
        <v>215263.57</v>
      </c>
      <c r="AC63" s="3">
        <f t="shared" si="1"/>
        <v>2643442.64</v>
      </c>
      <c r="AD63" s="3">
        <f t="shared" si="2"/>
        <v>414005</v>
      </c>
      <c r="AE63" s="3">
        <f>ROUND(MAX(0,(D63-V63)*Shift11!$B$3),2)</f>
        <v>1613504.93</v>
      </c>
      <c r="AF63" s="3">
        <f t="shared" si="4"/>
        <v>1613504.93</v>
      </c>
    </row>
    <row r="64" spans="1:32" x14ac:dyDescent="0.2">
      <c r="A64" s="18">
        <v>194</v>
      </c>
      <c r="B64" s="18">
        <v>1</v>
      </c>
      <c r="C64" s="3" t="s">
        <v>61</v>
      </c>
      <c r="D64" s="3">
        <f>Levy!F64</f>
        <v>10768681</v>
      </c>
      <c r="E64" s="3">
        <f>Levy!G64</f>
        <v>1501566</v>
      </c>
      <c r="F64" s="3">
        <f>Levy!H64</f>
        <v>0</v>
      </c>
      <c r="G64" s="3">
        <f>Levy!I64</f>
        <v>3890283</v>
      </c>
      <c r="H64" s="3">
        <f>Levy!J64</f>
        <v>1180878</v>
      </c>
      <c r="I64" s="154">
        <v>0</v>
      </c>
      <c r="J64" s="19">
        <v>100000</v>
      </c>
      <c r="K64" s="19">
        <v>183847.84</v>
      </c>
      <c r="L64" s="19">
        <v>0</v>
      </c>
      <c r="M64" s="3">
        <v>0</v>
      </c>
      <c r="N64" s="3">
        <v>0</v>
      </c>
      <c r="O64" s="3">
        <v>0</v>
      </c>
      <c r="P64" s="19">
        <v>-9488.82</v>
      </c>
      <c r="Q64" s="19">
        <v>0</v>
      </c>
      <c r="R64" s="19">
        <v>697.11</v>
      </c>
      <c r="S64" s="19">
        <v>0</v>
      </c>
      <c r="T64" s="3">
        <v>0</v>
      </c>
      <c r="U64" s="3">
        <v>0</v>
      </c>
      <c r="V64" s="21">
        <v>0</v>
      </c>
      <c r="W64" s="21">
        <v>0</v>
      </c>
      <c r="X64" s="3">
        <v>230506.25</v>
      </c>
      <c r="Y64" s="21">
        <v>2328572.5699999998</v>
      </c>
      <c r="Z64" s="154">
        <f>Levy!U64</f>
        <v>0</v>
      </c>
      <c r="AA64" s="3">
        <f>Levy!V64</f>
        <v>0</v>
      </c>
      <c r="AB64" s="3">
        <f t="shared" si="3"/>
        <v>275056.12999999995</v>
      </c>
      <c r="AC64" s="3">
        <f t="shared" si="1"/>
        <v>4886286.62</v>
      </c>
      <c r="AD64" s="3">
        <f t="shared" si="2"/>
        <v>1180878</v>
      </c>
      <c r="AE64" s="3">
        <f>ROUND(MAX(0,(D64-V64)*Shift11!$B$3),2)</f>
        <v>5233578.97</v>
      </c>
      <c r="AF64" s="3">
        <f t="shared" si="4"/>
        <v>5233578.97</v>
      </c>
    </row>
    <row r="65" spans="1:32" x14ac:dyDescent="0.2">
      <c r="A65" s="18">
        <v>195</v>
      </c>
      <c r="B65" s="18">
        <v>1</v>
      </c>
      <c r="C65" s="3" t="s">
        <v>62</v>
      </c>
      <c r="D65" s="3">
        <f>Levy!F65</f>
        <v>248053</v>
      </c>
      <c r="E65" s="3">
        <f>Levy!G65</f>
        <v>102397</v>
      </c>
      <c r="F65" s="3">
        <f>Levy!H65</f>
        <v>0</v>
      </c>
      <c r="G65" s="3">
        <f>Levy!I65</f>
        <v>172015</v>
      </c>
      <c r="H65" s="3">
        <f>Levy!J65</f>
        <v>31530</v>
      </c>
      <c r="I65" s="154">
        <v>0</v>
      </c>
      <c r="J65" s="19">
        <v>10000</v>
      </c>
      <c r="K65" s="19">
        <v>11161.6</v>
      </c>
      <c r="L65" s="19">
        <v>0</v>
      </c>
      <c r="M65" s="3">
        <v>0</v>
      </c>
      <c r="N65" s="3">
        <v>0</v>
      </c>
      <c r="O65" s="3">
        <v>0</v>
      </c>
      <c r="P65" s="19">
        <v>3700.62</v>
      </c>
      <c r="Q65" s="19">
        <v>0</v>
      </c>
      <c r="R65" s="19">
        <v>-640.79999999999995</v>
      </c>
      <c r="S65" s="19">
        <v>0</v>
      </c>
      <c r="T65" s="3">
        <v>0</v>
      </c>
      <c r="U65" s="3">
        <v>0</v>
      </c>
      <c r="V65" s="21">
        <v>0</v>
      </c>
      <c r="W65" s="21">
        <v>0</v>
      </c>
      <c r="X65" s="3">
        <v>0</v>
      </c>
      <c r="Y65" s="21">
        <v>139518.71</v>
      </c>
      <c r="Z65" s="154">
        <f>Levy!U65</f>
        <v>0</v>
      </c>
      <c r="AA65" s="3">
        <f>Levy!V65</f>
        <v>0</v>
      </c>
      <c r="AB65" s="3">
        <f t="shared" si="3"/>
        <v>24221.42</v>
      </c>
      <c r="AC65" s="3">
        <f t="shared" si="1"/>
        <v>250190.58</v>
      </c>
      <c r="AD65" s="3">
        <f t="shared" si="2"/>
        <v>31530</v>
      </c>
      <c r="AE65" s="3">
        <f>ROUND(MAX(0,(D65-V65)*Shift11!$B$3),2)</f>
        <v>120553.76</v>
      </c>
      <c r="AF65" s="3">
        <f t="shared" si="4"/>
        <v>139518.71</v>
      </c>
    </row>
    <row r="66" spans="1:32" x14ac:dyDescent="0.2">
      <c r="A66" s="18">
        <v>196</v>
      </c>
      <c r="B66" s="18">
        <v>1</v>
      </c>
      <c r="C66" s="3" t="s">
        <v>63</v>
      </c>
      <c r="D66" s="3">
        <f>Levy!F66</f>
        <v>31592395</v>
      </c>
      <c r="E66" s="3">
        <f>Levy!G66</f>
        <v>3954310</v>
      </c>
      <c r="F66" s="3">
        <f>Levy!H66</f>
        <v>1426099</v>
      </c>
      <c r="G66" s="3">
        <f>Levy!I66</f>
        <v>20388697</v>
      </c>
      <c r="H66" s="3">
        <f>Levy!J66</f>
        <v>1687499</v>
      </c>
      <c r="I66" s="154">
        <v>0</v>
      </c>
      <c r="J66" s="19">
        <v>407000</v>
      </c>
      <c r="K66" s="19">
        <v>532085.6</v>
      </c>
      <c r="L66" s="19">
        <v>0</v>
      </c>
      <c r="M66" s="3">
        <v>0</v>
      </c>
      <c r="N66" s="3">
        <v>0</v>
      </c>
      <c r="O66" s="3">
        <v>0</v>
      </c>
      <c r="P66" s="19">
        <v>62368.3</v>
      </c>
      <c r="Q66" s="19">
        <v>0</v>
      </c>
      <c r="R66" s="19">
        <v>-46824.58</v>
      </c>
      <c r="S66" s="19">
        <v>0</v>
      </c>
      <c r="T66" s="3">
        <v>0</v>
      </c>
      <c r="U66" s="3">
        <v>0</v>
      </c>
      <c r="V66" s="21">
        <v>0</v>
      </c>
      <c r="W66" s="21">
        <v>0</v>
      </c>
      <c r="X66" s="3">
        <v>0</v>
      </c>
      <c r="Y66" s="21">
        <v>2902781.6</v>
      </c>
      <c r="Z66" s="154">
        <f>Levy!U66</f>
        <v>0</v>
      </c>
      <c r="AA66" s="3">
        <f>Levy!V66</f>
        <v>0</v>
      </c>
      <c r="AB66" s="3">
        <f t="shared" si="3"/>
        <v>954629.32000000007</v>
      </c>
      <c r="AC66" s="3">
        <f t="shared" si="1"/>
        <v>24814476.68</v>
      </c>
      <c r="AD66" s="3">
        <f t="shared" si="2"/>
        <v>1687499</v>
      </c>
      <c r="AE66" s="3">
        <f>ROUND(MAX(0,(D66-V66)*Shift11!$B$3),2)</f>
        <v>15353903.970000001</v>
      </c>
      <c r="AF66" s="3">
        <f t="shared" si="4"/>
        <v>15353903.970000001</v>
      </c>
    </row>
    <row r="67" spans="1:32" x14ac:dyDescent="0.2">
      <c r="A67" s="18">
        <v>197</v>
      </c>
      <c r="B67" s="18">
        <v>1</v>
      </c>
      <c r="C67" s="3" t="s">
        <v>64</v>
      </c>
      <c r="D67" s="3">
        <f>Levy!F67</f>
        <v>5987517</v>
      </c>
      <c r="E67" s="3">
        <f>Levy!G67</f>
        <v>461277</v>
      </c>
      <c r="F67" s="3">
        <f>Levy!H67</f>
        <v>490000</v>
      </c>
      <c r="G67" s="3">
        <f>Levy!I67</f>
        <v>2703009</v>
      </c>
      <c r="H67" s="3">
        <f>Levy!J67</f>
        <v>695749</v>
      </c>
      <c r="I67" s="154">
        <v>0</v>
      </c>
      <c r="J67" s="19">
        <v>90000</v>
      </c>
      <c r="K67" s="19">
        <v>73343.75</v>
      </c>
      <c r="L67" s="19">
        <v>0</v>
      </c>
      <c r="M67" s="3">
        <v>0</v>
      </c>
      <c r="N67" s="3">
        <v>0</v>
      </c>
      <c r="O67" s="3">
        <v>0</v>
      </c>
      <c r="P67" s="19">
        <v>-29844.76</v>
      </c>
      <c r="Q67" s="19">
        <v>0</v>
      </c>
      <c r="R67" s="19">
        <v>0</v>
      </c>
      <c r="S67" s="19">
        <v>0</v>
      </c>
      <c r="T67" s="3">
        <v>0</v>
      </c>
      <c r="U67" s="3">
        <v>0</v>
      </c>
      <c r="V67" s="21">
        <v>0</v>
      </c>
      <c r="W67" s="21">
        <v>0</v>
      </c>
      <c r="X67" s="3">
        <v>0</v>
      </c>
      <c r="Y67" s="21">
        <v>1798011.75</v>
      </c>
      <c r="Z67" s="154">
        <f>Levy!U67</f>
        <v>0</v>
      </c>
      <c r="AA67" s="3">
        <f>Levy!V67</f>
        <v>0</v>
      </c>
      <c r="AB67" s="3">
        <f t="shared" si="3"/>
        <v>133498.99</v>
      </c>
      <c r="AC67" s="3">
        <f t="shared" si="1"/>
        <v>3520787.01</v>
      </c>
      <c r="AD67" s="3">
        <f t="shared" si="2"/>
        <v>695749</v>
      </c>
      <c r="AE67" s="3">
        <f>ROUND(MAX(0,(D67-V67)*Shift11!$B$3),2)</f>
        <v>2909933.26</v>
      </c>
      <c r="AF67" s="3">
        <f t="shared" si="4"/>
        <v>2909933.26</v>
      </c>
    </row>
    <row r="68" spans="1:32" x14ac:dyDescent="0.2">
      <c r="A68" s="18">
        <v>199</v>
      </c>
      <c r="B68" s="18">
        <v>1</v>
      </c>
      <c r="C68" s="3" t="s">
        <v>65</v>
      </c>
      <c r="D68" s="3">
        <f>Levy!F68</f>
        <v>4038080</v>
      </c>
      <c r="E68" s="3">
        <f>Levy!G68</f>
        <v>567942</v>
      </c>
      <c r="F68" s="3">
        <f>Levy!H68</f>
        <v>0</v>
      </c>
      <c r="G68" s="3">
        <f>Levy!I68</f>
        <v>2338472</v>
      </c>
      <c r="H68" s="3">
        <f>Levy!J68</f>
        <v>429095</v>
      </c>
      <c r="I68" s="154">
        <v>0</v>
      </c>
      <c r="J68" s="19">
        <v>53525</v>
      </c>
      <c r="K68" s="19">
        <v>74598.399999999994</v>
      </c>
      <c r="L68" s="19">
        <v>0</v>
      </c>
      <c r="M68" s="3">
        <v>0</v>
      </c>
      <c r="N68" s="3">
        <v>0</v>
      </c>
      <c r="O68" s="3">
        <v>0</v>
      </c>
      <c r="P68" s="19">
        <v>-8880.5300000000007</v>
      </c>
      <c r="Q68" s="19">
        <v>0</v>
      </c>
      <c r="R68" s="19">
        <v>-2193.6</v>
      </c>
      <c r="S68" s="19">
        <v>0</v>
      </c>
      <c r="T68" s="3">
        <v>0</v>
      </c>
      <c r="U68" s="3">
        <v>0</v>
      </c>
      <c r="V68" s="21">
        <v>0</v>
      </c>
      <c r="W68" s="21">
        <v>0</v>
      </c>
      <c r="X68" s="3">
        <v>29000.73</v>
      </c>
      <c r="Y68" s="21">
        <v>996898.87</v>
      </c>
      <c r="Z68" s="154">
        <f>Levy!U68</f>
        <v>0</v>
      </c>
      <c r="AA68" s="3">
        <f>Levy!V68</f>
        <v>0</v>
      </c>
      <c r="AB68" s="3">
        <f t="shared" si="3"/>
        <v>117049.26999999999</v>
      </c>
      <c r="AC68" s="3">
        <f t="shared" si="1"/>
        <v>2760364</v>
      </c>
      <c r="AD68" s="3">
        <f t="shared" si="2"/>
        <v>429095</v>
      </c>
      <c r="AE68" s="3">
        <f>ROUND(MAX(0,(D68-V68)*Shift11!$B$3),2)</f>
        <v>1962506.88</v>
      </c>
      <c r="AF68" s="3">
        <f t="shared" si="4"/>
        <v>1962506.88</v>
      </c>
    </row>
    <row r="69" spans="1:32" x14ac:dyDescent="0.2">
      <c r="A69" s="18">
        <v>200</v>
      </c>
      <c r="B69" s="18">
        <v>1</v>
      </c>
      <c r="C69" s="3" t="s">
        <v>66</v>
      </c>
      <c r="D69" s="3">
        <f>Levy!F69</f>
        <v>7754839</v>
      </c>
      <c r="E69" s="3">
        <f>Levy!G69</f>
        <v>436217</v>
      </c>
      <c r="F69" s="3">
        <f>Levy!H69</f>
        <v>0</v>
      </c>
      <c r="G69" s="3">
        <f>Levy!I69</f>
        <v>2007504</v>
      </c>
      <c r="H69" s="3">
        <f>Levy!J69</f>
        <v>456147</v>
      </c>
      <c r="I69" s="154">
        <v>0</v>
      </c>
      <c r="J69" s="19">
        <v>21000</v>
      </c>
      <c r="K69" s="19">
        <v>50454.559999999998</v>
      </c>
      <c r="L69" s="19">
        <v>0</v>
      </c>
      <c r="M69" s="3">
        <v>0</v>
      </c>
      <c r="N69" s="3">
        <v>0</v>
      </c>
      <c r="O69" s="3">
        <v>0</v>
      </c>
      <c r="P69" s="19">
        <v>-5371.15</v>
      </c>
      <c r="Q69" s="19">
        <v>0</v>
      </c>
      <c r="R69" s="19">
        <v>-6146.95</v>
      </c>
      <c r="S69" s="19">
        <v>0</v>
      </c>
      <c r="T69" s="3">
        <v>0</v>
      </c>
      <c r="U69" s="3">
        <v>0</v>
      </c>
      <c r="V69" s="21">
        <v>0</v>
      </c>
      <c r="W69" s="21">
        <v>0</v>
      </c>
      <c r="X69" s="3">
        <v>43073.06</v>
      </c>
      <c r="Y69" s="21">
        <v>552049.56000000006</v>
      </c>
      <c r="Z69" s="154">
        <f>Levy!U69</f>
        <v>0</v>
      </c>
      <c r="AA69" s="3">
        <f>Levy!V69</f>
        <v>0</v>
      </c>
      <c r="AB69" s="3">
        <f t="shared" si="3"/>
        <v>59936.460000000006</v>
      </c>
      <c r="AC69" s="3">
        <f t="shared" si="1"/>
        <v>2340711.48</v>
      </c>
      <c r="AD69" s="3">
        <f t="shared" si="2"/>
        <v>456147</v>
      </c>
      <c r="AE69" s="3">
        <f>ROUND(MAX(0,(D69-V69)*Shift11!$B$3),2)</f>
        <v>3768851.75</v>
      </c>
      <c r="AF69" s="3">
        <f t="shared" si="4"/>
        <v>3768851.75</v>
      </c>
    </row>
    <row r="70" spans="1:32" x14ac:dyDescent="0.2">
      <c r="A70" s="18">
        <v>203</v>
      </c>
      <c r="B70" s="18">
        <v>1</v>
      </c>
      <c r="C70" s="3" t="s">
        <v>67</v>
      </c>
      <c r="D70" s="3">
        <f>Levy!F70</f>
        <v>340084.46</v>
      </c>
      <c r="E70" s="3">
        <f>Levy!G70</f>
        <v>58964.800000000003</v>
      </c>
      <c r="F70" s="3">
        <f>Levy!H70</f>
        <v>0</v>
      </c>
      <c r="G70" s="3">
        <f>Levy!I70</f>
        <v>363773.67</v>
      </c>
      <c r="H70" s="3">
        <f>Levy!J70</f>
        <v>66544.88</v>
      </c>
      <c r="I70" s="154">
        <v>0</v>
      </c>
      <c r="J70" s="19">
        <v>5000</v>
      </c>
      <c r="K70" s="19">
        <v>15819.2</v>
      </c>
      <c r="L70" s="19">
        <v>0</v>
      </c>
      <c r="M70" s="3">
        <v>0</v>
      </c>
      <c r="N70" s="3">
        <v>0</v>
      </c>
      <c r="O70" s="3">
        <v>0</v>
      </c>
      <c r="P70" s="19">
        <v>-4365.74</v>
      </c>
      <c r="Q70" s="19">
        <v>0</v>
      </c>
      <c r="R70" s="19">
        <v>201.6</v>
      </c>
      <c r="S70" s="19">
        <v>0</v>
      </c>
      <c r="T70" s="3">
        <v>0</v>
      </c>
      <c r="U70" s="3">
        <v>0</v>
      </c>
      <c r="V70" s="21">
        <v>0</v>
      </c>
      <c r="W70" s="21">
        <v>0</v>
      </c>
      <c r="X70" s="3">
        <v>0</v>
      </c>
      <c r="Y70" s="21">
        <v>0</v>
      </c>
      <c r="Z70" s="154">
        <f>Levy!U70</f>
        <v>0</v>
      </c>
      <c r="AA70" s="3">
        <f>Levy!V70</f>
        <v>0</v>
      </c>
      <c r="AB70" s="3">
        <f t="shared" si="3"/>
        <v>16655.059999999998</v>
      </c>
      <c r="AC70" s="3">
        <f t="shared" si="1"/>
        <v>406083.41</v>
      </c>
      <c r="AD70" s="3">
        <f t="shared" si="2"/>
        <v>66544.88</v>
      </c>
      <c r="AE70" s="3">
        <f>ROUND(MAX(0,(D70-V70)*Shift11!$B$3),2)</f>
        <v>165281.04999999999</v>
      </c>
      <c r="AF70" s="3">
        <f t="shared" si="4"/>
        <v>165281.04999999999</v>
      </c>
    </row>
    <row r="71" spans="1:32" x14ac:dyDescent="0.2">
      <c r="A71" s="18">
        <v>204</v>
      </c>
      <c r="B71" s="18">
        <v>1</v>
      </c>
      <c r="C71" s="3" t="s">
        <v>68</v>
      </c>
      <c r="D71" s="3">
        <f>Levy!F71</f>
        <v>452363.75</v>
      </c>
      <c r="E71" s="3">
        <f>Levy!G71</f>
        <v>142650.85999999999</v>
      </c>
      <c r="F71" s="3">
        <f>Levy!H71</f>
        <v>0</v>
      </c>
      <c r="G71" s="3">
        <f>Levy!I71</f>
        <v>570343.36</v>
      </c>
      <c r="H71" s="3">
        <f>Levy!J71</f>
        <v>45685.62</v>
      </c>
      <c r="I71" s="154">
        <v>0</v>
      </c>
      <c r="J71" s="19">
        <v>6500</v>
      </c>
      <c r="K71" s="19">
        <v>35171.199999999997</v>
      </c>
      <c r="L71" s="19">
        <v>0</v>
      </c>
      <c r="M71" s="3">
        <v>0</v>
      </c>
      <c r="N71" s="3">
        <v>0</v>
      </c>
      <c r="O71" s="3">
        <v>0</v>
      </c>
      <c r="P71" s="19">
        <v>-5000</v>
      </c>
      <c r="Q71" s="19">
        <v>0</v>
      </c>
      <c r="R71" s="19">
        <v>439.2</v>
      </c>
      <c r="S71" s="19">
        <v>0</v>
      </c>
      <c r="T71" s="3">
        <v>0</v>
      </c>
      <c r="U71" s="3">
        <v>0</v>
      </c>
      <c r="V71" s="21">
        <v>0</v>
      </c>
      <c r="W71" s="21">
        <v>0</v>
      </c>
      <c r="X71" s="3">
        <v>0</v>
      </c>
      <c r="Y71" s="21">
        <v>66446.850000000006</v>
      </c>
      <c r="Z71" s="154">
        <f>Levy!U71</f>
        <v>0</v>
      </c>
      <c r="AA71" s="3">
        <f>Levy!V71</f>
        <v>0</v>
      </c>
      <c r="AB71" s="3">
        <f t="shared" si="3"/>
        <v>37110.399999999994</v>
      </c>
      <c r="AC71" s="3">
        <f t="shared" si="1"/>
        <v>675883.82</v>
      </c>
      <c r="AD71" s="3">
        <f t="shared" si="2"/>
        <v>45685.62</v>
      </c>
      <c r="AE71" s="3">
        <f>ROUND(MAX(0,(D71-V71)*Shift11!$B$3),2)</f>
        <v>219848.78</v>
      </c>
      <c r="AF71" s="3">
        <f t="shared" si="4"/>
        <v>219848.78</v>
      </c>
    </row>
    <row r="72" spans="1:32" x14ac:dyDescent="0.2">
      <c r="A72" s="18">
        <v>206</v>
      </c>
      <c r="B72" s="18">
        <v>1</v>
      </c>
      <c r="C72" s="3" t="s">
        <v>69</v>
      </c>
      <c r="D72" s="3">
        <f>Levy!F72</f>
        <v>1789202</v>
      </c>
      <c r="E72" s="3">
        <f>Levy!G72</f>
        <v>582689</v>
      </c>
      <c r="F72" s="3">
        <f>Levy!H72</f>
        <v>0</v>
      </c>
      <c r="G72" s="3">
        <f>Levy!I72</f>
        <v>1521375</v>
      </c>
      <c r="H72" s="3">
        <f>Levy!J72</f>
        <v>411594</v>
      </c>
      <c r="I72" s="154">
        <v>0</v>
      </c>
      <c r="J72" s="19">
        <v>15000</v>
      </c>
      <c r="K72" s="19">
        <v>86656</v>
      </c>
      <c r="L72" s="19">
        <v>0</v>
      </c>
      <c r="M72" s="3">
        <v>0</v>
      </c>
      <c r="N72" s="3">
        <v>0</v>
      </c>
      <c r="O72" s="3">
        <v>0</v>
      </c>
      <c r="P72" s="19">
        <v>-5246.32</v>
      </c>
      <c r="Q72" s="19">
        <v>0</v>
      </c>
      <c r="R72" s="19">
        <v>-4255.2</v>
      </c>
      <c r="S72" s="19">
        <v>0</v>
      </c>
      <c r="T72" s="3">
        <v>0</v>
      </c>
      <c r="U72" s="3">
        <v>0</v>
      </c>
      <c r="V72" s="21">
        <v>0</v>
      </c>
      <c r="W72" s="21">
        <v>0</v>
      </c>
      <c r="X72" s="3">
        <v>0</v>
      </c>
      <c r="Y72" s="21">
        <v>365570.81</v>
      </c>
      <c r="Z72" s="154">
        <f>Levy!U72</f>
        <v>0</v>
      </c>
      <c r="AA72" s="3">
        <f>Levy!V72</f>
        <v>0</v>
      </c>
      <c r="AB72" s="3">
        <f t="shared" ref="AB72:AB132" si="5">SUM(I72:T72)</f>
        <v>92154.48</v>
      </c>
      <c r="AC72" s="3">
        <f t="shared" ref="AC72:AC135" si="6">ROUND(MAX(E72+F72+G72-Z72-W72-X72-AB72,0),2)</f>
        <v>2011909.52</v>
      </c>
      <c r="AD72" s="3">
        <f t="shared" ref="AD72:AD135" si="7">ROUND(MAX(H72-U72-AA72,0),2)</f>
        <v>411594</v>
      </c>
      <c r="AE72" s="3">
        <f>ROUND(MAX(0,(D72-V72)*Shift11!$B$3),2)</f>
        <v>869552.17</v>
      </c>
      <c r="AF72" s="3">
        <f t="shared" ref="AF72:AF132" si="8">MAX(AE72,Y72)</f>
        <v>869552.17</v>
      </c>
    </row>
    <row r="73" spans="1:32" x14ac:dyDescent="0.2">
      <c r="A73" s="18">
        <v>207</v>
      </c>
      <c r="B73" s="18">
        <v>1</v>
      </c>
      <c r="C73" s="3" t="s">
        <v>70</v>
      </c>
      <c r="D73" s="3">
        <f>Levy!F73</f>
        <v>202270</v>
      </c>
      <c r="E73" s="3">
        <f>Levy!G73</f>
        <v>30429</v>
      </c>
      <c r="F73" s="3">
        <f>Levy!H73</f>
        <v>0</v>
      </c>
      <c r="G73" s="3">
        <f>Levy!I73</f>
        <v>159585</v>
      </c>
      <c r="H73" s="3">
        <f>Levy!J73</f>
        <v>22203</v>
      </c>
      <c r="I73" s="154">
        <v>0</v>
      </c>
      <c r="J73" s="19">
        <v>8588</v>
      </c>
      <c r="K73" s="19">
        <v>10000</v>
      </c>
      <c r="L73" s="19">
        <v>0</v>
      </c>
      <c r="M73" s="3">
        <v>0</v>
      </c>
      <c r="N73" s="3">
        <v>0</v>
      </c>
      <c r="O73" s="3">
        <v>0</v>
      </c>
      <c r="P73" s="19">
        <v>138.80000000000001</v>
      </c>
      <c r="Q73" s="19">
        <v>-8726.7999999999993</v>
      </c>
      <c r="R73" s="19">
        <v>0</v>
      </c>
      <c r="S73" s="19">
        <v>0</v>
      </c>
      <c r="T73" s="3">
        <v>0</v>
      </c>
      <c r="U73" s="3">
        <v>0</v>
      </c>
      <c r="V73" s="21">
        <v>0</v>
      </c>
      <c r="W73" s="21">
        <v>0</v>
      </c>
      <c r="X73" s="3">
        <v>0</v>
      </c>
      <c r="Y73" s="21">
        <v>0</v>
      </c>
      <c r="Z73" s="154">
        <f>Levy!U73</f>
        <v>0</v>
      </c>
      <c r="AA73" s="3">
        <f>Levy!V73</f>
        <v>0</v>
      </c>
      <c r="AB73" s="3">
        <f t="shared" si="5"/>
        <v>10000</v>
      </c>
      <c r="AC73" s="3">
        <f t="shared" si="6"/>
        <v>180014</v>
      </c>
      <c r="AD73" s="3">
        <f t="shared" si="7"/>
        <v>22203</v>
      </c>
      <c r="AE73" s="3">
        <f>ROUND(MAX(0,(D73-V73)*Shift11!$B$3),2)</f>
        <v>98303.22</v>
      </c>
      <c r="AF73" s="3">
        <f t="shared" si="8"/>
        <v>98303.22</v>
      </c>
    </row>
    <row r="74" spans="1:32" x14ac:dyDescent="0.2">
      <c r="A74" s="18">
        <v>208</v>
      </c>
      <c r="B74" s="18">
        <v>1</v>
      </c>
      <c r="C74" s="3" t="s">
        <v>71</v>
      </c>
      <c r="D74" s="3">
        <f>Levy!F74</f>
        <v>285841</v>
      </c>
      <c r="E74" s="3">
        <f>Levy!G74</f>
        <v>5405</v>
      </c>
      <c r="F74" s="3">
        <f>Levy!H74</f>
        <v>0</v>
      </c>
      <c r="G74" s="3">
        <f>Levy!I74</f>
        <v>114193</v>
      </c>
      <c r="H74" s="3">
        <f>Levy!J74</f>
        <v>17510</v>
      </c>
      <c r="I74" s="154">
        <v>0</v>
      </c>
      <c r="J74" s="19">
        <v>4000</v>
      </c>
      <c r="K74" s="19">
        <v>10000</v>
      </c>
      <c r="L74" s="19">
        <v>0</v>
      </c>
      <c r="M74" s="3">
        <v>0</v>
      </c>
      <c r="N74" s="3">
        <v>0</v>
      </c>
      <c r="O74" s="3">
        <v>0</v>
      </c>
      <c r="P74" s="19">
        <v>-4864.99</v>
      </c>
      <c r="Q74" s="19">
        <v>0</v>
      </c>
      <c r="R74" s="19">
        <v>0</v>
      </c>
      <c r="S74" s="19">
        <v>0</v>
      </c>
      <c r="T74" s="3">
        <v>0</v>
      </c>
      <c r="U74" s="3">
        <v>0</v>
      </c>
      <c r="V74" s="21">
        <v>0</v>
      </c>
      <c r="W74" s="21">
        <v>0</v>
      </c>
      <c r="X74" s="3">
        <v>0</v>
      </c>
      <c r="Y74" s="21">
        <v>0</v>
      </c>
      <c r="Z74" s="154">
        <f>Levy!U74</f>
        <v>0</v>
      </c>
      <c r="AA74" s="3">
        <f>Levy!V74</f>
        <v>0</v>
      </c>
      <c r="AB74" s="3">
        <f t="shared" si="5"/>
        <v>9135.01</v>
      </c>
      <c r="AC74" s="3">
        <f t="shared" si="6"/>
        <v>110462.99</v>
      </c>
      <c r="AD74" s="3">
        <f t="shared" si="7"/>
        <v>17510</v>
      </c>
      <c r="AE74" s="3">
        <f>ROUND(MAX(0,(D74-V74)*Shift11!$B$3),2)</f>
        <v>138918.73000000001</v>
      </c>
      <c r="AF74" s="3">
        <f t="shared" si="8"/>
        <v>138918.73000000001</v>
      </c>
    </row>
    <row r="75" spans="1:32" x14ac:dyDescent="0.2">
      <c r="A75" s="18">
        <v>213</v>
      </c>
      <c r="B75" s="18">
        <v>1</v>
      </c>
      <c r="C75" s="3" t="s">
        <v>72</v>
      </c>
      <c r="D75" s="3">
        <f>Levy!F75</f>
        <v>0</v>
      </c>
      <c r="E75" s="3">
        <f>Levy!G75</f>
        <v>75184</v>
      </c>
      <c r="F75" s="3">
        <f>Levy!H75</f>
        <v>0</v>
      </c>
      <c r="G75" s="3">
        <f>Levy!I75</f>
        <v>270869</v>
      </c>
      <c r="H75" s="3">
        <f>Levy!J75</f>
        <v>42210</v>
      </c>
      <c r="I75" s="154">
        <v>0</v>
      </c>
      <c r="J75" s="19">
        <v>13100</v>
      </c>
      <c r="K75" s="19">
        <v>14376.8</v>
      </c>
      <c r="L75" s="19">
        <v>0</v>
      </c>
      <c r="M75" s="3">
        <v>0</v>
      </c>
      <c r="N75" s="3">
        <v>0</v>
      </c>
      <c r="O75" s="3">
        <v>0</v>
      </c>
      <c r="P75" s="19">
        <v>-15505.74</v>
      </c>
      <c r="Q75" s="19">
        <v>0</v>
      </c>
      <c r="R75" s="19">
        <v>-14376.8</v>
      </c>
      <c r="S75" s="19">
        <v>0</v>
      </c>
      <c r="T75" s="3">
        <v>0</v>
      </c>
      <c r="U75" s="3">
        <v>0</v>
      </c>
      <c r="V75" s="21">
        <v>0</v>
      </c>
      <c r="W75" s="21">
        <v>0</v>
      </c>
      <c r="X75" s="3">
        <v>0</v>
      </c>
      <c r="Y75" s="21">
        <v>28915.37</v>
      </c>
      <c r="Z75" s="154">
        <f>Levy!U75</f>
        <v>0</v>
      </c>
      <c r="AA75" s="3">
        <f>Levy!V75</f>
        <v>0</v>
      </c>
      <c r="AB75" s="3">
        <f t="shared" si="5"/>
        <v>-2405.7399999999998</v>
      </c>
      <c r="AC75" s="3">
        <f t="shared" si="6"/>
        <v>348458.74</v>
      </c>
      <c r="AD75" s="3">
        <f t="shared" si="7"/>
        <v>42210</v>
      </c>
      <c r="AE75" s="3">
        <f>ROUND(MAX(0,(D75-V75)*Shift11!$B$3),2)</f>
        <v>0</v>
      </c>
      <c r="AF75" s="3">
        <f t="shared" si="8"/>
        <v>28915.37</v>
      </c>
    </row>
    <row r="76" spans="1:32" x14ac:dyDescent="0.2">
      <c r="A76" s="18">
        <v>227</v>
      </c>
      <c r="B76" s="18">
        <v>1</v>
      </c>
      <c r="C76" s="3" t="s">
        <v>73</v>
      </c>
      <c r="D76" s="3">
        <f>Levy!F76</f>
        <v>248990</v>
      </c>
      <c r="E76" s="3">
        <f>Levy!G76</f>
        <v>84410</v>
      </c>
      <c r="F76" s="3">
        <f>Levy!H76</f>
        <v>0</v>
      </c>
      <c r="G76" s="3">
        <f>Levy!I76</f>
        <v>262557</v>
      </c>
      <c r="H76" s="3">
        <f>Levy!J76</f>
        <v>66267</v>
      </c>
      <c r="I76" s="154">
        <v>0</v>
      </c>
      <c r="J76" s="19">
        <v>5000</v>
      </c>
      <c r="K76" s="19">
        <v>18233.599999999999</v>
      </c>
      <c r="L76" s="19">
        <v>0</v>
      </c>
      <c r="M76" s="3">
        <v>0</v>
      </c>
      <c r="N76" s="3">
        <v>0</v>
      </c>
      <c r="O76" s="3">
        <v>0</v>
      </c>
      <c r="P76" s="19">
        <v>-9435.94</v>
      </c>
      <c r="Q76" s="19">
        <v>0</v>
      </c>
      <c r="R76" s="19">
        <v>-243.2</v>
      </c>
      <c r="S76" s="19">
        <v>0</v>
      </c>
      <c r="T76" s="3">
        <v>0</v>
      </c>
      <c r="U76" s="3">
        <v>0</v>
      </c>
      <c r="V76" s="21">
        <v>0</v>
      </c>
      <c r="W76" s="21">
        <v>0</v>
      </c>
      <c r="X76" s="3">
        <v>0</v>
      </c>
      <c r="Y76" s="21">
        <v>44731.14</v>
      </c>
      <c r="Z76" s="154">
        <f>Levy!U76</f>
        <v>0</v>
      </c>
      <c r="AA76" s="3">
        <f>Levy!V76</f>
        <v>0</v>
      </c>
      <c r="AB76" s="3">
        <f t="shared" si="5"/>
        <v>13554.459999999997</v>
      </c>
      <c r="AC76" s="3">
        <f t="shared" si="6"/>
        <v>333412.53999999998</v>
      </c>
      <c r="AD76" s="3">
        <f t="shared" si="7"/>
        <v>66267</v>
      </c>
      <c r="AE76" s="3">
        <f>ROUND(MAX(0,(D76-V76)*Shift11!$B$3),2)</f>
        <v>121009.14</v>
      </c>
      <c r="AF76" s="3">
        <f t="shared" si="8"/>
        <v>121009.14</v>
      </c>
    </row>
    <row r="77" spans="1:32" x14ac:dyDescent="0.2">
      <c r="A77" s="18">
        <v>229</v>
      </c>
      <c r="B77" s="18">
        <v>1</v>
      </c>
      <c r="C77" s="3" t="s">
        <v>74</v>
      </c>
      <c r="D77" s="3">
        <f>Levy!F77</f>
        <v>69874.11</v>
      </c>
      <c r="E77" s="3">
        <f>Levy!G77</f>
        <v>51427.96</v>
      </c>
      <c r="F77" s="3">
        <f>Levy!H77</f>
        <v>0</v>
      </c>
      <c r="G77" s="3">
        <f>Levy!I77</f>
        <v>138226.37</v>
      </c>
      <c r="H77" s="3">
        <f>Levy!J77</f>
        <v>21089.82</v>
      </c>
      <c r="I77" s="154">
        <v>0</v>
      </c>
      <c r="J77" s="19">
        <v>205</v>
      </c>
      <c r="K77" s="19">
        <v>24606.76</v>
      </c>
      <c r="L77" s="19">
        <v>0</v>
      </c>
      <c r="M77" s="3">
        <v>0</v>
      </c>
      <c r="N77" s="3">
        <v>0</v>
      </c>
      <c r="O77" s="3">
        <v>0</v>
      </c>
      <c r="P77" s="19">
        <v>1070.6199999999999</v>
      </c>
      <c r="Q77" s="19">
        <v>0</v>
      </c>
      <c r="R77" s="19">
        <v>0</v>
      </c>
      <c r="S77" s="19">
        <v>0</v>
      </c>
      <c r="T77" s="3">
        <v>0</v>
      </c>
      <c r="U77" s="3">
        <v>0</v>
      </c>
      <c r="V77" s="21">
        <v>0</v>
      </c>
      <c r="W77" s="21">
        <v>0</v>
      </c>
      <c r="X77" s="3">
        <v>0</v>
      </c>
      <c r="Y77" s="21">
        <v>15542.06</v>
      </c>
      <c r="Z77" s="154">
        <f>Levy!U77</f>
        <v>0</v>
      </c>
      <c r="AA77" s="3">
        <f>Levy!V77</f>
        <v>0</v>
      </c>
      <c r="AB77" s="3">
        <f t="shared" si="5"/>
        <v>25882.379999999997</v>
      </c>
      <c r="AC77" s="3">
        <f t="shared" si="6"/>
        <v>163771.95000000001</v>
      </c>
      <c r="AD77" s="3">
        <f t="shared" si="7"/>
        <v>21089.82</v>
      </c>
      <c r="AE77" s="3">
        <f>ROUND(MAX(0,(D77-V77)*Shift11!$B$3),2)</f>
        <v>33958.82</v>
      </c>
      <c r="AF77" s="3">
        <f t="shared" si="8"/>
        <v>33958.82</v>
      </c>
    </row>
    <row r="78" spans="1:32" x14ac:dyDescent="0.2">
      <c r="A78" s="18">
        <v>238</v>
      </c>
      <c r="B78" s="18">
        <v>1</v>
      </c>
      <c r="C78" s="3" t="s">
        <v>75</v>
      </c>
      <c r="D78" s="3">
        <f>Levy!F78</f>
        <v>297470.46999999997</v>
      </c>
      <c r="E78" s="3">
        <f>Levy!G78</f>
        <v>15636.67</v>
      </c>
      <c r="F78" s="3">
        <f>Levy!H78</f>
        <v>0</v>
      </c>
      <c r="G78" s="3">
        <f>Levy!I78</f>
        <v>135743.59</v>
      </c>
      <c r="H78" s="3">
        <f>Levy!J78</f>
        <v>6244.89</v>
      </c>
      <c r="I78" s="154">
        <v>0</v>
      </c>
      <c r="J78" s="19">
        <v>5000</v>
      </c>
      <c r="K78" s="19">
        <v>12233.69</v>
      </c>
      <c r="L78" s="19">
        <v>0</v>
      </c>
      <c r="M78" s="3">
        <v>0</v>
      </c>
      <c r="N78" s="3">
        <v>0</v>
      </c>
      <c r="O78" s="3">
        <v>0</v>
      </c>
      <c r="P78" s="19">
        <v>-4000</v>
      </c>
      <c r="Q78" s="19">
        <v>0</v>
      </c>
      <c r="R78" s="19">
        <v>0</v>
      </c>
      <c r="S78" s="19">
        <v>0</v>
      </c>
      <c r="T78" s="3">
        <v>0</v>
      </c>
      <c r="U78" s="3">
        <v>0</v>
      </c>
      <c r="V78" s="21">
        <v>0</v>
      </c>
      <c r="W78" s="21">
        <v>0</v>
      </c>
      <c r="X78" s="3">
        <v>0</v>
      </c>
      <c r="Y78" s="21">
        <v>54421.05</v>
      </c>
      <c r="Z78" s="154">
        <f>Levy!U78</f>
        <v>0</v>
      </c>
      <c r="AA78" s="3">
        <f>Levy!V78</f>
        <v>0</v>
      </c>
      <c r="AB78" s="3">
        <f t="shared" si="5"/>
        <v>13233.690000000002</v>
      </c>
      <c r="AC78" s="3">
        <f t="shared" si="6"/>
        <v>138146.57</v>
      </c>
      <c r="AD78" s="3">
        <f t="shared" si="7"/>
        <v>6244.89</v>
      </c>
      <c r="AE78" s="3">
        <f>ROUND(MAX(0,(D78-V78)*Shift11!$B$3),2)</f>
        <v>144570.65</v>
      </c>
      <c r="AF78" s="3">
        <f t="shared" si="8"/>
        <v>144570.65</v>
      </c>
    </row>
    <row r="79" spans="1:32" x14ac:dyDescent="0.2">
      <c r="A79" s="18">
        <v>239</v>
      </c>
      <c r="B79" s="18">
        <v>1</v>
      </c>
      <c r="C79" s="3" t="s">
        <v>76</v>
      </c>
      <c r="D79" s="3">
        <f>Levy!F79</f>
        <v>513914.66</v>
      </c>
      <c r="E79" s="3">
        <f>Levy!G79</f>
        <v>51336.68</v>
      </c>
      <c r="F79" s="3">
        <f>Levy!H79</f>
        <v>0</v>
      </c>
      <c r="G79" s="3">
        <f>Levy!I79</f>
        <v>297412.32</v>
      </c>
      <c r="H79" s="3">
        <f>Levy!J79</f>
        <v>51585.01</v>
      </c>
      <c r="I79" s="154">
        <v>0</v>
      </c>
      <c r="J79" s="19">
        <v>5573</v>
      </c>
      <c r="K79" s="19">
        <v>17046.650000000001</v>
      </c>
      <c r="L79" s="19">
        <v>0</v>
      </c>
      <c r="M79" s="3">
        <v>0</v>
      </c>
      <c r="N79" s="3">
        <v>0</v>
      </c>
      <c r="O79" s="3">
        <v>0</v>
      </c>
      <c r="P79" s="19">
        <v>-14895.6</v>
      </c>
      <c r="Q79" s="19">
        <v>0</v>
      </c>
      <c r="R79" s="19">
        <v>-2467.4</v>
      </c>
      <c r="S79" s="19">
        <v>0</v>
      </c>
      <c r="T79" s="3">
        <v>0</v>
      </c>
      <c r="U79" s="3">
        <v>0</v>
      </c>
      <c r="V79" s="21">
        <v>0</v>
      </c>
      <c r="W79" s="21">
        <v>0</v>
      </c>
      <c r="X79" s="3">
        <v>0</v>
      </c>
      <c r="Y79" s="21">
        <v>35288.620000000003</v>
      </c>
      <c r="Z79" s="154">
        <f>Levy!U79</f>
        <v>0</v>
      </c>
      <c r="AA79" s="3">
        <f>Levy!V79</f>
        <v>0</v>
      </c>
      <c r="AB79" s="3">
        <f t="shared" si="5"/>
        <v>5256.6500000000015</v>
      </c>
      <c r="AC79" s="3">
        <f t="shared" si="6"/>
        <v>343492.35</v>
      </c>
      <c r="AD79" s="3">
        <f t="shared" si="7"/>
        <v>51585.01</v>
      </c>
      <c r="AE79" s="3">
        <f>ROUND(MAX(0,(D79-V79)*Shift11!$B$3),2)</f>
        <v>249762.52</v>
      </c>
      <c r="AF79" s="3">
        <f t="shared" si="8"/>
        <v>249762.52</v>
      </c>
    </row>
    <row r="80" spans="1:32" x14ac:dyDescent="0.2">
      <c r="A80" s="18">
        <v>241</v>
      </c>
      <c r="B80" s="18">
        <v>1</v>
      </c>
      <c r="C80" s="3" t="s">
        <v>77</v>
      </c>
      <c r="D80" s="3">
        <f>Levy!F80</f>
        <v>2982061.03</v>
      </c>
      <c r="E80" s="3">
        <f>Levy!G80</f>
        <v>336810.7</v>
      </c>
      <c r="F80" s="3">
        <f>Levy!H80</f>
        <v>0</v>
      </c>
      <c r="G80" s="3">
        <f>Levy!I80</f>
        <v>1460617.2</v>
      </c>
      <c r="H80" s="3">
        <f>Levy!J80</f>
        <v>257236.58</v>
      </c>
      <c r="I80" s="154">
        <v>0</v>
      </c>
      <c r="J80" s="19">
        <v>20000</v>
      </c>
      <c r="K80" s="19">
        <v>73699.34</v>
      </c>
      <c r="L80" s="19">
        <v>0</v>
      </c>
      <c r="M80" s="3">
        <v>0</v>
      </c>
      <c r="N80" s="3">
        <v>0</v>
      </c>
      <c r="O80" s="3">
        <v>0</v>
      </c>
      <c r="P80" s="19">
        <v>-929.21</v>
      </c>
      <c r="Q80" s="19">
        <v>0</v>
      </c>
      <c r="R80" s="19">
        <v>0</v>
      </c>
      <c r="S80" s="19">
        <v>0</v>
      </c>
      <c r="T80" s="3">
        <v>0</v>
      </c>
      <c r="U80" s="3">
        <v>0</v>
      </c>
      <c r="V80" s="21">
        <v>0</v>
      </c>
      <c r="W80" s="21">
        <v>0</v>
      </c>
      <c r="X80" s="3">
        <v>60901.47</v>
      </c>
      <c r="Y80" s="21">
        <v>174209.52</v>
      </c>
      <c r="Z80" s="154">
        <f>Levy!U80</f>
        <v>0</v>
      </c>
      <c r="AA80" s="3">
        <f>Levy!V80</f>
        <v>0</v>
      </c>
      <c r="AB80" s="3">
        <f t="shared" si="5"/>
        <v>92770.12999999999</v>
      </c>
      <c r="AC80" s="3">
        <f t="shared" si="6"/>
        <v>1643756.3</v>
      </c>
      <c r="AD80" s="3">
        <f t="shared" si="7"/>
        <v>257236.58</v>
      </c>
      <c r="AE80" s="3">
        <f>ROUND(MAX(0,(D80-V80)*Shift11!$B$3),2)</f>
        <v>1449281.66</v>
      </c>
      <c r="AF80" s="3">
        <f t="shared" si="8"/>
        <v>1449281.66</v>
      </c>
    </row>
    <row r="81" spans="1:32" x14ac:dyDescent="0.2">
      <c r="A81" s="18">
        <v>242</v>
      </c>
      <c r="B81" s="18">
        <v>1</v>
      </c>
      <c r="C81" s="3" t="s">
        <v>78</v>
      </c>
      <c r="D81" s="3">
        <f>Levy!F81</f>
        <v>69068.02</v>
      </c>
      <c r="E81" s="3">
        <f>Levy!G81</f>
        <v>40549.69</v>
      </c>
      <c r="F81" s="3">
        <f>Levy!H81</f>
        <v>0</v>
      </c>
      <c r="G81" s="3">
        <f>Levy!I81</f>
        <v>128239.99</v>
      </c>
      <c r="H81" s="3">
        <f>Levy!J81</f>
        <v>21664.67</v>
      </c>
      <c r="I81" s="154">
        <v>0</v>
      </c>
      <c r="J81" s="19">
        <v>1200</v>
      </c>
      <c r="K81" s="19">
        <v>10000</v>
      </c>
      <c r="L81" s="19">
        <v>0</v>
      </c>
      <c r="M81" s="3">
        <v>0</v>
      </c>
      <c r="N81" s="3">
        <v>0</v>
      </c>
      <c r="O81" s="3">
        <v>0</v>
      </c>
      <c r="P81" s="19">
        <v>1677.69</v>
      </c>
      <c r="Q81" s="19">
        <v>0</v>
      </c>
      <c r="R81" s="19">
        <v>0</v>
      </c>
      <c r="S81" s="19">
        <v>0</v>
      </c>
      <c r="T81" s="3">
        <v>0</v>
      </c>
      <c r="U81" s="3">
        <v>0</v>
      </c>
      <c r="V81" s="21">
        <v>0</v>
      </c>
      <c r="W81" s="21">
        <v>0</v>
      </c>
      <c r="X81" s="3">
        <v>4788.6099999999997</v>
      </c>
      <c r="Y81" s="21">
        <v>29849.06</v>
      </c>
      <c r="Z81" s="154">
        <f>Levy!U81</f>
        <v>0</v>
      </c>
      <c r="AA81" s="3">
        <f>Levy!V81</f>
        <v>0</v>
      </c>
      <c r="AB81" s="3">
        <f t="shared" si="5"/>
        <v>12877.69</v>
      </c>
      <c r="AC81" s="3">
        <f t="shared" si="6"/>
        <v>151123.38</v>
      </c>
      <c r="AD81" s="3">
        <f t="shared" si="7"/>
        <v>21664.67</v>
      </c>
      <c r="AE81" s="3">
        <f>ROUND(MAX(0,(D81-V81)*Shift11!$B$3),2)</f>
        <v>33567.06</v>
      </c>
      <c r="AF81" s="3">
        <f t="shared" si="8"/>
        <v>33567.06</v>
      </c>
    </row>
    <row r="82" spans="1:32" x14ac:dyDescent="0.2">
      <c r="A82" s="18">
        <v>252</v>
      </c>
      <c r="B82" s="18">
        <v>1</v>
      </c>
      <c r="C82" s="3" t="s">
        <v>79</v>
      </c>
      <c r="D82" s="3">
        <f>Levy!F82</f>
        <v>698285</v>
      </c>
      <c r="E82" s="3">
        <f>Levy!G82</f>
        <v>152096</v>
      </c>
      <c r="F82" s="3">
        <f>Levy!H82</f>
        <v>0</v>
      </c>
      <c r="G82" s="3">
        <f>Levy!I82</f>
        <v>495617</v>
      </c>
      <c r="H82" s="3">
        <f>Levy!J82</f>
        <v>137872</v>
      </c>
      <c r="I82" s="154">
        <v>0</v>
      </c>
      <c r="J82" s="19">
        <v>0</v>
      </c>
      <c r="K82" s="19">
        <v>24659.200000000001</v>
      </c>
      <c r="L82" s="19">
        <v>0</v>
      </c>
      <c r="M82" s="3">
        <v>0</v>
      </c>
      <c r="N82" s="3">
        <v>0</v>
      </c>
      <c r="O82" s="3">
        <v>0</v>
      </c>
      <c r="P82" s="19">
        <v>23874.93</v>
      </c>
      <c r="Q82" s="19">
        <v>0</v>
      </c>
      <c r="R82" s="19">
        <v>968</v>
      </c>
      <c r="S82" s="19">
        <v>0</v>
      </c>
      <c r="T82" s="3">
        <v>0</v>
      </c>
      <c r="U82" s="3">
        <v>0</v>
      </c>
      <c r="V82" s="21">
        <v>0</v>
      </c>
      <c r="W82" s="21">
        <v>0</v>
      </c>
      <c r="X82" s="3">
        <v>0</v>
      </c>
      <c r="Y82" s="21">
        <v>104497.76</v>
      </c>
      <c r="Z82" s="154">
        <f>Levy!U82</f>
        <v>0</v>
      </c>
      <c r="AA82" s="3">
        <f>Levy!V82</f>
        <v>0</v>
      </c>
      <c r="AB82" s="3">
        <f t="shared" si="5"/>
        <v>49502.130000000005</v>
      </c>
      <c r="AC82" s="3">
        <f t="shared" si="6"/>
        <v>598210.87</v>
      </c>
      <c r="AD82" s="3">
        <f t="shared" si="7"/>
        <v>137872</v>
      </c>
      <c r="AE82" s="3">
        <f>ROUND(MAX(0,(D82-V82)*Shift11!$B$3),2)</f>
        <v>339366.51</v>
      </c>
      <c r="AF82" s="3">
        <f t="shared" si="8"/>
        <v>339366.51</v>
      </c>
    </row>
    <row r="83" spans="1:32" x14ac:dyDescent="0.2">
      <c r="A83" s="18">
        <v>253</v>
      </c>
      <c r="B83" s="18">
        <v>1</v>
      </c>
      <c r="C83" s="3" t="s">
        <v>80</v>
      </c>
      <c r="D83" s="3">
        <f>Levy!F83</f>
        <v>52170</v>
      </c>
      <c r="E83" s="3">
        <f>Levy!G83</f>
        <v>65093</v>
      </c>
      <c r="F83" s="3">
        <f>Levy!H83</f>
        <v>0</v>
      </c>
      <c r="G83" s="3">
        <f>Levy!I83</f>
        <v>194952</v>
      </c>
      <c r="H83" s="3">
        <f>Levy!J83</f>
        <v>37707</v>
      </c>
      <c r="I83" s="154">
        <v>0</v>
      </c>
      <c r="J83" s="19">
        <v>0</v>
      </c>
      <c r="K83" s="19">
        <v>13389.6</v>
      </c>
      <c r="L83" s="19">
        <v>0</v>
      </c>
      <c r="M83" s="3">
        <v>0</v>
      </c>
      <c r="N83" s="3">
        <v>0</v>
      </c>
      <c r="O83" s="3">
        <v>0</v>
      </c>
      <c r="P83" s="19">
        <v>7598.53</v>
      </c>
      <c r="Q83" s="19">
        <v>-4677.2700000000004</v>
      </c>
      <c r="R83" s="19">
        <v>426.4</v>
      </c>
      <c r="S83" s="19">
        <v>0</v>
      </c>
      <c r="T83" s="3">
        <v>0</v>
      </c>
      <c r="U83" s="3">
        <v>0</v>
      </c>
      <c r="V83" s="21">
        <v>0</v>
      </c>
      <c r="W83" s="21">
        <v>0</v>
      </c>
      <c r="X83" s="3">
        <v>2374.9299999999998</v>
      </c>
      <c r="Y83" s="21">
        <v>32550.880000000001</v>
      </c>
      <c r="Z83" s="154">
        <f>Levy!U83</f>
        <v>0</v>
      </c>
      <c r="AA83" s="3">
        <f>Levy!V83</f>
        <v>0</v>
      </c>
      <c r="AB83" s="3">
        <f t="shared" si="5"/>
        <v>16737.260000000002</v>
      </c>
      <c r="AC83" s="3">
        <f t="shared" si="6"/>
        <v>240932.81</v>
      </c>
      <c r="AD83" s="3">
        <f t="shared" si="7"/>
        <v>37707</v>
      </c>
      <c r="AE83" s="3">
        <f>ROUND(MAX(0,(D83-V83)*Shift11!$B$3),2)</f>
        <v>25354.62</v>
      </c>
      <c r="AF83" s="3">
        <f t="shared" si="8"/>
        <v>32550.880000000001</v>
      </c>
    </row>
    <row r="84" spans="1:32" x14ac:dyDescent="0.2">
      <c r="A84" s="18">
        <v>255</v>
      </c>
      <c r="B84" s="18">
        <v>1</v>
      </c>
      <c r="C84" s="3" t="s">
        <v>81</v>
      </c>
      <c r="D84" s="3">
        <f>Levy!F84</f>
        <v>496230</v>
      </c>
      <c r="E84" s="3">
        <f>Levy!G84</f>
        <v>123129</v>
      </c>
      <c r="F84" s="3">
        <f>Levy!H84</f>
        <v>0</v>
      </c>
      <c r="G84" s="3">
        <f>Levy!I84</f>
        <v>686863</v>
      </c>
      <c r="H84" s="3">
        <f>Levy!J84</f>
        <v>136483</v>
      </c>
      <c r="I84" s="154">
        <v>0</v>
      </c>
      <c r="J84" s="19">
        <v>35000</v>
      </c>
      <c r="K84" s="19">
        <v>33782.839999999997</v>
      </c>
      <c r="L84" s="19">
        <v>0</v>
      </c>
      <c r="M84" s="3">
        <v>0</v>
      </c>
      <c r="N84" s="3">
        <v>0</v>
      </c>
      <c r="O84" s="3">
        <v>0</v>
      </c>
      <c r="P84" s="19">
        <v>-1999.91</v>
      </c>
      <c r="Q84" s="19">
        <v>0</v>
      </c>
      <c r="R84" s="19">
        <v>0</v>
      </c>
      <c r="S84" s="19">
        <v>0</v>
      </c>
      <c r="T84" s="3">
        <v>0</v>
      </c>
      <c r="U84" s="3">
        <v>0</v>
      </c>
      <c r="V84" s="21">
        <v>0</v>
      </c>
      <c r="W84" s="21">
        <v>0</v>
      </c>
      <c r="X84" s="3">
        <v>0</v>
      </c>
      <c r="Y84" s="21">
        <v>52187.99</v>
      </c>
      <c r="Z84" s="154">
        <f>Levy!U84</f>
        <v>0</v>
      </c>
      <c r="AA84" s="3">
        <f>Levy!V84</f>
        <v>0</v>
      </c>
      <c r="AB84" s="3">
        <f t="shared" si="5"/>
        <v>66782.929999999993</v>
      </c>
      <c r="AC84" s="3">
        <f t="shared" si="6"/>
        <v>743209.07</v>
      </c>
      <c r="AD84" s="3">
        <f t="shared" si="7"/>
        <v>136483</v>
      </c>
      <c r="AE84" s="3">
        <f>ROUND(MAX(0,(D84-V84)*Shift11!$B$3),2)</f>
        <v>241167.78</v>
      </c>
      <c r="AF84" s="3">
        <f t="shared" si="8"/>
        <v>241167.78</v>
      </c>
    </row>
    <row r="85" spans="1:32" x14ac:dyDescent="0.2">
      <c r="A85" s="18">
        <v>256</v>
      </c>
      <c r="B85" s="18">
        <v>1</v>
      </c>
      <c r="C85" s="3" t="s">
        <v>82</v>
      </c>
      <c r="D85" s="3">
        <f>Levy!F85</f>
        <v>3638128</v>
      </c>
      <c r="E85" s="3">
        <f>Levy!G85</f>
        <v>267392</v>
      </c>
      <c r="F85" s="3">
        <f>Levy!H85</f>
        <v>0</v>
      </c>
      <c r="G85" s="3">
        <f>Levy!I85</f>
        <v>1073290</v>
      </c>
      <c r="H85" s="3">
        <f>Levy!J85</f>
        <v>290617</v>
      </c>
      <c r="I85" s="154">
        <v>0</v>
      </c>
      <c r="J85" s="19">
        <v>20000</v>
      </c>
      <c r="K85" s="19">
        <v>62928.19</v>
      </c>
      <c r="L85" s="19">
        <v>0</v>
      </c>
      <c r="M85" s="3">
        <v>0</v>
      </c>
      <c r="N85" s="3">
        <v>0</v>
      </c>
      <c r="O85" s="3">
        <v>0</v>
      </c>
      <c r="P85" s="19">
        <v>-13928.79</v>
      </c>
      <c r="Q85" s="19">
        <v>0</v>
      </c>
      <c r="R85" s="19">
        <v>0</v>
      </c>
      <c r="S85" s="19">
        <v>0</v>
      </c>
      <c r="T85" s="3">
        <v>0</v>
      </c>
      <c r="U85" s="3">
        <v>0</v>
      </c>
      <c r="V85" s="21">
        <v>0</v>
      </c>
      <c r="W85" s="21">
        <v>0</v>
      </c>
      <c r="X85" s="3">
        <v>7931.62</v>
      </c>
      <c r="Y85" s="21">
        <v>431418.24</v>
      </c>
      <c r="Z85" s="154">
        <f>Levy!U85</f>
        <v>0</v>
      </c>
      <c r="AA85" s="3">
        <f>Levy!V85</f>
        <v>0</v>
      </c>
      <c r="AB85" s="3">
        <f t="shared" si="5"/>
        <v>68999.399999999994</v>
      </c>
      <c r="AC85" s="3">
        <f t="shared" si="6"/>
        <v>1263750.98</v>
      </c>
      <c r="AD85" s="3">
        <f t="shared" si="7"/>
        <v>290617</v>
      </c>
      <c r="AE85" s="3">
        <f>ROUND(MAX(0,(D85-V85)*Shift11!$B$3),2)</f>
        <v>1768130.21</v>
      </c>
      <c r="AF85" s="3">
        <f t="shared" si="8"/>
        <v>1768130.21</v>
      </c>
    </row>
    <row r="86" spans="1:32" x14ac:dyDescent="0.2">
      <c r="A86" s="18">
        <v>261</v>
      </c>
      <c r="B86" s="18">
        <v>1</v>
      </c>
      <c r="C86" s="3" t="s">
        <v>83</v>
      </c>
      <c r="D86" s="3">
        <f>Levy!F86</f>
        <v>251939</v>
      </c>
      <c r="E86" s="3">
        <f>Levy!G86</f>
        <v>19070</v>
      </c>
      <c r="F86" s="3">
        <f>Levy!H86</f>
        <v>0</v>
      </c>
      <c r="G86" s="3">
        <f>Levy!I86</f>
        <v>87650</v>
      </c>
      <c r="H86" s="3">
        <f>Levy!J86</f>
        <v>17550</v>
      </c>
      <c r="I86" s="154">
        <v>0</v>
      </c>
      <c r="J86" s="19">
        <v>5000</v>
      </c>
      <c r="K86" s="19">
        <v>10000</v>
      </c>
      <c r="L86" s="19">
        <v>0</v>
      </c>
      <c r="M86" s="3">
        <v>0</v>
      </c>
      <c r="N86" s="3">
        <v>0</v>
      </c>
      <c r="O86" s="3">
        <v>0</v>
      </c>
      <c r="P86" s="19">
        <v>-5167.0600000000004</v>
      </c>
      <c r="Q86" s="19">
        <v>0</v>
      </c>
      <c r="R86" s="19">
        <v>0</v>
      </c>
      <c r="S86" s="19">
        <v>0</v>
      </c>
      <c r="T86" s="3">
        <v>0</v>
      </c>
      <c r="U86" s="3">
        <v>0</v>
      </c>
      <c r="V86" s="21">
        <v>0</v>
      </c>
      <c r="W86" s="21">
        <v>0</v>
      </c>
      <c r="X86" s="3">
        <v>0</v>
      </c>
      <c r="Y86" s="21">
        <v>0</v>
      </c>
      <c r="Z86" s="154">
        <f>Levy!U86</f>
        <v>0</v>
      </c>
      <c r="AA86" s="3">
        <f>Levy!V86</f>
        <v>0</v>
      </c>
      <c r="AB86" s="3">
        <f t="shared" si="5"/>
        <v>9832.9399999999987</v>
      </c>
      <c r="AC86" s="3">
        <f t="shared" si="6"/>
        <v>96887.06</v>
      </c>
      <c r="AD86" s="3">
        <f t="shared" si="7"/>
        <v>17550</v>
      </c>
      <c r="AE86" s="3">
        <f>ROUND(MAX(0,(D86-V86)*Shift11!$B$3),2)</f>
        <v>122442.35</v>
      </c>
      <c r="AF86" s="3">
        <f t="shared" si="8"/>
        <v>122442.35</v>
      </c>
    </row>
    <row r="87" spans="1:32" x14ac:dyDescent="0.2">
      <c r="A87" s="18">
        <v>264</v>
      </c>
      <c r="B87" s="18">
        <v>1</v>
      </c>
      <c r="C87" s="3" t="s">
        <v>84</v>
      </c>
      <c r="D87" s="3">
        <f>Levy!F87</f>
        <v>0</v>
      </c>
      <c r="E87" s="3">
        <f>Levy!G87</f>
        <v>0</v>
      </c>
      <c r="F87" s="3">
        <f>Levy!H87</f>
        <v>0</v>
      </c>
      <c r="G87" s="3">
        <f>Levy!I87</f>
        <v>2685</v>
      </c>
      <c r="H87" s="3">
        <f>Levy!J87</f>
        <v>20803</v>
      </c>
      <c r="I87" s="154">
        <v>0</v>
      </c>
      <c r="J87" s="19">
        <v>9000</v>
      </c>
      <c r="K87" s="19">
        <v>1760</v>
      </c>
      <c r="L87" s="19">
        <v>0</v>
      </c>
      <c r="M87" s="3">
        <v>0</v>
      </c>
      <c r="N87" s="3">
        <v>0</v>
      </c>
      <c r="O87" s="3">
        <v>0</v>
      </c>
      <c r="P87" s="19">
        <v>-10000</v>
      </c>
      <c r="Q87" s="19">
        <v>0</v>
      </c>
      <c r="R87" s="19">
        <v>0</v>
      </c>
      <c r="S87" s="19">
        <v>0</v>
      </c>
      <c r="T87" s="3">
        <v>0</v>
      </c>
      <c r="U87" s="3">
        <v>0</v>
      </c>
      <c r="V87" s="21">
        <v>0</v>
      </c>
      <c r="W87" s="21">
        <v>0</v>
      </c>
      <c r="X87" s="3">
        <v>0</v>
      </c>
      <c r="Y87" s="21">
        <v>122971.08</v>
      </c>
      <c r="Z87" s="154">
        <f>Levy!U87</f>
        <v>0</v>
      </c>
      <c r="AA87" s="3">
        <f>Levy!V87</f>
        <v>0</v>
      </c>
      <c r="AB87" s="3">
        <f t="shared" si="5"/>
        <v>760</v>
      </c>
      <c r="AC87" s="3">
        <f t="shared" si="6"/>
        <v>1925</v>
      </c>
      <c r="AD87" s="3">
        <f t="shared" si="7"/>
        <v>20803</v>
      </c>
      <c r="AE87" s="3">
        <f>ROUND(MAX(0,(D87-V87)*Shift11!$B$3),2)</f>
        <v>0</v>
      </c>
      <c r="AF87" s="3">
        <f t="shared" si="8"/>
        <v>122971.08</v>
      </c>
    </row>
    <row r="88" spans="1:32" x14ac:dyDescent="0.2">
      <c r="A88" s="18">
        <v>270</v>
      </c>
      <c r="B88" s="18">
        <v>1</v>
      </c>
      <c r="C88" s="3" t="s">
        <v>85</v>
      </c>
      <c r="D88" s="3">
        <f>Levy!F88</f>
        <v>14074956.26</v>
      </c>
      <c r="E88" s="3">
        <f>Levy!G88</f>
        <v>155317.54999999999</v>
      </c>
      <c r="F88" s="3">
        <f>Levy!H88</f>
        <v>6500000</v>
      </c>
      <c r="G88" s="3">
        <f>Levy!I88</f>
        <v>4858618.4800000004</v>
      </c>
      <c r="H88" s="3">
        <f>Levy!J88</f>
        <v>1355555.58</v>
      </c>
      <c r="I88" s="154">
        <v>0</v>
      </c>
      <c r="J88" s="19">
        <v>75000</v>
      </c>
      <c r="K88" s="19">
        <v>155374.39999999999</v>
      </c>
      <c r="L88" s="19">
        <v>0</v>
      </c>
      <c r="M88" s="3">
        <v>0</v>
      </c>
      <c r="N88" s="3">
        <v>0</v>
      </c>
      <c r="O88" s="3">
        <v>0</v>
      </c>
      <c r="P88" s="19">
        <v>37993.31</v>
      </c>
      <c r="Q88" s="19">
        <v>0</v>
      </c>
      <c r="R88" s="19">
        <v>-8969.6</v>
      </c>
      <c r="S88" s="19">
        <v>0</v>
      </c>
      <c r="T88" s="3">
        <v>0</v>
      </c>
      <c r="U88" s="3">
        <v>0</v>
      </c>
      <c r="V88" s="21">
        <v>0</v>
      </c>
      <c r="W88" s="21">
        <v>0</v>
      </c>
      <c r="X88" s="3">
        <v>0</v>
      </c>
      <c r="Y88" s="21">
        <v>4134654.98</v>
      </c>
      <c r="Z88" s="154">
        <f>Levy!U88</f>
        <v>0</v>
      </c>
      <c r="AA88" s="3">
        <f>Levy!V88</f>
        <v>0</v>
      </c>
      <c r="AB88" s="3">
        <f t="shared" si="5"/>
        <v>259398.10999999996</v>
      </c>
      <c r="AC88" s="3">
        <f t="shared" si="6"/>
        <v>11254537.92</v>
      </c>
      <c r="AD88" s="3">
        <f t="shared" si="7"/>
        <v>1355555.58</v>
      </c>
      <c r="AE88" s="3">
        <f>ROUND(MAX(0,(D88-V88)*Shift11!$B$3),2)</f>
        <v>6840428.7400000002</v>
      </c>
      <c r="AF88" s="3">
        <f t="shared" si="8"/>
        <v>6840428.7400000002</v>
      </c>
    </row>
    <row r="89" spans="1:32" x14ac:dyDescent="0.2">
      <c r="A89" s="18">
        <v>271</v>
      </c>
      <c r="B89" s="18">
        <v>1</v>
      </c>
      <c r="C89" s="3" t="s">
        <v>86</v>
      </c>
      <c r="D89" s="3">
        <f>Levy!F89</f>
        <v>18283744.329999998</v>
      </c>
      <c r="E89" s="3">
        <f>Levy!G89</f>
        <v>714510.53</v>
      </c>
      <c r="F89" s="3">
        <f>Levy!H89</f>
        <v>2916884</v>
      </c>
      <c r="G89" s="3">
        <f>Levy!I89</f>
        <v>9023128.4499999993</v>
      </c>
      <c r="H89" s="3">
        <f>Levy!J89</f>
        <v>1607912.11</v>
      </c>
      <c r="I89" s="154">
        <v>0</v>
      </c>
      <c r="J89" s="19">
        <v>95000</v>
      </c>
      <c r="K89" s="19">
        <v>208605.6</v>
      </c>
      <c r="L89" s="19">
        <v>0</v>
      </c>
      <c r="M89" s="3">
        <v>0</v>
      </c>
      <c r="N89" s="3">
        <v>0</v>
      </c>
      <c r="O89" s="3">
        <v>0</v>
      </c>
      <c r="P89" s="19">
        <v>-32898.43</v>
      </c>
      <c r="Q89" s="19">
        <v>0</v>
      </c>
      <c r="R89" s="19">
        <v>-9238.4</v>
      </c>
      <c r="S89" s="19">
        <v>0</v>
      </c>
      <c r="T89" s="3">
        <v>0</v>
      </c>
      <c r="U89" s="3">
        <v>0</v>
      </c>
      <c r="V89" s="21">
        <v>0</v>
      </c>
      <c r="W89" s="21">
        <v>0</v>
      </c>
      <c r="X89" s="3">
        <v>0</v>
      </c>
      <c r="Y89" s="21">
        <v>3892764.24</v>
      </c>
      <c r="Z89" s="154">
        <f>Levy!U89</f>
        <v>0</v>
      </c>
      <c r="AA89" s="3">
        <f>Levy!V89</f>
        <v>0</v>
      </c>
      <c r="AB89" s="3">
        <f t="shared" si="5"/>
        <v>261468.77</v>
      </c>
      <c r="AC89" s="3">
        <f t="shared" si="6"/>
        <v>12393054.210000001</v>
      </c>
      <c r="AD89" s="3">
        <f t="shared" si="7"/>
        <v>1607912.11</v>
      </c>
      <c r="AE89" s="3">
        <f>ROUND(MAX(0,(D89-V89)*Shift11!$B$3),2)</f>
        <v>8885899.7400000002</v>
      </c>
      <c r="AF89" s="3">
        <f t="shared" si="8"/>
        <v>8885899.7400000002</v>
      </c>
    </row>
    <row r="90" spans="1:32" x14ac:dyDescent="0.2">
      <c r="A90" s="18">
        <v>272</v>
      </c>
      <c r="B90" s="18">
        <v>1</v>
      </c>
      <c r="C90" s="3" t="s">
        <v>87</v>
      </c>
      <c r="D90" s="3">
        <f>Levy!F90</f>
        <v>13632090.82</v>
      </c>
      <c r="E90" s="3">
        <f>Levy!G90</f>
        <v>1124951.3</v>
      </c>
      <c r="F90" s="3">
        <f>Levy!H90</f>
        <v>6312705</v>
      </c>
      <c r="G90" s="3">
        <f>Levy!I90</f>
        <v>5532752.7199999997</v>
      </c>
      <c r="H90" s="3">
        <f>Levy!J90</f>
        <v>1168805.6200000001</v>
      </c>
      <c r="I90" s="154">
        <v>0</v>
      </c>
      <c r="J90" s="19">
        <v>125000</v>
      </c>
      <c r="K90" s="19">
        <v>201149.6</v>
      </c>
      <c r="L90" s="19">
        <v>0</v>
      </c>
      <c r="M90" s="3">
        <v>0</v>
      </c>
      <c r="N90" s="3">
        <v>0</v>
      </c>
      <c r="O90" s="3">
        <v>0</v>
      </c>
      <c r="P90" s="19">
        <v>24507.439999999999</v>
      </c>
      <c r="Q90" s="19">
        <v>0</v>
      </c>
      <c r="R90" s="19">
        <v>-7933.6</v>
      </c>
      <c r="S90" s="19">
        <v>0</v>
      </c>
      <c r="T90" s="3">
        <v>0</v>
      </c>
      <c r="U90" s="3">
        <v>0</v>
      </c>
      <c r="V90" s="21">
        <v>0</v>
      </c>
      <c r="W90" s="21">
        <v>0</v>
      </c>
      <c r="X90" s="3">
        <v>116982.81</v>
      </c>
      <c r="Y90" s="21">
        <v>3383760.71</v>
      </c>
      <c r="Z90" s="154">
        <f>Levy!U90</f>
        <v>0</v>
      </c>
      <c r="AA90" s="3">
        <f>Levy!V90</f>
        <v>0</v>
      </c>
      <c r="AB90" s="3">
        <f t="shared" si="5"/>
        <v>342723.44</v>
      </c>
      <c r="AC90" s="3">
        <f t="shared" si="6"/>
        <v>12510702.77</v>
      </c>
      <c r="AD90" s="3">
        <f t="shared" si="7"/>
        <v>1168805.6200000001</v>
      </c>
      <c r="AE90" s="3">
        <f>ROUND(MAX(0,(D90-V90)*Shift11!$B$3),2)</f>
        <v>6625196.1399999997</v>
      </c>
      <c r="AF90" s="3">
        <f t="shared" si="8"/>
        <v>6625196.1399999997</v>
      </c>
    </row>
    <row r="91" spans="1:32" x14ac:dyDescent="0.2">
      <c r="A91" s="18">
        <v>273</v>
      </c>
      <c r="B91" s="18">
        <v>1</v>
      </c>
      <c r="C91" s="3" t="s">
        <v>88</v>
      </c>
      <c r="D91" s="3">
        <f>Levy!F91</f>
        <v>15379970.289999999</v>
      </c>
      <c r="E91" s="3">
        <f>Levy!G91</f>
        <v>478740.86</v>
      </c>
      <c r="F91" s="3">
        <f>Levy!H91</f>
        <v>1000000</v>
      </c>
      <c r="G91" s="3">
        <f>Levy!I91</f>
        <v>6302302.0499999998</v>
      </c>
      <c r="H91" s="3">
        <f>Levy!J91</f>
        <v>982218.23999999999</v>
      </c>
      <c r="I91" s="154">
        <v>0</v>
      </c>
      <c r="J91" s="19">
        <v>75000</v>
      </c>
      <c r="K91" s="19">
        <v>31497.01</v>
      </c>
      <c r="L91" s="19">
        <v>0</v>
      </c>
      <c r="M91" s="3">
        <v>0</v>
      </c>
      <c r="N91" s="3">
        <v>0</v>
      </c>
      <c r="O91" s="3">
        <v>0</v>
      </c>
      <c r="P91" s="19">
        <v>17927.72</v>
      </c>
      <c r="Q91" s="19">
        <v>0</v>
      </c>
      <c r="R91" s="19">
        <v>0</v>
      </c>
      <c r="S91" s="19">
        <v>0</v>
      </c>
      <c r="T91" s="3">
        <v>0</v>
      </c>
      <c r="U91" s="3">
        <v>0</v>
      </c>
      <c r="V91" s="21">
        <v>0</v>
      </c>
      <c r="W91" s="21">
        <v>0</v>
      </c>
      <c r="X91" s="3">
        <v>0</v>
      </c>
      <c r="Y91" s="21">
        <v>3617532.85</v>
      </c>
      <c r="Z91" s="154">
        <f>Levy!U91</f>
        <v>0</v>
      </c>
      <c r="AA91" s="3">
        <f>Levy!V91</f>
        <v>0</v>
      </c>
      <c r="AB91" s="3">
        <f t="shared" si="5"/>
        <v>124424.73</v>
      </c>
      <c r="AC91" s="3">
        <f t="shared" si="6"/>
        <v>7656618.1799999997</v>
      </c>
      <c r="AD91" s="3">
        <f t="shared" si="7"/>
        <v>982218.23999999999</v>
      </c>
      <c r="AE91" s="3">
        <f>ROUND(MAX(0,(D91-V91)*Shift11!$B$3),2)</f>
        <v>7474665.5599999996</v>
      </c>
      <c r="AF91" s="3">
        <f t="shared" si="8"/>
        <v>7474665.5599999996</v>
      </c>
    </row>
    <row r="92" spans="1:32" x14ac:dyDescent="0.2">
      <c r="A92" s="18">
        <v>276</v>
      </c>
      <c r="B92" s="18">
        <v>1</v>
      </c>
      <c r="C92" s="3" t="s">
        <v>89</v>
      </c>
      <c r="D92" s="3">
        <f>Levy!F92</f>
        <v>16345861.16</v>
      </c>
      <c r="E92" s="3">
        <f>Levy!G92</f>
        <v>592260.53</v>
      </c>
      <c r="F92" s="3">
        <f>Levy!H92</f>
        <v>5445578</v>
      </c>
      <c r="G92" s="3">
        <f>Levy!I92</f>
        <v>4380648.63</v>
      </c>
      <c r="H92" s="3">
        <f>Levy!J92</f>
        <v>971384.9</v>
      </c>
      <c r="I92" s="154">
        <v>0</v>
      </c>
      <c r="J92" s="19">
        <v>0</v>
      </c>
      <c r="K92" s="19">
        <v>127130.23</v>
      </c>
      <c r="L92" s="19">
        <v>0</v>
      </c>
      <c r="M92" s="3">
        <v>0</v>
      </c>
      <c r="N92" s="3">
        <v>0</v>
      </c>
      <c r="O92" s="3">
        <v>0</v>
      </c>
      <c r="P92" s="19">
        <v>13461.87</v>
      </c>
      <c r="Q92" s="19">
        <v>0</v>
      </c>
      <c r="R92" s="19">
        <v>0</v>
      </c>
      <c r="S92" s="19">
        <v>-20037</v>
      </c>
      <c r="T92" s="3">
        <v>0</v>
      </c>
      <c r="U92" s="3">
        <v>0</v>
      </c>
      <c r="V92" s="21">
        <v>0</v>
      </c>
      <c r="W92" s="21">
        <v>0</v>
      </c>
      <c r="X92" s="3">
        <v>0</v>
      </c>
      <c r="Y92" s="21">
        <v>3991123.96</v>
      </c>
      <c r="Z92" s="154">
        <f>Levy!U92</f>
        <v>0</v>
      </c>
      <c r="AA92" s="3">
        <f>Levy!V92</f>
        <v>0</v>
      </c>
      <c r="AB92" s="3">
        <f t="shared" si="5"/>
        <v>120555.1</v>
      </c>
      <c r="AC92" s="3">
        <f t="shared" si="6"/>
        <v>10297932.060000001</v>
      </c>
      <c r="AD92" s="3">
        <f t="shared" si="7"/>
        <v>971384.9</v>
      </c>
      <c r="AE92" s="3">
        <f>ROUND(MAX(0,(D92-V92)*Shift11!$B$3),2)</f>
        <v>7944088.5199999996</v>
      </c>
      <c r="AF92" s="3">
        <f t="shared" si="8"/>
        <v>7944088.5199999996</v>
      </c>
    </row>
    <row r="93" spans="1:32" x14ac:dyDescent="0.2">
      <c r="A93" s="18">
        <v>277</v>
      </c>
      <c r="B93" s="18">
        <v>1</v>
      </c>
      <c r="C93" s="3" t="s">
        <v>90</v>
      </c>
      <c r="D93" s="3">
        <f>Levy!F93</f>
        <v>4355037.6500000004</v>
      </c>
      <c r="E93" s="3">
        <f>Levy!G93</f>
        <v>157740.60999999999</v>
      </c>
      <c r="F93" s="3">
        <f>Levy!H93</f>
        <v>750000</v>
      </c>
      <c r="G93" s="3">
        <f>Levy!I93</f>
        <v>1294344</v>
      </c>
      <c r="H93" s="3">
        <f>Levy!J93</f>
        <v>450202.85</v>
      </c>
      <c r="I93" s="154">
        <v>0</v>
      </c>
      <c r="J93" s="19">
        <v>10000</v>
      </c>
      <c r="K93" s="19">
        <v>46736.79</v>
      </c>
      <c r="L93" s="19">
        <v>0</v>
      </c>
      <c r="M93" s="3">
        <v>0</v>
      </c>
      <c r="N93" s="3">
        <v>0</v>
      </c>
      <c r="O93" s="3">
        <v>0</v>
      </c>
      <c r="P93" s="19">
        <v>18574.3</v>
      </c>
      <c r="Q93" s="19">
        <v>0</v>
      </c>
      <c r="R93" s="19">
        <v>-15365.63</v>
      </c>
      <c r="S93" s="19">
        <v>0</v>
      </c>
      <c r="T93" s="3">
        <v>0</v>
      </c>
      <c r="U93" s="3">
        <v>0</v>
      </c>
      <c r="V93" s="21">
        <v>0</v>
      </c>
      <c r="W93" s="21">
        <v>0</v>
      </c>
      <c r="X93" s="3">
        <v>0</v>
      </c>
      <c r="Y93" s="21">
        <v>856488.26</v>
      </c>
      <c r="Z93" s="154">
        <f>Levy!U93</f>
        <v>0</v>
      </c>
      <c r="AA93" s="3">
        <f>Levy!V93</f>
        <v>0</v>
      </c>
      <c r="AB93" s="3">
        <f t="shared" si="5"/>
        <v>59945.46</v>
      </c>
      <c r="AC93" s="3">
        <f t="shared" si="6"/>
        <v>2142139.15</v>
      </c>
      <c r="AD93" s="3">
        <f t="shared" si="7"/>
        <v>450202.85</v>
      </c>
      <c r="AE93" s="3">
        <f>ROUND(MAX(0,(D93-V93)*Shift11!$B$3),2)</f>
        <v>2116548.2999999998</v>
      </c>
      <c r="AF93" s="3">
        <f t="shared" si="8"/>
        <v>2116548.2999999998</v>
      </c>
    </row>
    <row r="94" spans="1:32" x14ac:dyDescent="0.2">
      <c r="A94" s="18">
        <v>278</v>
      </c>
      <c r="B94" s="18">
        <v>1</v>
      </c>
      <c r="C94" s="3" t="s">
        <v>91</v>
      </c>
      <c r="D94" s="3">
        <f>Levy!F94</f>
        <v>3571720.1</v>
      </c>
      <c r="E94" s="3">
        <f>Levy!G94</f>
        <v>323823.77</v>
      </c>
      <c r="F94" s="3">
        <f>Levy!H94</f>
        <v>996640</v>
      </c>
      <c r="G94" s="3">
        <f>Levy!I94</f>
        <v>1937517.08</v>
      </c>
      <c r="H94" s="3">
        <f>Levy!J94</f>
        <v>260299.88</v>
      </c>
      <c r="I94" s="154">
        <v>0</v>
      </c>
      <c r="J94" s="19">
        <v>35787</v>
      </c>
      <c r="K94" s="19">
        <v>45823.45</v>
      </c>
      <c r="L94" s="19">
        <v>0</v>
      </c>
      <c r="M94" s="3">
        <v>0</v>
      </c>
      <c r="N94" s="3">
        <v>0</v>
      </c>
      <c r="O94" s="3">
        <v>0</v>
      </c>
      <c r="P94" s="19">
        <v>-10031.33</v>
      </c>
      <c r="Q94" s="19">
        <v>0</v>
      </c>
      <c r="R94" s="19">
        <v>0</v>
      </c>
      <c r="S94" s="19">
        <v>0</v>
      </c>
      <c r="T94" s="3">
        <v>0</v>
      </c>
      <c r="U94" s="3">
        <v>0</v>
      </c>
      <c r="V94" s="21">
        <v>0</v>
      </c>
      <c r="W94" s="21">
        <v>0</v>
      </c>
      <c r="X94" s="3">
        <v>0</v>
      </c>
      <c r="Y94" s="21">
        <v>887487.03</v>
      </c>
      <c r="Z94" s="154">
        <f>Levy!U94</f>
        <v>0</v>
      </c>
      <c r="AA94" s="3">
        <f>Levy!V94</f>
        <v>0</v>
      </c>
      <c r="AB94" s="3">
        <f t="shared" si="5"/>
        <v>71579.12</v>
      </c>
      <c r="AC94" s="3">
        <f t="shared" si="6"/>
        <v>3186401.73</v>
      </c>
      <c r="AD94" s="3">
        <f t="shared" si="7"/>
        <v>260299.88</v>
      </c>
      <c r="AE94" s="3">
        <f>ROUND(MAX(0,(D94-V94)*Shift11!$B$3),2)</f>
        <v>1735855.97</v>
      </c>
      <c r="AF94" s="3">
        <f t="shared" si="8"/>
        <v>1735855.97</v>
      </c>
    </row>
    <row r="95" spans="1:32" x14ac:dyDescent="0.2">
      <c r="A95" s="18">
        <v>279</v>
      </c>
      <c r="B95" s="18">
        <v>1</v>
      </c>
      <c r="C95" s="3" t="s">
        <v>92</v>
      </c>
      <c r="D95" s="3">
        <f>Levy!F95</f>
        <v>31665987.219999999</v>
      </c>
      <c r="E95" s="3">
        <f>Levy!G95</f>
        <v>2746582.1</v>
      </c>
      <c r="F95" s="3">
        <f>Levy!H95</f>
        <v>0</v>
      </c>
      <c r="G95" s="3">
        <f>Levy!I95</f>
        <v>13405969.23</v>
      </c>
      <c r="H95" s="3">
        <f>Levy!J95</f>
        <v>1874263.75</v>
      </c>
      <c r="I95" s="154">
        <v>0</v>
      </c>
      <c r="J95" s="19">
        <v>390000</v>
      </c>
      <c r="K95" s="19">
        <v>410170.4</v>
      </c>
      <c r="L95" s="19">
        <v>0</v>
      </c>
      <c r="M95" s="3">
        <v>0</v>
      </c>
      <c r="N95" s="3">
        <v>0</v>
      </c>
      <c r="O95" s="3">
        <v>0</v>
      </c>
      <c r="P95" s="19">
        <v>216143.94</v>
      </c>
      <c r="Q95" s="19">
        <v>0</v>
      </c>
      <c r="R95" s="19">
        <v>-9484</v>
      </c>
      <c r="S95" s="19">
        <v>0</v>
      </c>
      <c r="T95" s="3">
        <v>0</v>
      </c>
      <c r="U95" s="3">
        <v>0</v>
      </c>
      <c r="V95" s="21">
        <v>0</v>
      </c>
      <c r="W95" s="21">
        <v>0</v>
      </c>
      <c r="X95" s="3">
        <v>0</v>
      </c>
      <c r="Y95" s="21">
        <v>3660705.88</v>
      </c>
      <c r="Z95" s="154">
        <f>Levy!U95</f>
        <v>0</v>
      </c>
      <c r="AA95" s="3">
        <f>Levy!V95</f>
        <v>0</v>
      </c>
      <c r="AB95" s="3">
        <f t="shared" si="5"/>
        <v>1006830.3400000001</v>
      </c>
      <c r="AC95" s="3">
        <f t="shared" si="6"/>
        <v>15145720.99</v>
      </c>
      <c r="AD95" s="3">
        <f t="shared" si="7"/>
        <v>1874263.75</v>
      </c>
      <c r="AE95" s="3">
        <f>ROUND(MAX(0,(D95-V95)*Shift11!$B$3),2)</f>
        <v>15389669.789999999</v>
      </c>
      <c r="AF95" s="3">
        <f t="shared" si="8"/>
        <v>15389669.789999999</v>
      </c>
    </row>
    <row r="96" spans="1:32" x14ac:dyDescent="0.2">
      <c r="A96" s="18">
        <v>280</v>
      </c>
      <c r="B96" s="18">
        <v>1</v>
      </c>
      <c r="C96" s="3" t="s">
        <v>93</v>
      </c>
      <c r="D96" s="3">
        <f>Levy!F96</f>
        <v>5952259.6200000001</v>
      </c>
      <c r="E96" s="3">
        <f>Levy!G96</f>
        <v>355404.97</v>
      </c>
      <c r="F96" s="3">
        <f>Levy!H96</f>
        <v>1379056</v>
      </c>
      <c r="G96" s="3">
        <f>Levy!I96</f>
        <v>3226345.2</v>
      </c>
      <c r="H96" s="3">
        <f>Levy!J96</f>
        <v>437342.64</v>
      </c>
      <c r="I96" s="154">
        <v>0</v>
      </c>
      <c r="J96" s="19">
        <v>70489</v>
      </c>
      <c r="K96" s="19">
        <v>83057.600000000006</v>
      </c>
      <c r="L96" s="19">
        <v>86294</v>
      </c>
      <c r="M96" s="3">
        <v>0</v>
      </c>
      <c r="N96" s="3">
        <v>0</v>
      </c>
      <c r="O96" s="3">
        <v>0</v>
      </c>
      <c r="P96" s="19">
        <v>46172.81</v>
      </c>
      <c r="Q96" s="19">
        <v>0</v>
      </c>
      <c r="R96" s="19">
        <v>-2890.4</v>
      </c>
      <c r="S96" s="19">
        <v>-2186.1999999999998</v>
      </c>
      <c r="T96" s="3">
        <v>0</v>
      </c>
      <c r="U96" s="3">
        <v>0</v>
      </c>
      <c r="V96" s="21">
        <v>0</v>
      </c>
      <c r="W96" s="21">
        <v>0</v>
      </c>
      <c r="X96" s="3">
        <v>0</v>
      </c>
      <c r="Y96" s="21">
        <v>1308442.53</v>
      </c>
      <c r="Z96" s="154">
        <f>Levy!U96</f>
        <v>0</v>
      </c>
      <c r="AA96" s="3">
        <f>Levy!V96</f>
        <v>0</v>
      </c>
      <c r="AB96" s="3">
        <f t="shared" si="5"/>
        <v>280936.81</v>
      </c>
      <c r="AC96" s="3">
        <f t="shared" si="6"/>
        <v>4679869.3600000003</v>
      </c>
      <c r="AD96" s="3">
        <f t="shared" si="7"/>
        <v>437342.64</v>
      </c>
      <c r="AE96" s="3">
        <f>ROUND(MAX(0,(D96-V96)*Shift11!$B$3),2)</f>
        <v>2892798.18</v>
      </c>
      <c r="AF96" s="3">
        <f t="shared" si="8"/>
        <v>2892798.18</v>
      </c>
    </row>
    <row r="97" spans="1:32" x14ac:dyDescent="0.2">
      <c r="A97" s="18">
        <v>281</v>
      </c>
      <c r="B97" s="18">
        <v>1</v>
      </c>
      <c r="C97" s="3" t="s">
        <v>94</v>
      </c>
      <c r="D97" s="3">
        <f>Levy!F97</f>
        <v>19979781.309999999</v>
      </c>
      <c r="E97" s="3">
        <f>Levy!G97</f>
        <v>1523770</v>
      </c>
      <c r="F97" s="3">
        <f>Levy!H97</f>
        <v>0</v>
      </c>
      <c r="G97" s="3">
        <f>Levy!I97</f>
        <v>12672056.18</v>
      </c>
      <c r="H97" s="3">
        <f>Levy!J97</f>
        <v>1804624.81</v>
      </c>
      <c r="I97" s="154">
        <v>0</v>
      </c>
      <c r="J97" s="19">
        <v>550000</v>
      </c>
      <c r="K97" s="19">
        <v>240255.2</v>
      </c>
      <c r="L97" s="19">
        <v>0</v>
      </c>
      <c r="M97" s="3">
        <v>0</v>
      </c>
      <c r="N97" s="3">
        <v>0</v>
      </c>
      <c r="O97" s="3">
        <v>0</v>
      </c>
      <c r="P97" s="19">
        <v>163923.43</v>
      </c>
      <c r="Q97" s="19">
        <v>0</v>
      </c>
      <c r="R97" s="19">
        <v>-1070.05</v>
      </c>
      <c r="S97" s="19">
        <v>0</v>
      </c>
      <c r="T97" s="3">
        <v>0</v>
      </c>
      <c r="U97" s="3">
        <v>0</v>
      </c>
      <c r="V97" s="21">
        <v>0</v>
      </c>
      <c r="W97" s="21">
        <v>0</v>
      </c>
      <c r="X97" s="3">
        <v>0</v>
      </c>
      <c r="Y97" s="21">
        <v>3392196.06</v>
      </c>
      <c r="Z97" s="154">
        <f>Levy!U97</f>
        <v>0</v>
      </c>
      <c r="AA97" s="3">
        <f>Levy!V97</f>
        <v>0</v>
      </c>
      <c r="AB97" s="3">
        <f t="shared" si="5"/>
        <v>953108.57999999984</v>
      </c>
      <c r="AC97" s="3">
        <f t="shared" si="6"/>
        <v>13242717.6</v>
      </c>
      <c r="AD97" s="3">
        <f t="shared" si="7"/>
        <v>1804624.81</v>
      </c>
      <c r="AE97" s="3">
        <f>ROUND(MAX(0,(D97-V97)*Shift11!$B$3),2)</f>
        <v>9710173.7200000007</v>
      </c>
      <c r="AF97" s="3">
        <f t="shared" si="8"/>
        <v>9710173.7200000007</v>
      </c>
    </row>
    <row r="98" spans="1:32" x14ac:dyDescent="0.2">
      <c r="A98" s="18">
        <v>282</v>
      </c>
      <c r="B98" s="18">
        <v>1</v>
      </c>
      <c r="C98" s="3" t="s">
        <v>95</v>
      </c>
      <c r="D98" s="3">
        <f>Levy!F98</f>
        <v>2129195.46</v>
      </c>
      <c r="E98" s="3">
        <f>Levy!G98</f>
        <v>235433.75</v>
      </c>
      <c r="F98" s="3">
        <f>Levy!H98</f>
        <v>0</v>
      </c>
      <c r="G98" s="3">
        <f>Levy!I98</f>
        <v>1012928.74</v>
      </c>
      <c r="H98" s="3">
        <f>Levy!J98</f>
        <v>182181.44</v>
      </c>
      <c r="I98" s="154">
        <v>0</v>
      </c>
      <c r="J98" s="19">
        <v>13500</v>
      </c>
      <c r="K98" s="19">
        <v>10000</v>
      </c>
      <c r="L98" s="19">
        <v>0</v>
      </c>
      <c r="M98" s="3">
        <v>0</v>
      </c>
      <c r="N98" s="3">
        <v>0</v>
      </c>
      <c r="O98" s="3">
        <v>0</v>
      </c>
      <c r="P98" s="19">
        <v>9521.6200000000008</v>
      </c>
      <c r="Q98" s="19">
        <v>0</v>
      </c>
      <c r="R98" s="19">
        <v>0</v>
      </c>
      <c r="S98" s="19">
        <v>0</v>
      </c>
      <c r="T98" s="3">
        <v>0</v>
      </c>
      <c r="U98" s="3">
        <v>0</v>
      </c>
      <c r="V98" s="21">
        <v>0</v>
      </c>
      <c r="W98" s="21">
        <v>0</v>
      </c>
      <c r="X98" s="3">
        <v>0</v>
      </c>
      <c r="Y98" s="21">
        <v>285410.61</v>
      </c>
      <c r="Z98" s="154">
        <f>Levy!U98</f>
        <v>0</v>
      </c>
      <c r="AA98" s="3">
        <f>Levy!V98</f>
        <v>0</v>
      </c>
      <c r="AB98" s="3">
        <f t="shared" si="5"/>
        <v>33021.620000000003</v>
      </c>
      <c r="AC98" s="3">
        <f t="shared" si="6"/>
        <v>1215340.8700000001</v>
      </c>
      <c r="AD98" s="3">
        <f t="shared" si="7"/>
        <v>182181.44</v>
      </c>
      <c r="AE98" s="3">
        <f>ROUND(MAX(0,(D98-V98)*Shift11!$B$3),2)</f>
        <v>1034788.99</v>
      </c>
      <c r="AF98" s="3">
        <f t="shared" si="8"/>
        <v>1034788.99</v>
      </c>
    </row>
    <row r="99" spans="1:32" x14ac:dyDescent="0.2">
      <c r="A99" s="18">
        <v>283</v>
      </c>
      <c r="B99" s="18">
        <v>1</v>
      </c>
      <c r="C99" s="3" t="s">
        <v>96</v>
      </c>
      <c r="D99" s="3">
        <f>Levy!F99</f>
        <v>9049274.6999999993</v>
      </c>
      <c r="E99" s="3">
        <f>Levy!G99</f>
        <v>343501.75</v>
      </c>
      <c r="F99" s="3">
        <f>Levy!H99</f>
        <v>1474470</v>
      </c>
      <c r="G99" s="3">
        <f>Levy!I99</f>
        <v>2238740.7799999998</v>
      </c>
      <c r="H99" s="3">
        <f>Levy!J99</f>
        <v>979473.19</v>
      </c>
      <c r="I99" s="154">
        <v>0</v>
      </c>
      <c r="J99" s="19">
        <v>125000</v>
      </c>
      <c r="K99" s="19">
        <v>80348</v>
      </c>
      <c r="L99" s="19">
        <v>0</v>
      </c>
      <c r="M99" s="3">
        <v>0</v>
      </c>
      <c r="N99" s="3">
        <v>0</v>
      </c>
      <c r="O99" s="3">
        <v>0</v>
      </c>
      <c r="P99" s="19">
        <v>30573.7</v>
      </c>
      <c r="Q99" s="19">
        <v>0</v>
      </c>
      <c r="R99" s="19">
        <v>-4176</v>
      </c>
      <c r="S99" s="19">
        <v>0</v>
      </c>
      <c r="T99" s="3">
        <v>0</v>
      </c>
      <c r="U99" s="3">
        <v>0</v>
      </c>
      <c r="V99" s="21">
        <v>0</v>
      </c>
      <c r="W99" s="21">
        <v>0</v>
      </c>
      <c r="X99" s="3">
        <v>0</v>
      </c>
      <c r="Y99" s="21">
        <v>2205291.65</v>
      </c>
      <c r="Z99" s="154">
        <f>Levy!U99</f>
        <v>0</v>
      </c>
      <c r="AA99" s="3">
        <f>Levy!V99</f>
        <v>0</v>
      </c>
      <c r="AB99" s="3">
        <f t="shared" si="5"/>
        <v>231745.7</v>
      </c>
      <c r="AC99" s="3">
        <f t="shared" si="6"/>
        <v>3824966.83</v>
      </c>
      <c r="AD99" s="3">
        <f t="shared" si="7"/>
        <v>979473.19</v>
      </c>
      <c r="AE99" s="3">
        <f>ROUND(MAX(0,(D99-V99)*Shift11!$B$3),2)</f>
        <v>4397947.5</v>
      </c>
      <c r="AF99" s="3">
        <f t="shared" si="8"/>
        <v>4397947.5</v>
      </c>
    </row>
    <row r="100" spans="1:32" x14ac:dyDescent="0.2">
      <c r="A100" s="18">
        <v>284</v>
      </c>
      <c r="B100" s="18">
        <v>1</v>
      </c>
      <c r="C100" s="3" t="s">
        <v>97</v>
      </c>
      <c r="D100" s="3">
        <f>Levy!F100</f>
        <v>17971992.129999999</v>
      </c>
      <c r="E100" s="3">
        <f>Levy!G100</f>
        <v>960219.81</v>
      </c>
      <c r="F100" s="3">
        <f>Levy!H100</f>
        <v>5669023</v>
      </c>
      <c r="G100" s="3">
        <f>Levy!I100</f>
        <v>9273598.5700000003</v>
      </c>
      <c r="H100" s="3">
        <f>Levy!J100</f>
        <v>1488405.3</v>
      </c>
      <c r="I100" s="154">
        <v>0</v>
      </c>
      <c r="J100" s="19">
        <v>50000</v>
      </c>
      <c r="K100" s="19">
        <v>192457.60000000001</v>
      </c>
      <c r="L100" s="19">
        <v>0</v>
      </c>
      <c r="M100" s="3">
        <v>0</v>
      </c>
      <c r="N100" s="3">
        <v>0</v>
      </c>
      <c r="O100" s="3">
        <v>0</v>
      </c>
      <c r="P100" s="19">
        <v>-37079.79</v>
      </c>
      <c r="Q100" s="19">
        <v>-50000</v>
      </c>
      <c r="R100" s="19">
        <v>3535.2</v>
      </c>
      <c r="S100" s="19">
        <v>0</v>
      </c>
      <c r="T100" s="3">
        <v>0</v>
      </c>
      <c r="U100" s="3">
        <v>0</v>
      </c>
      <c r="V100" s="21">
        <v>0</v>
      </c>
      <c r="W100" s="21">
        <v>0</v>
      </c>
      <c r="X100" s="3">
        <v>0</v>
      </c>
      <c r="Y100" s="21">
        <v>3560480.14</v>
      </c>
      <c r="Z100" s="154">
        <f>Levy!U100</f>
        <v>0</v>
      </c>
      <c r="AA100" s="3">
        <f>Levy!V100</f>
        <v>0</v>
      </c>
      <c r="AB100" s="3">
        <f t="shared" si="5"/>
        <v>158913.01</v>
      </c>
      <c r="AC100" s="3">
        <f t="shared" si="6"/>
        <v>15743928.369999999</v>
      </c>
      <c r="AD100" s="3">
        <f t="shared" si="7"/>
        <v>1488405.3</v>
      </c>
      <c r="AE100" s="3">
        <f>ROUND(MAX(0,(D100-V100)*Shift11!$B$3),2)</f>
        <v>8734388.1799999997</v>
      </c>
      <c r="AF100" s="3">
        <f t="shared" si="8"/>
        <v>8734388.1799999997</v>
      </c>
    </row>
    <row r="101" spans="1:32" x14ac:dyDescent="0.2">
      <c r="A101" s="18">
        <v>286</v>
      </c>
      <c r="B101" s="18">
        <v>1</v>
      </c>
      <c r="C101" s="3" t="s">
        <v>98</v>
      </c>
      <c r="D101" s="3">
        <f>Levy!F101</f>
        <v>460208.85</v>
      </c>
      <c r="E101" s="3">
        <f>Levy!G101</f>
        <v>461640.66</v>
      </c>
      <c r="F101" s="3">
        <f>Levy!H101</f>
        <v>0</v>
      </c>
      <c r="G101" s="3">
        <f>Levy!I101</f>
        <v>819188.91</v>
      </c>
      <c r="H101" s="3">
        <f>Levy!J101</f>
        <v>145578.53</v>
      </c>
      <c r="I101" s="154">
        <v>0</v>
      </c>
      <c r="J101" s="19">
        <v>80000</v>
      </c>
      <c r="K101" s="19">
        <v>29582.400000000001</v>
      </c>
      <c r="L101" s="19">
        <v>0</v>
      </c>
      <c r="M101" s="3">
        <v>0</v>
      </c>
      <c r="N101" s="3">
        <v>0</v>
      </c>
      <c r="O101" s="3">
        <v>0</v>
      </c>
      <c r="P101" s="19">
        <v>48376.25</v>
      </c>
      <c r="Q101" s="19">
        <v>0</v>
      </c>
      <c r="R101" s="19">
        <v>4087.06</v>
      </c>
      <c r="S101" s="19">
        <v>0</v>
      </c>
      <c r="T101" s="3">
        <v>0</v>
      </c>
      <c r="U101" s="3">
        <v>0</v>
      </c>
      <c r="V101" s="21">
        <v>0</v>
      </c>
      <c r="W101" s="21">
        <v>0</v>
      </c>
      <c r="X101" s="3">
        <v>53469.46</v>
      </c>
      <c r="Y101" s="21">
        <v>324009.17</v>
      </c>
      <c r="Z101" s="154">
        <f>Levy!U101</f>
        <v>0</v>
      </c>
      <c r="AA101" s="3">
        <f>Levy!V101</f>
        <v>0</v>
      </c>
      <c r="AB101" s="3">
        <f t="shared" si="5"/>
        <v>162045.71</v>
      </c>
      <c r="AC101" s="3">
        <f t="shared" si="6"/>
        <v>1065314.3999999999</v>
      </c>
      <c r="AD101" s="3">
        <f t="shared" si="7"/>
        <v>145578.53</v>
      </c>
      <c r="AE101" s="3">
        <f>ROUND(MAX(0,(D101-V101)*Shift11!$B$3),2)</f>
        <v>223661.5</v>
      </c>
      <c r="AF101" s="3">
        <f t="shared" si="8"/>
        <v>324009.17</v>
      </c>
    </row>
    <row r="102" spans="1:32" x14ac:dyDescent="0.2">
      <c r="A102" s="18">
        <v>294</v>
      </c>
      <c r="B102" s="18">
        <v>1</v>
      </c>
      <c r="C102" s="3" t="s">
        <v>99</v>
      </c>
      <c r="D102" s="3">
        <f>Levy!F102</f>
        <v>439527</v>
      </c>
      <c r="E102" s="3">
        <f>Levy!G102</f>
        <v>189670</v>
      </c>
      <c r="F102" s="3">
        <f>Levy!H102</f>
        <v>0</v>
      </c>
      <c r="G102" s="3">
        <f>Levy!I102</f>
        <v>89593</v>
      </c>
      <c r="H102" s="3">
        <f>Levy!J102</f>
        <v>38499</v>
      </c>
      <c r="I102" s="154">
        <v>0</v>
      </c>
      <c r="J102" s="19">
        <v>0</v>
      </c>
      <c r="K102" s="19">
        <v>0</v>
      </c>
      <c r="L102" s="19">
        <v>0</v>
      </c>
      <c r="M102" s="3">
        <v>0</v>
      </c>
      <c r="N102" s="3">
        <v>0</v>
      </c>
      <c r="O102" s="3">
        <v>0</v>
      </c>
      <c r="P102" s="19">
        <v>0</v>
      </c>
      <c r="Q102" s="19">
        <v>0</v>
      </c>
      <c r="R102" s="19">
        <v>0</v>
      </c>
      <c r="S102" s="19">
        <v>0</v>
      </c>
      <c r="T102" s="3">
        <v>0</v>
      </c>
      <c r="U102" s="3">
        <v>0</v>
      </c>
      <c r="V102" s="21">
        <v>0</v>
      </c>
      <c r="W102" s="21">
        <v>0</v>
      </c>
      <c r="X102" s="3">
        <v>0</v>
      </c>
      <c r="Y102" s="21">
        <v>100737.93</v>
      </c>
      <c r="Z102" s="154">
        <f>Levy!U102</f>
        <v>0</v>
      </c>
      <c r="AA102" s="3">
        <f>Levy!V102</f>
        <v>0</v>
      </c>
      <c r="AB102" s="3">
        <f t="shared" si="5"/>
        <v>0</v>
      </c>
      <c r="AC102" s="3">
        <f t="shared" si="6"/>
        <v>279263</v>
      </c>
      <c r="AD102" s="3">
        <f t="shared" si="7"/>
        <v>38499</v>
      </c>
      <c r="AE102" s="3">
        <f>ROUND(MAX(0,(D102-V102)*Shift11!$B$3),2)</f>
        <v>213610.12</v>
      </c>
      <c r="AF102" s="3">
        <f t="shared" si="8"/>
        <v>213610.12</v>
      </c>
    </row>
    <row r="103" spans="1:32" x14ac:dyDescent="0.2">
      <c r="A103" s="18">
        <v>297</v>
      </c>
      <c r="B103" s="18">
        <v>1</v>
      </c>
      <c r="C103" s="3" t="s">
        <v>100</v>
      </c>
      <c r="D103" s="3">
        <f>Levy!F103</f>
        <v>387766</v>
      </c>
      <c r="E103" s="3">
        <f>Levy!G103</f>
        <v>15753</v>
      </c>
      <c r="F103" s="3">
        <f>Levy!H103</f>
        <v>0</v>
      </c>
      <c r="G103" s="3">
        <f>Levy!I103</f>
        <v>151361</v>
      </c>
      <c r="H103" s="3">
        <f>Levy!J103</f>
        <v>22750</v>
      </c>
      <c r="I103" s="154">
        <v>0</v>
      </c>
      <c r="J103" s="19">
        <v>27000</v>
      </c>
      <c r="K103" s="19">
        <v>10000</v>
      </c>
      <c r="L103" s="19">
        <v>0</v>
      </c>
      <c r="M103" s="3">
        <v>0</v>
      </c>
      <c r="N103" s="3">
        <v>0</v>
      </c>
      <c r="O103" s="3">
        <v>0</v>
      </c>
      <c r="P103" s="19">
        <v>31.51</v>
      </c>
      <c r="Q103" s="19">
        <v>-17552.18</v>
      </c>
      <c r="R103" s="19">
        <v>0</v>
      </c>
      <c r="S103" s="19">
        <v>0</v>
      </c>
      <c r="T103" s="3">
        <v>0</v>
      </c>
      <c r="U103" s="3">
        <v>0</v>
      </c>
      <c r="V103" s="21">
        <v>0</v>
      </c>
      <c r="W103" s="21">
        <v>0</v>
      </c>
      <c r="X103" s="3">
        <v>2325.33</v>
      </c>
      <c r="Y103" s="21">
        <v>58342.8</v>
      </c>
      <c r="Z103" s="154">
        <f>Levy!U103</f>
        <v>0</v>
      </c>
      <c r="AA103" s="3">
        <f>Levy!V103</f>
        <v>0</v>
      </c>
      <c r="AB103" s="3">
        <f t="shared" si="5"/>
        <v>19479.330000000002</v>
      </c>
      <c r="AC103" s="3">
        <f t="shared" si="6"/>
        <v>145309.34</v>
      </c>
      <c r="AD103" s="3">
        <f t="shared" si="7"/>
        <v>22750</v>
      </c>
      <c r="AE103" s="3">
        <f>ROUND(MAX(0,(D103-V103)*Shift11!$B$3),2)</f>
        <v>188454.28</v>
      </c>
      <c r="AF103" s="3">
        <f t="shared" si="8"/>
        <v>188454.28</v>
      </c>
    </row>
    <row r="104" spans="1:32" x14ac:dyDescent="0.2">
      <c r="A104" s="18">
        <v>299</v>
      </c>
      <c r="B104" s="18">
        <v>1</v>
      </c>
      <c r="C104" s="3" t="s">
        <v>101</v>
      </c>
      <c r="D104" s="3">
        <f>Levy!F104</f>
        <v>480554</v>
      </c>
      <c r="E104" s="3">
        <f>Levy!G104</f>
        <v>66785</v>
      </c>
      <c r="F104" s="3">
        <f>Levy!H104</f>
        <v>0</v>
      </c>
      <c r="G104" s="3">
        <f>Levy!I104</f>
        <v>303787</v>
      </c>
      <c r="H104" s="3">
        <f>Levy!J104</f>
        <v>75278</v>
      </c>
      <c r="I104" s="154">
        <v>0</v>
      </c>
      <c r="J104" s="19">
        <v>20000</v>
      </c>
      <c r="K104" s="19">
        <v>23212.13</v>
      </c>
      <c r="L104" s="19">
        <v>0</v>
      </c>
      <c r="M104" s="3">
        <v>0</v>
      </c>
      <c r="N104" s="3">
        <v>0</v>
      </c>
      <c r="O104" s="3">
        <v>0</v>
      </c>
      <c r="P104" s="19">
        <v>-20843.599999999999</v>
      </c>
      <c r="Q104" s="19">
        <v>0</v>
      </c>
      <c r="R104" s="19">
        <v>0</v>
      </c>
      <c r="S104" s="19">
        <v>0</v>
      </c>
      <c r="T104" s="3">
        <v>0</v>
      </c>
      <c r="U104" s="3">
        <v>0</v>
      </c>
      <c r="V104" s="21">
        <v>0</v>
      </c>
      <c r="W104" s="21">
        <v>0</v>
      </c>
      <c r="X104" s="3">
        <v>392.08</v>
      </c>
      <c r="Y104" s="21">
        <v>48805.67</v>
      </c>
      <c r="Z104" s="154">
        <f>Levy!U104</f>
        <v>0</v>
      </c>
      <c r="AA104" s="3">
        <f>Levy!V104</f>
        <v>0</v>
      </c>
      <c r="AB104" s="3">
        <f t="shared" si="5"/>
        <v>22368.530000000006</v>
      </c>
      <c r="AC104" s="3">
        <f t="shared" si="6"/>
        <v>347811.39</v>
      </c>
      <c r="AD104" s="3">
        <f t="shared" si="7"/>
        <v>75278</v>
      </c>
      <c r="AE104" s="3">
        <f>ROUND(MAX(0,(D104-V104)*Shift11!$B$3),2)</f>
        <v>233549.24</v>
      </c>
      <c r="AF104" s="3">
        <f t="shared" si="8"/>
        <v>233549.24</v>
      </c>
    </row>
    <row r="105" spans="1:32" x14ac:dyDescent="0.2">
      <c r="A105" s="18">
        <v>300</v>
      </c>
      <c r="B105" s="18">
        <v>1</v>
      </c>
      <c r="C105" s="3" t="s">
        <v>102</v>
      </c>
      <c r="D105" s="3">
        <f>Levy!F105</f>
        <v>719211</v>
      </c>
      <c r="E105" s="3">
        <f>Levy!G105</f>
        <v>142071</v>
      </c>
      <c r="F105" s="3">
        <f>Levy!H105</f>
        <v>0</v>
      </c>
      <c r="G105" s="3">
        <f>Levy!I105</f>
        <v>450939</v>
      </c>
      <c r="H105" s="3">
        <f>Levy!J105</f>
        <v>154858</v>
      </c>
      <c r="I105" s="154">
        <v>0</v>
      </c>
      <c r="J105" s="19">
        <v>20201</v>
      </c>
      <c r="K105" s="19">
        <v>14973</v>
      </c>
      <c r="L105" s="19">
        <v>0</v>
      </c>
      <c r="M105" s="3">
        <v>0</v>
      </c>
      <c r="N105" s="3">
        <v>0</v>
      </c>
      <c r="O105" s="3">
        <v>0</v>
      </c>
      <c r="P105" s="19">
        <v>-695.24</v>
      </c>
      <c r="Q105" s="19">
        <v>0</v>
      </c>
      <c r="R105" s="19">
        <v>-4845.07</v>
      </c>
      <c r="S105" s="19">
        <v>0</v>
      </c>
      <c r="T105" s="3">
        <v>0</v>
      </c>
      <c r="U105" s="3">
        <v>0</v>
      </c>
      <c r="V105" s="21">
        <v>0</v>
      </c>
      <c r="W105" s="21">
        <v>0</v>
      </c>
      <c r="X105" s="3">
        <v>0</v>
      </c>
      <c r="Y105" s="21">
        <v>46368.28</v>
      </c>
      <c r="Z105" s="154">
        <f>Levy!U105</f>
        <v>0</v>
      </c>
      <c r="AA105" s="3">
        <f>Levy!V105</f>
        <v>0</v>
      </c>
      <c r="AB105" s="3">
        <f t="shared" si="5"/>
        <v>29633.690000000002</v>
      </c>
      <c r="AC105" s="3">
        <f t="shared" si="6"/>
        <v>563376.31000000006</v>
      </c>
      <c r="AD105" s="3">
        <f t="shared" si="7"/>
        <v>154858</v>
      </c>
      <c r="AE105" s="3">
        <f>ROUND(MAX(0,(D105-V105)*Shift11!$B$3),2)</f>
        <v>349536.55</v>
      </c>
      <c r="AF105" s="3">
        <f t="shared" si="8"/>
        <v>349536.55</v>
      </c>
    </row>
    <row r="106" spans="1:32" x14ac:dyDescent="0.2">
      <c r="A106" s="18">
        <v>306</v>
      </c>
      <c r="B106" s="18">
        <v>1</v>
      </c>
      <c r="C106" s="3" t="s">
        <v>103</v>
      </c>
      <c r="D106" s="3">
        <f>Levy!F106</f>
        <v>0</v>
      </c>
      <c r="E106" s="3">
        <f>Levy!G106</f>
        <v>55915.44</v>
      </c>
      <c r="F106" s="3">
        <f>Levy!H106</f>
        <v>0</v>
      </c>
      <c r="G106" s="3">
        <f>Levy!I106</f>
        <v>121358</v>
      </c>
      <c r="H106" s="3">
        <f>Levy!J106</f>
        <v>21274</v>
      </c>
      <c r="I106" s="154">
        <v>0</v>
      </c>
      <c r="J106" s="19">
        <v>3800</v>
      </c>
      <c r="K106" s="19">
        <v>10000</v>
      </c>
      <c r="L106" s="19">
        <v>0</v>
      </c>
      <c r="M106" s="3">
        <v>0</v>
      </c>
      <c r="N106" s="3">
        <v>0</v>
      </c>
      <c r="O106" s="3">
        <v>0</v>
      </c>
      <c r="P106" s="19">
        <v>-404.76</v>
      </c>
      <c r="Q106" s="19">
        <v>0</v>
      </c>
      <c r="R106" s="19">
        <v>0</v>
      </c>
      <c r="S106" s="19">
        <v>0</v>
      </c>
      <c r="T106" s="3">
        <v>0</v>
      </c>
      <c r="U106" s="3">
        <v>0</v>
      </c>
      <c r="V106" s="21">
        <v>0</v>
      </c>
      <c r="W106" s="21">
        <v>0</v>
      </c>
      <c r="X106" s="3">
        <v>566.32000000000005</v>
      </c>
      <c r="Y106" s="21">
        <v>19117.21</v>
      </c>
      <c r="Z106" s="154">
        <f>Levy!U106</f>
        <v>0</v>
      </c>
      <c r="AA106" s="3">
        <f>Levy!V106</f>
        <v>0</v>
      </c>
      <c r="AB106" s="3">
        <f t="shared" si="5"/>
        <v>13395.24</v>
      </c>
      <c r="AC106" s="3">
        <f t="shared" si="6"/>
        <v>163311.88</v>
      </c>
      <c r="AD106" s="3">
        <f t="shared" si="7"/>
        <v>21274</v>
      </c>
      <c r="AE106" s="3">
        <f>ROUND(MAX(0,(D106-V106)*Shift11!$B$3),2)</f>
        <v>0</v>
      </c>
      <c r="AF106" s="3">
        <f t="shared" si="8"/>
        <v>19117.21</v>
      </c>
    </row>
    <row r="107" spans="1:32" x14ac:dyDescent="0.2">
      <c r="A107" s="18">
        <v>308</v>
      </c>
      <c r="B107" s="18">
        <v>1</v>
      </c>
      <c r="C107" s="3" t="s">
        <v>104</v>
      </c>
      <c r="D107" s="3">
        <f>Levy!F107</f>
        <v>36481.54</v>
      </c>
      <c r="E107" s="3">
        <f>Levy!G107</f>
        <v>102695.03999999999</v>
      </c>
      <c r="F107" s="3">
        <f>Levy!H107</f>
        <v>0</v>
      </c>
      <c r="G107" s="3">
        <f>Levy!I107</f>
        <v>205909</v>
      </c>
      <c r="H107" s="3">
        <f>Levy!J107</f>
        <v>47484</v>
      </c>
      <c r="I107" s="154">
        <v>0</v>
      </c>
      <c r="J107" s="19">
        <v>1000</v>
      </c>
      <c r="K107" s="19">
        <v>17446.849999999999</v>
      </c>
      <c r="L107" s="19">
        <v>0</v>
      </c>
      <c r="M107" s="3">
        <v>0</v>
      </c>
      <c r="N107" s="3">
        <v>0</v>
      </c>
      <c r="O107" s="3">
        <v>0</v>
      </c>
      <c r="P107" s="19">
        <v>-3315.13</v>
      </c>
      <c r="Q107" s="19">
        <v>0</v>
      </c>
      <c r="R107" s="19">
        <v>0</v>
      </c>
      <c r="S107" s="19">
        <v>0</v>
      </c>
      <c r="T107" s="3">
        <v>0</v>
      </c>
      <c r="U107" s="3">
        <v>0</v>
      </c>
      <c r="V107" s="21">
        <v>0</v>
      </c>
      <c r="W107" s="21">
        <v>0</v>
      </c>
      <c r="X107" s="3">
        <v>6860.73</v>
      </c>
      <c r="Y107" s="21">
        <v>39387.699999999997</v>
      </c>
      <c r="Z107" s="154">
        <f>Levy!U107</f>
        <v>0</v>
      </c>
      <c r="AA107" s="3">
        <f>Levy!V107</f>
        <v>0</v>
      </c>
      <c r="AB107" s="3">
        <f t="shared" si="5"/>
        <v>15131.719999999998</v>
      </c>
      <c r="AC107" s="3">
        <f t="shared" si="6"/>
        <v>286611.59000000003</v>
      </c>
      <c r="AD107" s="3">
        <f t="shared" si="7"/>
        <v>47484</v>
      </c>
      <c r="AE107" s="3">
        <f>ROUND(MAX(0,(D107-V107)*Shift11!$B$3),2)</f>
        <v>17730.03</v>
      </c>
      <c r="AF107" s="3">
        <f t="shared" si="8"/>
        <v>39387.699999999997</v>
      </c>
    </row>
    <row r="108" spans="1:32" x14ac:dyDescent="0.2">
      <c r="A108" s="18">
        <v>309</v>
      </c>
      <c r="B108" s="18">
        <v>1</v>
      </c>
      <c r="C108" s="3" t="s">
        <v>105</v>
      </c>
      <c r="D108" s="3">
        <f>Levy!F108</f>
        <v>1132026</v>
      </c>
      <c r="E108" s="3">
        <f>Levy!G108</f>
        <v>183908.62</v>
      </c>
      <c r="F108" s="3">
        <f>Levy!H108</f>
        <v>0</v>
      </c>
      <c r="G108" s="3">
        <f>Levy!I108</f>
        <v>334627</v>
      </c>
      <c r="H108" s="3">
        <f>Levy!J108</f>
        <v>196560</v>
      </c>
      <c r="I108" s="154">
        <v>0</v>
      </c>
      <c r="J108" s="19">
        <v>29000</v>
      </c>
      <c r="K108" s="19">
        <v>39318.129999999997</v>
      </c>
      <c r="L108" s="19">
        <v>0</v>
      </c>
      <c r="M108" s="3">
        <v>0</v>
      </c>
      <c r="N108" s="3">
        <v>0</v>
      </c>
      <c r="O108" s="3">
        <v>0</v>
      </c>
      <c r="P108" s="19">
        <v>-11145.15</v>
      </c>
      <c r="Q108" s="19">
        <v>0</v>
      </c>
      <c r="R108" s="19">
        <v>0</v>
      </c>
      <c r="S108" s="19">
        <v>0</v>
      </c>
      <c r="T108" s="3">
        <v>0</v>
      </c>
      <c r="U108" s="3">
        <v>0</v>
      </c>
      <c r="V108" s="21">
        <v>0</v>
      </c>
      <c r="W108" s="21">
        <v>0</v>
      </c>
      <c r="X108" s="3">
        <v>0</v>
      </c>
      <c r="Y108" s="21">
        <v>90003.03</v>
      </c>
      <c r="Z108" s="154">
        <f>Levy!U108</f>
        <v>0</v>
      </c>
      <c r="AA108" s="3">
        <f>Levy!V108</f>
        <v>0</v>
      </c>
      <c r="AB108" s="3">
        <f t="shared" si="5"/>
        <v>57172.98</v>
      </c>
      <c r="AC108" s="3">
        <f t="shared" si="6"/>
        <v>461362.64</v>
      </c>
      <c r="AD108" s="3">
        <f t="shared" si="7"/>
        <v>196560</v>
      </c>
      <c r="AE108" s="3">
        <f>ROUND(MAX(0,(D108-V108)*Shift11!$B$3),2)</f>
        <v>550164.64</v>
      </c>
      <c r="AF108" s="3">
        <f t="shared" si="8"/>
        <v>550164.64</v>
      </c>
    </row>
    <row r="109" spans="1:32" x14ac:dyDescent="0.2">
      <c r="A109" s="18">
        <v>314</v>
      </c>
      <c r="B109" s="18">
        <v>1</v>
      </c>
      <c r="C109" s="3" t="s">
        <v>106</v>
      </c>
      <c r="D109" s="3">
        <f>Levy!F109</f>
        <v>389574.64</v>
      </c>
      <c r="E109" s="3">
        <f>Levy!G109</f>
        <v>80416.179999999993</v>
      </c>
      <c r="F109" s="3">
        <f>Levy!H109</f>
        <v>0</v>
      </c>
      <c r="G109" s="3">
        <f>Levy!I109</f>
        <v>217792.82</v>
      </c>
      <c r="H109" s="3">
        <f>Levy!J109</f>
        <v>56627.96</v>
      </c>
      <c r="I109" s="154">
        <v>0</v>
      </c>
      <c r="J109" s="19">
        <v>4200</v>
      </c>
      <c r="K109" s="19">
        <v>10000</v>
      </c>
      <c r="L109" s="19">
        <v>0</v>
      </c>
      <c r="M109" s="3">
        <v>0</v>
      </c>
      <c r="N109" s="3">
        <v>0</v>
      </c>
      <c r="O109" s="3">
        <v>0</v>
      </c>
      <c r="P109" s="19">
        <v>4593.03</v>
      </c>
      <c r="Q109" s="19">
        <v>0</v>
      </c>
      <c r="R109" s="19">
        <v>0</v>
      </c>
      <c r="S109" s="19">
        <v>0</v>
      </c>
      <c r="T109" s="3">
        <v>0</v>
      </c>
      <c r="U109" s="3">
        <v>0</v>
      </c>
      <c r="V109" s="21">
        <v>0</v>
      </c>
      <c r="W109" s="21">
        <v>0</v>
      </c>
      <c r="X109" s="3">
        <v>0</v>
      </c>
      <c r="Y109" s="21">
        <v>43340.39</v>
      </c>
      <c r="Z109" s="154">
        <f>Levy!U109</f>
        <v>0</v>
      </c>
      <c r="AA109" s="3">
        <f>Levy!V109</f>
        <v>0</v>
      </c>
      <c r="AB109" s="3">
        <f t="shared" si="5"/>
        <v>18793.03</v>
      </c>
      <c r="AC109" s="3">
        <f t="shared" si="6"/>
        <v>279415.96999999997</v>
      </c>
      <c r="AD109" s="3">
        <f t="shared" si="7"/>
        <v>56627.96</v>
      </c>
      <c r="AE109" s="3">
        <f>ROUND(MAX(0,(D109-V109)*Shift11!$B$3),2)</f>
        <v>189333.28</v>
      </c>
      <c r="AF109" s="3">
        <f t="shared" si="8"/>
        <v>189333.28</v>
      </c>
    </row>
    <row r="110" spans="1:32" x14ac:dyDescent="0.2">
      <c r="A110" s="18">
        <v>316</v>
      </c>
      <c r="B110" s="18">
        <v>1</v>
      </c>
      <c r="C110" s="3" t="s">
        <v>107</v>
      </c>
      <c r="D110" s="3">
        <f>Levy!F110</f>
        <v>0.01</v>
      </c>
      <c r="E110" s="3">
        <f>Levy!G110</f>
        <v>133317.69</v>
      </c>
      <c r="F110" s="3">
        <f>Levy!H110</f>
        <v>0</v>
      </c>
      <c r="G110" s="3">
        <f>Levy!I110</f>
        <v>196162.72</v>
      </c>
      <c r="H110" s="3">
        <f>Levy!J110</f>
        <v>0</v>
      </c>
      <c r="I110" s="154">
        <v>0</v>
      </c>
      <c r="J110" s="19">
        <v>15000</v>
      </c>
      <c r="K110" s="19">
        <v>28475.8</v>
      </c>
      <c r="L110" s="19">
        <v>206086.23</v>
      </c>
      <c r="M110" s="3">
        <v>0</v>
      </c>
      <c r="N110" s="3">
        <v>0</v>
      </c>
      <c r="O110" s="3">
        <v>0</v>
      </c>
      <c r="P110" s="19">
        <v>4911.28</v>
      </c>
      <c r="Q110" s="19">
        <v>0</v>
      </c>
      <c r="R110" s="19">
        <v>0</v>
      </c>
      <c r="S110" s="19">
        <v>-206086.23</v>
      </c>
      <c r="T110" s="3">
        <v>0</v>
      </c>
      <c r="U110" s="3">
        <v>0</v>
      </c>
      <c r="V110" s="21">
        <v>0</v>
      </c>
      <c r="W110" s="21">
        <v>0</v>
      </c>
      <c r="X110" s="3">
        <v>27341.23</v>
      </c>
      <c r="Y110" s="21">
        <v>367402.25</v>
      </c>
      <c r="Z110" s="154">
        <f>Levy!U110</f>
        <v>0</v>
      </c>
      <c r="AA110" s="3">
        <f>Levy!V110</f>
        <v>0</v>
      </c>
      <c r="AB110" s="3">
        <f t="shared" si="5"/>
        <v>48387.080000000016</v>
      </c>
      <c r="AC110" s="3">
        <f t="shared" si="6"/>
        <v>253752.1</v>
      </c>
      <c r="AD110" s="3">
        <f t="shared" si="7"/>
        <v>0</v>
      </c>
      <c r="AE110" s="3">
        <f>ROUND(MAX(0,(D110-V110)*Shift11!$B$3),2)</f>
        <v>0</v>
      </c>
      <c r="AF110" s="3">
        <f t="shared" si="8"/>
        <v>367402.25</v>
      </c>
    </row>
    <row r="111" spans="1:32" x14ac:dyDescent="0.2">
      <c r="A111" s="18">
        <v>317</v>
      </c>
      <c r="B111" s="18">
        <v>1</v>
      </c>
      <c r="C111" s="3" t="s">
        <v>108</v>
      </c>
      <c r="D111" s="3">
        <f>Levy!F111</f>
        <v>0</v>
      </c>
      <c r="E111" s="3">
        <f>Levy!G111</f>
        <v>135027.82</v>
      </c>
      <c r="F111" s="3">
        <f>Levy!H111</f>
        <v>0</v>
      </c>
      <c r="G111" s="3">
        <f>Levy!I111</f>
        <v>0</v>
      </c>
      <c r="H111" s="3">
        <f>Levy!J111</f>
        <v>0</v>
      </c>
      <c r="I111" s="154">
        <v>0</v>
      </c>
      <c r="J111" s="19">
        <v>9500</v>
      </c>
      <c r="K111" s="19">
        <v>18541.599999999999</v>
      </c>
      <c r="L111" s="19">
        <v>0</v>
      </c>
      <c r="M111" s="3">
        <v>0</v>
      </c>
      <c r="N111" s="3">
        <v>0</v>
      </c>
      <c r="O111" s="3">
        <v>0</v>
      </c>
      <c r="P111" s="19">
        <v>2287.64</v>
      </c>
      <c r="Q111" s="19">
        <v>0</v>
      </c>
      <c r="R111" s="19">
        <v>-574.4</v>
      </c>
      <c r="S111" s="19">
        <v>0</v>
      </c>
      <c r="T111" s="3">
        <v>0</v>
      </c>
      <c r="U111" s="3">
        <v>0</v>
      </c>
      <c r="V111" s="21">
        <v>0</v>
      </c>
      <c r="W111" s="21">
        <v>0</v>
      </c>
      <c r="X111" s="3">
        <v>0</v>
      </c>
      <c r="Y111" s="21">
        <v>51234.74</v>
      </c>
      <c r="Z111" s="154">
        <f>Levy!U111</f>
        <v>0</v>
      </c>
      <c r="AA111" s="3">
        <f>Levy!V111</f>
        <v>0</v>
      </c>
      <c r="AB111" s="3">
        <f t="shared" si="5"/>
        <v>29754.839999999997</v>
      </c>
      <c r="AC111" s="3">
        <f t="shared" si="6"/>
        <v>105272.98</v>
      </c>
      <c r="AD111" s="3">
        <f t="shared" si="7"/>
        <v>0</v>
      </c>
      <c r="AE111" s="3">
        <f>ROUND(MAX(0,(D111-V111)*Shift11!$B$3),2)</f>
        <v>0</v>
      </c>
      <c r="AF111" s="3">
        <f t="shared" si="8"/>
        <v>51234.74</v>
      </c>
    </row>
    <row r="112" spans="1:32" x14ac:dyDescent="0.2">
      <c r="A112" s="18">
        <v>318</v>
      </c>
      <c r="B112" s="18">
        <v>1</v>
      </c>
      <c r="C112" s="3" t="s">
        <v>109</v>
      </c>
      <c r="D112" s="3">
        <f>Levy!F112</f>
        <v>0</v>
      </c>
      <c r="E112" s="3">
        <f>Levy!G112</f>
        <v>491326.42</v>
      </c>
      <c r="F112" s="3">
        <f>Levy!H112</f>
        <v>0</v>
      </c>
      <c r="G112" s="3">
        <f>Levy!I112</f>
        <v>1943150.72</v>
      </c>
      <c r="H112" s="3">
        <f>Levy!J112</f>
        <v>0</v>
      </c>
      <c r="I112" s="154">
        <v>0</v>
      </c>
      <c r="J112" s="19">
        <v>10000</v>
      </c>
      <c r="K112" s="19">
        <v>87141.79</v>
      </c>
      <c r="L112" s="19">
        <v>272633.62</v>
      </c>
      <c r="M112" s="3">
        <v>0</v>
      </c>
      <c r="N112" s="3">
        <v>0</v>
      </c>
      <c r="O112" s="3">
        <v>0</v>
      </c>
      <c r="P112" s="19">
        <v>3828.06</v>
      </c>
      <c r="Q112" s="19">
        <v>0</v>
      </c>
      <c r="R112" s="19">
        <v>0</v>
      </c>
      <c r="S112" s="19">
        <v>-272633.64</v>
      </c>
      <c r="T112" s="3">
        <v>0</v>
      </c>
      <c r="U112" s="3">
        <v>0</v>
      </c>
      <c r="V112" s="21">
        <v>0</v>
      </c>
      <c r="W112" s="21">
        <v>0</v>
      </c>
      <c r="X112" s="3">
        <v>24400.32</v>
      </c>
      <c r="Y112" s="21">
        <v>181247.22</v>
      </c>
      <c r="Z112" s="154">
        <f>Levy!U112</f>
        <v>0</v>
      </c>
      <c r="AA112" s="3">
        <f>Levy!V112</f>
        <v>0</v>
      </c>
      <c r="AB112" s="3">
        <f t="shared" si="5"/>
        <v>100969.82999999996</v>
      </c>
      <c r="AC112" s="3">
        <f t="shared" si="6"/>
        <v>2309106.9900000002</v>
      </c>
      <c r="AD112" s="3">
        <f t="shared" si="7"/>
        <v>0</v>
      </c>
      <c r="AE112" s="3">
        <f>ROUND(MAX(0,(D112-V112)*Shift11!$B$3),2)</f>
        <v>0</v>
      </c>
      <c r="AF112" s="3">
        <f t="shared" si="8"/>
        <v>181247.22</v>
      </c>
    </row>
    <row r="113" spans="1:32" x14ac:dyDescent="0.2">
      <c r="A113" s="18">
        <v>319</v>
      </c>
      <c r="B113" s="18">
        <v>1</v>
      </c>
      <c r="C113" s="3" t="s">
        <v>110</v>
      </c>
      <c r="D113" s="3">
        <f>Levy!F113</f>
        <v>302235.36</v>
      </c>
      <c r="E113" s="3">
        <f>Levy!G113</f>
        <v>67957.87</v>
      </c>
      <c r="F113" s="3">
        <f>Levy!H113</f>
        <v>0</v>
      </c>
      <c r="G113" s="3">
        <f>Levy!I113</f>
        <v>363879.39</v>
      </c>
      <c r="H113" s="3">
        <f>Levy!J113</f>
        <v>0</v>
      </c>
      <c r="I113" s="154">
        <v>0</v>
      </c>
      <c r="J113" s="19">
        <v>15000</v>
      </c>
      <c r="K113" s="19">
        <v>14615.2</v>
      </c>
      <c r="L113" s="19">
        <v>0</v>
      </c>
      <c r="M113" s="3">
        <v>0</v>
      </c>
      <c r="N113" s="3">
        <v>0</v>
      </c>
      <c r="O113" s="3">
        <v>0</v>
      </c>
      <c r="P113" s="19">
        <v>-9089.1200000000008</v>
      </c>
      <c r="Q113" s="19">
        <v>0</v>
      </c>
      <c r="R113" s="19">
        <v>-519.69000000000005</v>
      </c>
      <c r="S113" s="19">
        <v>0</v>
      </c>
      <c r="T113" s="3">
        <v>0</v>
      </c>
      <c r="U113" s="3">
        <v>0</v>
      </c>
      <c r="V113" s="21">
        <v>0</v>
      </c>
      <c r="W113" s="21">
        <v>0</v>
      </c>
      <c r="X113" s="3">
        <v>10096.66</v>
      </c>
      <c r="Y113" s="21">
        <v>26397.040000000001</v>
      </c>
      <c r="Z113" s="154">
        <f>Levy!U113</f>
        <v>0</v>
      </c>
      <c r="AA113" s="3">
        <f>Levy!V113</f>
        <v>0</v>
      </c>
      <c r="AB113" s="3">
        <f t="shared" si="5"/>
        <v>20006.390000000003</v>
      </c>
      <c r="AC113" s="3">
        <f t="shared" si="6"/>
        <v>401734.21</v>
      </c>
      <c r="AD113" s="3">
        <f t="shared" si="7"/>
        <v>0</v>
      </c>
      <c r="AE113" s="3">
        <f>ROUND(MAX(0,(D113-V113)*Shift11!$B$3),2)</f>
        <v>146886.38</v>
      </c>
      <c r="AF113" s="3">
        <f t="shared" si="8"/>
        <v>146886.38</v>
      </c>
    </row>
    <row r="114" spans="1:32" x14ac:dyDescent="0.2">
      <c r="A114" s="18">
        <v>323</v>
      </c>
      <c r="B114" s="18">
        <v>2</v>
      </c>
      <c r="C114" s="3" t="s">
        <v>111</v>
      </c>
      <c r="D114" s="3">
        <f>Levy!F114</f>
        <v>61707.85</v>
      </c>
      <c r="E114" s="3">
        <f>Levy!G114</f>
        <v>4250.4399999999996</v>
      </c>
      <c r="F114" s="3">
        <f>Levy!H114</f>
        <v>0</v>
      </c>
      <c r="G114" s="3">
        <f>Levy!I114</f>
        <v>5303.36</v>
      </c>
      <c r="H114" s="3">
        <f>Levy!J114</f>
        <v>0</v>
      </c>
      <c r="I114" s="154">
        <v>0</v>
      </c>
      <c r="J114" s="19">
        <v>0</v>
      </c>
      <c r="K114" s="19">
        <v>0</v>
      </c>
      <c r="L114" s="19">
        <v>0</v>
      </c>
      <c r="M114" s="3">
        <v>0</v>
      </c>
      <c r="N114" s="3">
        <v>0</v>
      </c>
      <c r="O114" s="3">
        <v>0</v>
      </c>
      <c r="P114" s="19">
        <v>0</v>
      </c>
      <c r="Q114" s="19">
        <v>0</v>
      </c>
      <c r="R114" s="19">
        <v>0</v>
      </c>
      <c r="S114" s="19">
        <v>0</v>
      </c>
      <c r="T114" s="3">
        <v>0</v>
      </c>
      <c r="U114" s="3">
        <v>0</v>
      </c>
      <c r="V114" s="21">
        <v>0</v>
      </c>
      <c r="W114" s="21">
        <v>0</v>
      </c>
      <c r="X114" s="3">
        <v>0</v>
      </c>
      <c r="Y114" s="21">
        <v>7317.68</v>
      </c>
      <c r="Z114" s="154">
        <f>Levy!U114</f>
        <v>0</v>
      </c>
      <c r="AA114" s="3">
        <f>Levy!V114</f>
        <v>0</v>
      </c>
      <c r="AB114" s="3">
        <f t="shared" si="5"/>
        <v>0</v>
      </c>
      <c r="AC114" s="3">
        <f t="shared" si="6"/>
        <v>9553.7999999999993</v>
      </c>
      <c r="AD114" s="3">
        <f t="shared" si="7"/>
        <v>0</v>
      </c>
      <c r="AE114" s="3">
        <f>ROUND(MAX(0,(D114-V114)*Shift11!$B$3),2)</f>
        <v>29990.02</v>
      </c>
      <c r="AF114" s="3">
        <f t="shared" si="8"/>
        <v>29990.02</v>
      </c>
    </row>
    <row r="115" spans="1:32" x14ac:dyDescent="0.2">
      <c r="A115" s="18">
        <v>330</v>
      </c>
      <c r="B115" s="18">
        <v>1</v>
      </c>
      <c r="C115" s="3" t="s">
        <v>112</v>
      </c>
      <c r="D115" s="3">
        <f>Levy!F115</f>
        <v>453615</v>
      </c>
      <c r="E115" s="3">
        <f>Levy!G115</f>
        <v>8289</v>
      </c>
      <c r="F115" s="3">
        <f>Levy!H115</f>
        <v>0</v>
      </c>
      <c r="G115" s="3">
        <f>Levy!I115</f>
        <v>164805</v>
      </c>
      <c r="H115" s="3">
        <f>Levy!J115</f>
        <v>23691</v>
      </c>
      <c r="I115" s="154">
        <v>0</v>
      </c>
      <c r="J115" s="19">
        <v>750</v>
      </c>
      <c r="K115" s="19">
        <v>17446.849999999999</v>
      </c>
      <c r="L115" s="19">
        <v>0</v>
      </c>
      <c r="M115" s="3">
        <v>0</v>
      </c>
      <c r="N115" s="3">
        <v>0</v>
      </c>
      <c r="O115" s="3">
        <v>0</v>
      </c>
      <c r="P115" s="19">
        <v>-3186.55</v>
      </c>
      <c r="Q115" s="19">
        <v>-750</v>
      </c>
      <c r="R115" s="19">
        <v>0</v>
      </c>
      <c r="S115" s="19">
        <v>0</v>
      </c>
      <c r="T115" s="3">
        <v>0</v>
      </c>
      <c r="U115" s="3">
        <v>0</v>
      </c>
      <c r="V115" s="21">
        <v>0</v>
      </c>
      <c r="W115" s="21">
        <v>0</v>
      </c>
      <c r="X115" s="3">
        <v>18104.77</v>
      </c>
      <c r="Y115" s="21">
        <v>74812.61</v>
      </c>
      <c r="Z115" s="154">
        <f>Levy!U115</f>
        <v>0</v>
      </c>
      <c r="AA115" s="3">
        <f>Levy!V115</f>
        <v>0</v>
      </c>
      <c r="AB115" s="3">
        <f t="shared" si="5"/>
        <v>14260.3</v>
      </c>
      <c r="AC115" s="3">
        <f t="shared" si="6"/>
        <v>140728.93</v>
      </c>
      <c r="AD115" s="3">
        <f t="shared" si="7"/>
        <v>23691</v>
      </c>
      <c r="AE115" s="3">
        <f>ROUND(MAX(0,(D115-V115)*Shift11!$B$3),2)</f>
        <v>220456.89</v>
      </c>
      <c r="AF115" s="3">
        <f t="shared" si="8"/>
        <v>220456.89</v>
      </c>
    </row>
    <row r="116" spans="1:32" x14ac:dyDescent="0.2">
      <c r="A116" s="18">
        <v>332</v>
      </c>
      <c r="B116" s="18">
        <v>1</v>
      </c>
      <c r="C116" s="3" t="s">
        <v>113</v>
      </c>
      <c r="D116" s="3">
        <f>Levy!F116</f>
        <v>177585.43</v>
      </c>
      <c r="E116" s="3">
        <f>Levy!G116</f>
        <v>186759.43</v>
      </c>
      <c r="F116" s="3">
        <f>Levy!H116</f>
        <v>0</v>
      </c>
      <c r="G116" s="3">
        <f>Levy!I116</f>
        <v>667046.49</v>
      </c>
      <c r="H116" s="3">
        <f>Levy!J116</f>
        <v>123503</v>
      </c>
      <c r="I116" s="154">
        <v>0</v>
      </c>
      <c r="J116" s="19">
        <v>50000</v>
      </c>
      <c r="K116" s="19">
        <v>36682.5</v>
      </c>
      <c r="L116" s="19">
        <v>0</v>
      </c>
      <c r="M116" s="3">
        <v>0</v>
      </c>
      <c r="N116" s="3">
        <v>0</v>
      </c>
      <c r="O116" s="3">
        <v>0</v>
      </c>
      <c r="P116" s="19">
        <v>12056.57</v>
      </c>
      <c r="Q116" s="19">
        <v>0</v>
      </c>
      <c r="R116" s="19">
        <v>0</v>
      </c>
      <c r="S116" s="19">
        <v>0</v>
      </c>
      <c r="T116" s="3">
        <v>0</v>
      </c>
      <c r="U116" s="3">
        <v>0</v>
      </c>
      <c r="V116" s="21">
        <v>0</v>
      </c>
      <c r="W116" s="21">
        <v>0</v>
      </c>
      <c r="X116" s="3">
        <v>0</v>
      </c>
      <c r="Y116" s="21">
        <v>0</v>
      </c>
      <c r="Z116" s="154">
        <f>Levy!U116</f>
        <v>0</v>
      </c>
      <c r="AA116" s="3">
        <f>Levy!V116</f>
        <v>0</v>
      </c>
      <c r="AB116" s="3">
        <f t="shared" si="5"/>
        <v>98739.07</v>
      </c>
      <c r="AC116" s="3">
        <f t="shared" si="6"/>
        <v>755066.85</v>
      </c>
      <c r="AD116" s="3">
        <f t="shared" si="7"/>
        <v>123503</v>
      </c>
      <c r="AE116" s="3">
        <f>ROUND(MAX(0,(D116-V116)*Shift11!$B$3),2)</f>
        <v>86306.52</v>
      </c>
      <c r="AF116" s="3">
        <f t="shared" si="8"/>
        <v>86306.52</v>
      </c>
    </row>
    <row r="117" spans="1:32" x14ac:dyDescent="0.2">
      <c r="A117" s="18">
        <v>333</v>
      </c>
      <c r="B117" s="18">
        <v>1</v>
      </c>
      <c r="C117" s="3" t="s">
        <v>114</v>
      </c>
      <c r="D117" s="3">
        <f>Levy!F117</f>
        <v>0</v>
      </c>
      <c r="E117" s="3">
        <f>Levy!G117</f>
        <v>69441.52</v>
      </c>
      <c r="F117" s="3">
        <f>Levy!H117</f>
        <v>0</v>
      </c>
      <c r="G117" s="3">
        <f>Levy!I117</f>
        <v>169593.62</v>
      </c>
      <c r="H117" s="3">
        <f>Levy!J117</f>
        <v>35440.35</v>
      </c>
      <c r="I117" s="154">
        <v>0</v>
      </c>
      <c r="J117" s="19">
        <v>24500</v>
      </c>
      <c r="K117" s="19">
        <v>11786.81</v>
      </c>
      <c r="L117" s="19">
        <v>0</v>
      </c>
      <c r="M117" s="3">
        <v>0</v>
      </c>
      <c r="N117" s="3">
        <v>0</v>
      </c>
      <c r="O117" s="3">
        <v>0</v>
      </c>
      <c r="P117" s="19">
        <v>-24238.76</v>
      </c>
      <c r="Q117" s="19">
        <v>0</v>
      </c>
      <c r="R117" s="19">
        <v>-1786.81</v>
      </c>
      <c r="S117" s="19">
        <v>0</v>
      </c>
      <c r="T117" s="3">
        <v>0</v>
      </c>
      <c r="U117" s="3">
        <v>0</v>
      </c>
      <c r="V117" s="21">
        <v>0</v>
      </c>
      <c r="W117" s="21">
        <v>0</v>
      </c>
      <c r="X117" s="3">
        <v>0</v>
      </c>
      <c r="Y117" s="21">
        <v>23206.16</v>
      </c>
      <c r="Z117" s="154">
        <f>Levy!U117</f>
        <v>0</v>
      </c>
      <c r="AA117" s="3">
        <f>Levy!V117</f>
        <v>0</v>
      </c>
      <c r="AB117" s="3">
        <f t="shared" si="5"/>
        <v>10261.24</v>
      </c>
      <c r="AC117" s="3">
        <f t="shared" si="6"/>
        <v>228773.9</v>
      </c>
      <c r="AD117" s="3">
        <f t="shared" si="7"/>
        <v>35440.35</v>
      </c>
      <c r="AE117" s="3">
        <f>ROUND(MAX(0,(D117-V117)*Shift11!$B$3),2)</f>
        <v>0</v>
      </c>
      <c r="AF117" s="3">
        <f t="shared" si="8"/>
        <v>23206.16</v>
      </c>
    </row>
    <row r="118" spans="1:32" x14ac:dyDescent="0.2">
      <c r="A118" s="18">
        <v>345</v>
      </c>
      <c r="B118" s="18">
        <v>1</v>
      </c>
      <c r="C118" s="3" t="s">
        <v>115</v>
      </c>
      <c r="D118" s="3">
        <f>Levy!F118</f>
        <v>981271.24</v>
      </c>
      <c r="E118" s="3">
        <f>Levy!G118</f>
        <v>169648.92</v>
      </c>
      <c r="F118" s="3">
        <f>Levy!H118</f>
        <v>0</v>
      </c>
      <c r="G118" s="3">
        <f>Levy!I118</f>
        <v>539438.43999999994</v>
      </c>
      <c r="H118" s="3">
        <f>Levy!J118</f>
        <v>152427.66</v>
      </c>
      <c r="I118" s="154">
        <v>0</v>
      </c>
      <c r="J118" s="19">
        <v>4000</v>
      </c>
      <c r="K118" s="19">
        <v>35280.800000000003</v>
      </c>
      <c r="L118" s="19">
        <v>0</v>
      </c>
      <c r="M118" s="3">
        <v>0</v>
      </c>
      <c r="N118" s="3">
        <v>0</v>
      </c>
      <c r="O118" s="3">
        <v>0</v>
      </c>
      <c r="P118" s="19">
        <v>135.21</v>
      </c>
      <c r="Q118" s="19">
        <v>0</v>
      </c>
      <c r="R118" s="19">
        <v>-1039.68</v>
      </c>
      <c r="S118" s="19">
        <v>0</v>
      </c>
      <c r="T118" s="3">
        <v>0</v>
      </c>
      <c r="U118" s="3">
        <v>0</v>
      </c>
      <c r="V118" s="21">
        <v>0</v>
      </c>
      <c r="W118" s="21">
        <v>0</v>
      </c>
      <c r="X118" s="3">
        <v>0</v>
      </c>
      <c r="Y118" s="21">
        <v>95479.19</v>
      </c>
      <c r="Z118" s="154">
        <f>Levy!U118</f>
        <v>0</v>
      </c>
      <c r="AA118" s="3">
        <f>Levy!V118</f>
        <v>0</v>
      </c>
      <c r="AB118" s="3">
        <f t="shared" si="5"/>
        <v>38376.33</v>
      </c>
      <c r="AC118" s="3">
        <f t="shared" si="6"/>
        <v>670711.03</v>
      </c>
      <c r="AD118" s="3">
        <f t="shared" si="7"/>
        <v>152427.66</v>
      </c>
      <c r="AE118" s="3">
        <f>ROUND(MAX(0,(D118-V118)*Shift11!$B$3),2)</f>
        <v>476897.82</v>
      </c>
      <c r="AF118" s="3">
        <f t="shared" si="8"/>
        <v>476897.82</v>
      </c>
    </row>
    <row r="119" spans="1:32" x14ac:dyDescent="0.2">
      <c r="A119" s="18">
        <v>347</v>
      </c>
      <c r="B119" s="18">
        <v>1</v>
      </c>
      <c r="C119" s="3" t="s">
        <v>116</v>
      </c>
      <c r="D119" s="3">
        <f>Levy!F119</f>
        <v>2183657.1800000002</v>
      </c>
      <c r="E119" s="3">
        <f>Levy!G119</f>
        <v>414095.22</v>
      </c>
      <c r="F119" s="3">
        <f>Levy!H119</f>
        <v>0</v>
      </c>
      <c r="G119" s="3">
        <f>Levy!I119</f>
        <v>1355173.9</v>
      </c>
      <c r="H119" s="3">
        <f>Levy!J119</f>
        <v>384210.34</v>
      </c>
      <c r="I119" s="154">
        <v>0</v>
      </c>
      <c r="J119" s="19">
        <v>104738.98</v>
      </c>
      <c r="K119" s="19">
        <v>80086.399999999994</v>
      </c>
      <c r="L119" s="19">
        <v>0</v>
      </c>
      <c r="M119" s="3">
        <v>0</v>
      </c>
      <c r="N119" s="3">
        <v>0</v>
      </c>
      <c r="O119" s="3">
        <v>0</v>
      </c>
      <c r="P119" s="19">
        <v>-1045.6099999999999</v>
      </c>
      <c r="Q119" s="19">
        <v>0</v>
      </c>
      <c r="R119" s="19">
        <v>-1766.4</v>
      </c>
      <c r="S119" s="19">
        <v>0</v>
      </c>
      <c r="T119" s="3">
        <v>0</v>
      </c>
      <c r="U119" s="3">
        <v>0</v>
      </c>
      <c r="V119" s="21">
        <v>0</v>
      </c>
      <c r="W119" s="21">
        <v>0</v>
      </c>
      <c r="X119" s="3">
        <v>0</v>
      </c>
      <c r="Y119" s="21">
        <v>184153.16</v>
      </c>
      <c r="Z119" s="154">
        <f>Levy!U119</f>
        <v>0</v>
      </c>
      <c r="AA119" s="3">
        <f>Levy!V119</f>
        <v>0</v>
      </c>
      <c r="AB119" s="3">
        <f t="shared" si="5"/>
        <v>182013.37000000002</v>
      </c>
      <c r="AC119" s="3">
        <f t="shared" si="6"/>
        <v>1587255.75</v>
      </c>
      <c r="AD119" s="3">
        <f t="shared" si="7"/>
        <v>384210.34</v>
      </c>
      <c r="AE119" s="3">
        <f>ROUND(MAX(0,(D119-V119)*Shift11!$B$3),2)</f>
        <v>1061257.3899999999</v>
      </c>
      <c r="AF119" s="3">
        <f t="shared" si="8"/>
        <v>1061257.3899999999</v>
      </c>
    </row>
    <row r="120" spans="1:32" x14ac:dyDescent="0.2">
      <c r="A120" s="18">
        <v>356</v>
      </c>
      <c r="B120" s="18">
        <v>1</v>
      </c>
      <c r="C120" s="3" t="s">
        <v>117</v>
      </c>
      <c r="D120" s="3">
        <f>Levy!F120</f>
        <v>204447.29</v>
      </c>
      <c r="E120" s="3">
        <f>Levy!G120</f>
        <v>2928.84</v>
      </c>
      <c r="F120" s="3">
        <f>Levy!H120</f>
        <v>0</v>
      </c>
      <c r="G120" s="3">
        <f>Levy!I120</f>
        <v>59327.66</v>
      </c>
      <c r="H120" s="3">
        <f>Levy!J120</f>
        <v>10827.68</v>
      </c>
      <c r="I120" s="154">
        <v>0</v>
      </c>
      <c r="J120" s="19">
        <v>2000</v>
      </c>
      <c r="K120" s="19">
        <v>10000</v>
      </c>
      <c r="L120" s="19">
        <v>0</v>
      </c>
      <c r="M120" s="3">
        <v>0</v>
      </c>
      <c r="N120" s="3">
        <v>0</v>
      </c>
      <c r="O120" s="3">
        <v>0</v>
      </c>
      <c r="P120" s="19">
        <v>-1780.2</v>
      </c>
      <c r="Q120" s="19">
        <v>0</v>
      </c>
      <c r="R120" s="19">
        <v>0</v>
      </c>
      <c r="S120" s="19">
        <v>0</v>
      </c>
      <c r="T120" s="3">
        <v>0</v>
      </c>
      <c r="U120" s="3">
        <v>0</v>
      </c>
      <c r="V120" s="21">
        <v>0</v>
      </c>
      <c r="W120" s="21">
        <v>0</v>
      </c>
      <c r="X120" s="3">
        <v>0</v>
      </c>
      <c r="Y120" s="21">
        <v>77555.070000000007</v>
      </c>
      <c r="Z120" s="154">
        <f>Levy!U120</f>
        <v>0</v>
      </c>
      <c r="AA120" s="3">
        <f>Levy!V120</f>
        <v>0</v>
      </c>
      <c r="AB120" s="3">
        <f t="shared" si="5"/>
        <v>10219.799999999999</v>
      </c>
      <c r="AC120" s="3">
        <f t="shared" si="6"/>
        <v>52036.7</v>
      </c>
      <c r="AD120" s="3">
        <f t="shared" si="7"/>
        <v>10827.68</v>
      </c>
      <c r="AE120" s="3">
        <f>ROUND(MAX(0,(D120-V120)*Shift11!$B$3),2)</f>
        <v>99361.38</v>
      </c>
      <c r="AF120" s="3">
        <f t="shared" si="8"/>
        <v>99361.38</v>
      </c>
    </row>
    <row r="121" spans="1:32" x14ac:dyDescent="0.2">
      <c r="A121" s="18">
        <v>361</v>
      </c>
      <c r="B121" s="18">
        <v>1</v>
      </c>
      <c r="C121" s="3" t="s">
        <v>118</v>
      </c>
      <c r="D121" s="3">
        <f>Levy!F121</f>
        <v>660878.64</v>
      </c>
      <c r="E121" s="3">
        <f>Levy!G121</f>
        <v>93520.97</v>
      </c>
      <c r="F121" s="3">
        <f>Levy!H121</f>
        <v>0</v>
      </c>
      <c r="G121" s="3">
        <f>Levy!I121</f>
        <v>1150016.9099999999</v>
      </c>
      <c r="H121" s="3">
        <f>Levy!J121</f>
        <v>128527.7</v>
      </c>
      <c r="I121" s="154">
        <v>0</v>
      </c>
      <c r="J121" s="19">
        <v>6475</v>
      </c>
      <c r="K121" s="19">
        <v>25391.42</v>
      </c>
      <c r="L121" s="19">
        <v>0</v>
      </c>
      <c r="M121" s="3">
        <v>0</v>
      </c>
      <c r="N121" s="3">
        <v>0</v>
      </c>
      <c r="O121" s="3">
        <v>0</v>
      </c>
      <c r="P121" s="19">
        <v>19434.759999999998</v>
      </c>
      <c r="Q121" s="19">
        <v>0</v>
      </c>
      <c r="R121" s="19">
        <v>0</v>
      </c>
      <c r="S121" s="19">
        <v>0</v>
      </c>
      <c r="T121" s="3">
        <v>0</v>
      </c>
      <c r="U121" s="3">
        <v>0</v>
      </c>
      <c r="V121" s="21">
        <v>0</v>
      </c>
      <c r="W121" s="21">
        <v>0</v>
      </c>
      <c r="X121" s="3">
        <v>0</v>
      </c>
      <c r="Y121" s="21">
        <v>75327.83</v>
      </c>
      <c r="Z121" s="154">
        <f>Levy!U121</f>
        <v>0</v>
      </c>
      <c r="AA121" s="3">
        <f>Levy!V121</f>
        <v>0</v>
      </c>
      <c r="AB121" s="3">
        <f t="shared" si="5"/>
        <v>51301.179999999993</v>
      </c>
      <c r="AC121" s="3">
        <f t="shared" si="6"/>
        <v>1192236.7</v>
      </c>
      <c r="AD121" s="3">
        <f t="shared" si="7"/>
        <v>128527.7</v>
      </c>
      <c r="AE121" s="3">
        <f>ROUND(MAX(0,(D121-V121)*Shift11!$B$3),2)</f>
        <v>321187.02</v>
      </c>
      <c r="AF121" s="3">
        <f t="shared" si="8"/>
        <v>321187.02</v>
      </c>
    </row>
    <row r="122" spans="1:32" x14ac:dyDescent="0.2">
      <c r="A122" s="18">
        <v>362</v>
      </c>
      <c r="B122" s="18">
        <v>1</v>
      </c>
      <c r="C122" s="3" t="s">
        <v>119</v>
      </c>
      <c r="D122" s="3">
        <f>Levy!F122</f>
        <v>112.03</v>
      </c>
      <c r="E122" s="3">
        <f>Levy!G122</f>
        <v>31708.560000000001</v>
      </c>
      <c r="F122" s="3">
        <f>Levy!H122</f>
        <v>0</v>
      </c>
      <c r="G122" s="3">
        <f>Levy!I122</f>
        <v>122562.43</v>
      </c>
      <c r="H122" s="3">
        <f>Levy!J122</f>
        <v>19256.66</v>
      </c>
      <c r="I122" s="154">
        <v>0</v>
      </c>
      <c r="J122" s="19">
        <v>1000</v>
      </c>
      <c r="K122" s="19">
        <v>0</v>
      </c>
      <c r="L122" s="19">
        <v>0</v>
      </c>
      <c r="M122" s="3">
        <v>0</v>
      </c>
      <c r="N122" s="3">
        <v>0</v>
      </c>
      <c r="O122" s="3">
        <v>0</v>
      </c>
      <c r="P122" s="19">
        <v>-910.11</v>
      </c>
      <c r="Q122" s="19">
        <v>0</v>
      </c>
      <c r="R122" s="19">
        <v>0</v>
      </c>
      <c r="S122" s="19">
        <v>0</v>
      </c>
      <c r="T122" s="3">
        <v>0</v>
      </c>
      <c r="U122" s="3">
        <v>0</v>
      </c>
      <c r="V122" s="21">
        <v>0</v>
      </c>
      <c r="W122" s="21">
        <v>0</v>
      </c>
      <c r="X122" s="3">
        <v>0</v>
      </c>
      <c r="Y122" s="21">
        <v>0</v>
      </c>
      <c r="Z122" s="154">
        <f>Levy!U122</f>
        <v>0</v>
      </c>
      <c r="AA122" s="3">
        <f>Levy!V122</f>
        <v>0</v>
      </c>
      <c r="AB122" s="3">
        <f t="shared" si="5"/>
        <v>89.889999999999986</v>
      </c>
      <c r="AC122" s="3">
        <f t="shared" si="6"/>
        <v>154181.1</v>
      </c>
      <c r="AD122" s="3">
        <f t="shared" si="7"/>
        <v>19256.66</v>
      </c>
      <c r="AE122" s="3">
        <f>ROUND(MAX(0,(D122-V122)*Shift11!$B$3),2)</f>
        <v>54.45</v>
      </c>
      <c r="AF122" s="3">
        <f t="shared" si="8"/>
        <v>54.45</v>
      </c>
    </row>
    <row r="123" spans="1:32" x14ac:dyDescent="0.2">
      <c r="A123" s="18">
        <v>363</v>
      </c>
      <c r="B123" s="18">
        <v>1</v>
      </c>
      <c r="C123" s="3" t="s">
        <v>120</v>
      </c>
      <c r="D123" s="3">
        <f>Levy!F123</f>
        <v>86.1</v>
      </c>
      <c r="E123" s="3">
        <f>Levy!G123</f>
        <v>30653.64</v>
      </c>
      <c r="F123" s="3">
        <f>Levy!H123</f>
        <v>0</v>
      </c>
      <c r="G123" s="3">
        <f>Levy!I123</f>
        <v>50302.91</v>
      </c>
      <c r="H123" s="3">
        <f>Levy!J123</f>
        <v>18982.21</v>
      </c>
      <c r="I123" s="154">
        <v>0</v>
      </c>
      <c r="J123" s="19">
        <v>0</v>
      </c>
      <c r="K123" s="19">
        <v>0</v>
      </c>
      <c r="L123" s="19">
        <v>0</v>
      </c>
      <c r="M123" s="3">
        <v>0</v>
      </c>
      <c r="N123" s="3">
        <v>0</v>
      </c>
      <c r="O123" s="3">
        <v>0</v>
      </c>
      <c r="P123" s="19">
        <v>0</v>
      </c>
      <c r="Q123" s="19">
        <v>0</v>
      </c>
      <c r="R123" s="19">
        <v>0</v>
      </c>
      <c r="S123" s="19">
        <v>0</v>
      </c>
      <c r="T123" s="3">
        <v>0</v>
      </c>
      <c r="U123" s="3">
        <v>0</v>
      </c>
      <c r="V123" s="21">
        <v>0</v>
      </c>
      <c r="W123" s="21">
        <v>0</v>
      </c>
      <c r="X123" s="3">
        <v>0</v>
      </c>
      <c r="Y123" s="21">
        <v>0</v>
      </c>
      <c r="Z123" s="154">
        <f>Levy!U123</f>
        <v>0</v>
      </c>
      <c r="AA123" s="3">
        <f>Levy!V123</f>
        <v>0</v>
      </c>
      <c r="AB123" s="3">
        <f t="shared" si="5"/>
        <v>0</v>
      </c>
      <c r="AC123" s="3">
        <f t="shared" si="6"/>
        <v>80956.55</v>
      </c>
      <c r="AD123" s="3">
        <f t="shared" si="7"/>
        <v>18982.21</v>
      </c>
      <c r="AE123" s="3">
        <f>ROUND(MAX(0,(D123-V123)*Shift11!$B$3),2)</f>
        <v>41.84</v>
      </c>
      <c r="AF123" s="3">
        <f t="shared" si="8"/>
        <v>41.84</v>
      </c>
    </row>
    <row r="124" spans="1:32" x14ac:dyDescent="0.2">
      <c r="A124" s="18">
        <v>378</v>
      </c>
      <c r="B124" s="18">
        <v>1</v>
      </c>
      <c r="C124" s="3" t="s">
        <v>121</v>
      </c>
      <c r="D124" s="3">
        <f>Levy!F124</f>
        <v>171154.31</v>
      </c>
      <c r="E124" s="3">
        <f>Levy!G124</f>
        <v>30157.18</v>
      </c>
      <c r="F124" s="3">
        <f>Levy!H124</f>
        <v>0</v>
      </c>
      <c r="G124" s="3">
        <f>Levy!I124</f>
        <v>380967.52</v>
      </c>
      <c r="H124" s="3">
        <f>Levy!J124</f>
        <v>65964.09</v>
      </c>
      <c r="I124" s="154">
        <v>0</v>
      </c>
      <c r="J124" s="19">
        <v>150</v>
      </c>
      <c r="K124" s="19">
        <v>11642.04</v>
      </c>
      <c r="L124" s="19">
        <v>0</v>
      </c>
      <c r="M124" s="3">
        <v>0</v>
      </c>
      <c r="N124" s="3">
        <v>0</v>
      </c>
      <c r="O124" s="3">
        <v>0</v>
      </c>
      <c r="P124" s="19">
        <v>-395.23</v>
      </c>
      <c r="Q124" s="19">
        <v>-150</v>
      </c>
      <c r="R124" s="19">
        <v>0</v>
      </c>
      <c r="S124" s="19">
        <v>0</v>
      </c>
      <c r="T124" s="3">
        <v>0</v>
      </c>
      <c r="U124" s="3">
        <v>0</v>
      </c>
      <c r="V124" s="21">
        <v>0</v>
      </c>
      <c r="W124" s="21">
        <v>0</v>
      </c>
      <c r="X124" s="3">
        <v>4537.68</v>
      </c>
      <c r="Y124" s="21">
        <v>39303.019999999997</v>
      </c>
      <c r="Z124" s="154">
        <f>Levy!U124</f>
        <v>0</v>
      </c>
      <c r="AA124" s="3">
        <f>Levy!V124</f>
        <v>0</v>
      </c>
      <c r="AB124" s="3">
        <f t="shared" si="5"/>
        <v>11246.810000000001</v>
      </c>
      <c r="AC124" s="3">
        <f t="shared" si="6"/>
        <v>395340.21</v>
      </c>
      <c r="AD124" s="3">
        <f t="shared" si="7"/>
        <v>65964.09</v>
      </c>
      <c r="AE124" s="3">
        <f>ROUND(MAX(0,(D124-V124)*Shift11!$B$3),2)</f>
        <v>83180.990000000005</v>
      </c>
      <c r="AF124" s="3">
        <f t="shared" si="8"/>
        <v>83180.990000000005</v>
      </c>
    </row>
    <row r="125" spans="1:32" x14ac:dyDescent="0.2">
      <c r="A125" s="18">
        <v>381</v>
      </c>
      <c r="B125" s="18">
        <v>1</v>
      </c>
      <c r="C125" s="3" t="s">
        <v>122</v>
      </c>
      <c r="D125" s="3">
        <f>Levy!F125</f>
        <v>0</v>
      </c>
      <c r="E125" s="3">
        <f>Levy!G125</f>
        <v>209547.84</v>
      </c>
      <c r="F125" s="3">
        <f>Levy!H125</f>
        <v>0</v>
      </c>
      <c r="G125" s="3">
        <f>Levy!I125</f>
        <v>204469.14</v>
      </c>
      <c r="H125" s="3">
        <f>Levy!J125</f>
        <v>0</v>
      </c>
      <c r="I125" s="154">
        <v>0</v>
      </c>
      <c r="J125" s="19">
        <v>5000</v>
      </c>
      <c r="K125" s="19">
        <v>27643.41</v>
      </c>
      <c r="L125" s="19">
        <v>0</v>
      </c>
      <c r="M125" s="3">
        <v>0</v>
      </c>
      <c r="N125" s="3">
        <v>0</v>
      </c>
      <c r="O125" s="3">
        <v>0</v>
      </c>
      <c r="P125" s="19">
        <v>-23331.93</v>
      </c>
      <c r="Q125" s="19">
        <v>0</v>
      </c>
      <c r="R125" s="19">
        <v>-3008.36</v>
      </c>
      <c r="S125" s="19">
        <v>0</v>
      </c>
      <c r="T125" s="3">
        <v>0</v>
      </c>
      <c r="U125" s="3">
        <v>0</v>
      </c>
      <c r="V125" s="21">
        <v>0</v>
      </c>
      <c r="W125" s="21">
        <v>0</v>
      </c>
      <c r="X125" s="3">
        <v>76394.2</v>
      </c>
      <c r="Y125" s="21">
        <v>121543.27</v>
      </c>
      <c r="Z125" s="154">
        <f>Levy!U125</f>
        <v>0</v>
      </c>
      <c r="AA125" s="3">
        <f>Levy!V125</f>
        <v>0</v>
      </c>
      <c r="AB125" s="3">
        <f t="shared" si="5"/>
        <v>6303.119999999999</v>
      </c>
      <c r="AC125" s="3">
        <f t="shared" si="6"/>
        <v>331319.65999999997</v>
      </c>
      <c r="AD125" s="3">
        <f t="shared" si="7"/>
        <v>0</v>
      </c>
      <c r="AE125" s="3">
        <f>ROUND(MAX(0,(D125-V125)*Shift11!$B$3),2)</f>
        <v>0</v>
      </c>
      <c r="AF125" s="3">
        <f t="shared" si="8"/>
        <v>121543.27</v>
      </c>
    </row>
    <row r="126" spans="1:32" x14ac:dyDescent="0.2">
      <c r="A126" s="18">
        <v>390</v>
      </c>
      <c r="B126" s="18">
        <v>1</v>
      </c>
      <c r="C126" s="3" t="s">
        <v>123</v>
      </c>
      <c r="D126" s="3">
        <f>Levy!F126</f>
        <v>301132.78999999998</v>
      </c>
      <c r="E126" s="3">
        <f>Levy!G126</f>
        <v>46628.41</v>
      </c>
      <c r="F126" s="3">
        <f>Levy!H126</f>
        <v>0</v>
      </c>
      <c r="G126" s="3">
        <f>Levy!I126</f>
        <v>390268.55</v>
      </c>
      <c r="H126" s="3">
        <f>Levy!J126</f>
        <v>50368.37</v>
      </c>
      <c r="I126" s="154">
        <v>0</v>
      </c>
      <c r="J126" s="19">
        <v>2785.97</v>
      </c>
      <c r="K126" s="19">
        <v>12057.6</v>
      </c>
      <c r="L126" s="19">
        <v>0</v>
      </c>
      <c r="M126" s="3">
        <v>0</v>
      </c>
      <c r="N126" s="3">
        <v>0</v>
      </c>
      <c r="O126" s="3">
        <v>0</v>
      </c>
      <c r="P126" s="19">
        <v>-3769.36</v>
      </c>
      <c r="Q126" s="19">
        <v>0</v>
      </c>
      <c r="R126" s="19">
        <v>-1997.6</v>
      </c>
      <c r="S126" s="19">
        <v>0</v>
      </c>
      <c r="T126" s="3">
        <v>0</v>
      </c>
      <c r="U126" s="3">
        <v>0</v>
      </c>
      <c r="V126" s="21">
        <v>0</v>
      </c>
      <c r="W126" s="21">
        <v>0</v>
      </c>
      <c r="X126" s="3">
        <v>0</v>
      </c>
      <c r="Y126" s="21">
        <v>0</v>
      </c>
      <c r="Z126" s="154">
        <f>Levy!U126</f>
        <v>0</v>
      </c>
      <c r="AA126" s="3">
        <f>Levy!V126</f>
        <v>0</v>
      </c>
      <c r="AB126" s="3">
        <f t="shared" si="5"/>
        <v>9076.6099999999988</v>
      </c>
      <c r="AC126" s="3">
        <f t="shared" si="6"/>
        <v>427820.35</v>
      </c>
      <c r="AD126" s="3">
        <f t="shared" si="7"/>
        <v>50368.37</v>
      </c>
      <c r="AE126" s="3">
        <f>ROUND(MAX(0,(D126-V126)*Shift11!$B$3),2)</f>
        <v>146350.54</v>
      </c>
      <c r="AF126" s="3">
        <f t="shared" si="8"/>
        <v>146350.54</v>
      </c>
    </row>
    <row r="127" spans="1:32" x14ac:dyDescent="0.2">
      <c r="A127" s="18">
        <v>391</v>
      </c>
      <c r="B127" s="18">
        <v>1</v>
      </c>
      <c r="C127" s="3" t="s">
        <v>124</v>
      </c>
      <c r="D127" s="3">
        <f>Levy!F127</f>
        <v>271864.65999999997</v>
      </c>
      <c r="E127" s="3">
        <f>Levy!G127</f>
        <v>54677.74</v>
      </c>
      <c r="F127" s="3">
        <f>Levy!H127</f>
        <v>0</v>
      </c>
      <c r="G127" s="3">
        <f>Levy!I127</f>
        <v>424570.2</v>
      </c>
      <c r="H127" s="3">
        <f>Levy!J127</f>
        <v>32446.38</v>
      </c>
      <c r="I127" s="154">
        <v>0</v>
      </c>
      <c r="J127" s="19">
        <v>11356</v>
      </c>
      <c r="K127" s="19">
        <v>11966.68</v>
      </c>
      <c r="L127" s="19">
        <v>0</v>
      </c>
      <c r="M127" s="3">
        <v>0</v>
      </c>
      <c r="N127" s="3">
        <v>0</v>
      </c>
      <c r="O127" s="3">
        <v>0</v>
      </c>
      <c r="P127" s="19">
        <v>201.69</v>
      </c>
      <c r="Q127" s="19">
        <v>0</v>
      </c>
      <c r="R127" s="19">
        <v>0</v>
      </c>
      <c r="S127" s="19">
        <v>0</v>
      </c>
      <c r="T127" s="3">
        <v>0</v>
      </c>
      <c r="U127" s="3">
        <v>0</v>
      </c>
      <c r="V127" s="21">
        <v>0</v>
      </c>
      <c r="W127" s="21">
        <v>0</v>
      </c>
      <c r="X127" s="3">
        <v>0</v>
      </c>
      <c r="Y127" s="21">
        <v>42002.25</v>
      </c>
      <c r="Z127" s="154">
        <f>Levy!U127</f>
        <v>0</v>
      </c>
      <c r="AA127" s="3">
        <f>Levy!V127</f>
        <v>0</v>
      </c>
      <c r="AB127" s="3">
        <f t="shared" si="5"/>
        <v>23524.37</v>
      </c>
      <c r="AC127" s="3">
        <f t="shared" si="6"/>
        <v>455723.57</v>
      </c>
      <c r="AD127" s="3">
        <f t="shared" si="7"/>
        <v>32446.38</v>
      </c>
      <c r="AE127" s="3">
        <f>ROUND(MAX(0,(D127-V127)*Shift11!$B$3),2)</f>
        <v>132126.22</v>
      </c>
      <c r="AF127" s="3">
        <f t="shared" si="8"/>
        <v>132126.22</v>
      </c>
    </row>
    <row r="128" spans="1:32" x14ac:dyDescent="0.2">
      <c r="A128" s="18">
        <v>392</v>
      </c>
      <c r="B128" s="18">
        <v>1</v>
      </c>
      <c r="C128" s="3" t="s">
        <v>125</v>
      </c>
      <c r="D128" s="3">
        <f>Levy!F128</f>
        <v>326194</v>
      </c>
      <c r="E128" s="3">
        <f>Levy!G128</f>
        <v>53534.32</v>
      </c>
      <c r="F128" s="3">
        <f>Levy!H128</f>
        <v>0</v>
      </c>
      <c r="G128" s="3">
        <f>Levy!I128</f>
        <v>388700.21</v>
      </c>
      <c r="H128" s="3">
        <f>Levy!J128</f>
        <v>50647.53</v>
      </c>
      <c r="I128" s="154">
        <v>0</v>
      </c>
      <c r="J128" s="19">
        <v>20000</v>
      </c>
      <c r="K128" s="19">
        <v>15536</v>
      </c>
      <c r="L128" s="19">
        <v>0</v>
      </c>
      <c r="M128" s="3">
        <v>0</v>
      </c>
      <c r="N128" s="3">
        <v>0</v>
      </c>
      <c r="O128" s="3">
        <v>0</v>
      </c>
      <c r="P128" s="19">
        <v>-1806.21</v>
      </c>
      <c r="Q128" s="19">
        <v>0</v>
      </c>
      <c r="R128" s="19">
        <v>0</v>
      </c>
      <c r="S128" s="19">
        <v>0</v>
      </c>
      <c r="T128" s="3">
        <v>0</v>
      </c>
      <c r="U128" s="3">
        <v>0</v>
      </c>
      <c r="V128" s="21">
        <v>0</v>
      </c>
      <c r="W128" s="21">
        <v>0</v>
      </c>
      <c r="X128" s="3">
        <v>0</v>
      </c>
      <c r="Y128" s="21">
        <v>9608.68</v>
      </c>
      <c r="Z128" s="154">
        <f>Levy!U128</f>
        <v>0</v>
      </c>
      <c r="AA128" s="3">
        <f>Levy!V128</f>
        <v>0</v>
      </c>
      <c r="AB128" s="3">
        <f t="shared" si="5"/>
        <v>33729.79</v>
      </c>
      <c r="AC128" s="3">
        <f t="shared" si="6"/>
        <v>408504.74</v>
      </c>
      <c r="AD128" s="3">
        <f t="shared" si="7"/>
        <v>50647.53</v>
      </c>
      <c r="AE128" s="3">
        <f>ROUND(MAX(0,(D128-V128)*Shift11!$B$3),2)</f>
        <v>158530.28</v>
      </c>
      <c r="AF128" s="3">
        <f t="shared" si="8"/>
        <v>158530.28</v>
      </c>
    </row>
    <row r="129" spans="1:32" x14ac:dyDescent="0.2">
      <c r="A129" s="18">
        <v>394</v>
      </c>
      <c r="B129" s="18">
        <v>1</v>
      </c>
      <c r="C129" s="3" t="s">
        <v>126</v>
      </c>
      <c r="D129" s="3">
        <f>Levy!F129</f>
        <v>551105.52</v>
      </c>
      <c r="E129" s="3">
        <f>Levy!G129</f>
        <v>103122.34</v>
      </c>
      <c r="F129" s="3">
        <f>Levy!H129</f>
        <v>0</v>
      </c>
      <c r="G129" s="3">
        <f>Levy!I129</f>
        <v>569484.42000000004</v>
      </c>
      <c r="H129" s="3">
        <f>Levy!J129</f>
        <v>97955.77</v>
      </c>
      <c r="I129" s="154">
        <v>0</v>
      </c>
      <c r="J129" s="19">
        <v>10000</v>
      </c>
      <c r="K129" s="19">
        <v>18556.8</v>
      </c>
      <c r="L129" s="19">
        <v>0</v>
      </c>
      <c r="M129" s="3">
        <v>0</v>
      </c>
      <c r="N129" s="3">
        <v>0</v>
      </c>
      <c r="O129" s="3">
        <v>0</v>
      </c>
      <c r="P129" s="19">
        <v>29675.9</v>
      </c>
      <c r="Q129" s="19">
        <v>0</v>
      </c>
      <c r="R129" s="19">
        <v>-574.55999999999995</v>
      </c>
      <c r="S129" s="19">
        <v>0</v>
      </c>
      <c r="T129" s="3">
        <v>0</v>
      </c>
      <c r="U129" s="3">
        <v>0</v>
      </c>
      <c r="V129" s="21">
        <v>0</v>
      </c>
      <c r="W129" s="21">
        <v>0</v>
      </c>
      <c r="X129" s="3">
        <v>0</v>
      </c>
      <c r="Y129" s="21">
        <v>15161.69</v>
      </c>
      <c r="Z129" s="154">
        <f>Levy!U129</f>
        <v>0</v>
      </c>
      <c r="AA129" s="3">
        <f>Levy!V129</f>
        <v>0</v>
      </c>
      <c r="AB129" s="3">
        <f t="shared" si="5"/>
        <v>57658.14</v>
      </c>
      <c r="AC129" s="3">
        <f t="shared" si="6"/>
        <v>614948.62</v>
      </c>
      <c r="AD129" s="3">
        <f t="shared" si="7"/>
        <v>97955.77</v>
      </c>
      <c r="AE129" s="3">
        <f>ROUND(MAX(0,(D129-V129)*Shift11!$B$3),2)</f>
        <v>267837.28000000003</v>
      </c>
      <c r="AF129" s="3">
        <f t="shared" si="8"/>
        <v>267837.28000000003</v>
      </c>
    </row>
    <row r="130" spans="1:32" x14ac:dyDescent="0.2">
      <c r="A130" s="18">
        <v>402</v>
      </c>
      <c r="B130" s="18">
        <v>1</v>
      </c>
      <c r="C130" s="3" t="s">
        <v>127</v>
      </c>
      <c r="D130" s="3">
        <f>Levy!F130</f>
        <v>165497.31</v>
      </c>
      <c r="E130" s="3">
        <f>Levy!G130</f>
        <v>5953.01</v>
      </c>
      <c r="F130" s="3">
        <f>Levy!H130</f>
        <v>0</v>
      </c>
      <c r="G130" s="3">
        <f>Levy!I130</f>
        <v>51872.97</v>
      </c>
      <c r="H130" s="3">
        <f>Levy!J130</f>
        <v>30158.03</v>
      </c>
      <c r="I130" s="154">
        <v>0</v>
      </c>
      <c r="J130" s="19">
        <v>5000</v>
      </c>
      <c r="K130" s="19">
        <v>0</v>
      </c>
      <c r="L130" s="19">
        <v>0</v>
      </c>
      <c r="M130" s="3">
        <v>0</v>
      </c>
      <c r="N130" s="3">
        <v>0</v>
      </c>
      <c r="O130" s="3">
        <v>0</v>
      </c>
      <c r="P130" s="19">
        <v>-4996.43</v>
      </c>
      <c r="Q130" s="19">
        <v>0</v>
      </c>
      <c r="R130" s="19">
        <v>0</v>
      </c>
      <c r="S130" s="19">
        <v>0</v>
      </c>
      <c r="T130" s="3">
        <v>0</v>
      </c>
      <c r="U130" s="3">
        <v>0</v>
      </c>
      <c r="V130" s="21">
        <v>0</v>
      </c>
      <c r="W130" s="21">
        <v>0</v>
      </c>
      <c r="X130" s="3">
        <v>4376.54</v>
      </c>
      <c r="Y130" s="21">
        <v>9929.51</v>
      </c>
      <c r="Z130" s="154">
        <f>Levy!U130</f>
        <v>0</v>
      </c>
      <c r="AA130" s="3">
        <f>Levy!V130</f>
        <v>0</v>
      </c>
      <c r="AB130" s="3">
        <f t="shared" si="5"/>
        <v>3.569999999999709</v>
      </c>
      <c r="AC130" s="3">
        <f t="shared" si="6"/>
        <v>53445.87</v>
      </c>
      <c r="AD130" s="3">
        <f t="shared" si="7"/>
        <v>30158.03</v>
      </c>
      <c r="AE130" s="3">
        <f>ROUND(MAX(0,(D130-V130)*Shift11!$B$3),2)</f>
        <v>80431.69</v>
      </c>
      <c r="AF130" s="3">
        <f t="shared" si="8"/>
        <v>80431.69</v>
      </c>
    </row>
    <row r="131" spans="1:32" x14ac:dyDescent="0.2">
      <c r="A131" s="18">
        <v>403</v>
      </c>
      <c r="B131" s="18">
        <v>1</v>
      </c>
      <c r="C131" s="3" t="s">
        <v>128</v>
      </c>
      <c r="D131" s="3">
        <f>Levy!F131</f>
        <v>156148.74</v>
      </c>
      <c r="E131" s="3">
        <f>Levy!G131</f>
        <v>7392.64</v>
      </c>
      <c r="F131" s="3">
        <f>Levy!H131</f>
        <v>0</v>
      </c>
      <c r="G131" s="3">
        <f>Levy!I131</f>
        <v>242148.3</v>
      </c>
      <c r="H131" s="3">
        <f>Levy!J131</f>
        <v>19673.91</v>
      </c>
      <c r="I131" s="154">
        <v>0</v>
      </c>
      <c r="J131" s="19">
        <v>5000</v>
      </c>
      <c r="K131" s="19">
        <v>10000</v>
      </c>
      <c r="L131" s="19">
        <v>0</v>
      </c>
      <c r="M131" s="3">
        <v>0</v>
      </c>
      <c r="N131" s="3">
        <v>0</v>
      </c>
      <c r="O131" s="3">
        <v>0</v>
      </c>
      <c r="P131" s="19">
        <v>1390</v>
      </c>
      <c r="Q131" s="19">
        <v>-6390</v>
      </c>
      <c r="R131" s="19">
        <v>0</v>
      </c>
      <c r="S131" s="19">
        <v>0</v>
      </c>
      <c r="T131" s="3">
        <v>0</v>
      </c>
      <c r="U131" s="3">
        <v>0</v>
      </c>
      <c r="V131" s="21">
        <v>0</v>
      </c>
      <c r="W131" s="21">
        <v>0</v>
      </c>
      <c r="X131" s="3">
        <v>0</v>
      </c>
      <c r="Y131" s="21">
        <v>17191.45</v>
      </c>
      <c r="Z131" s="154">
        <f>Levy!U131</f>
        <v>0</v>
      </c>
      <c r="AA131" s="3">
        <f>Levy!V131</f>
        <v>0</v>
      </c>
      <c r="AB131" s="3">
        <f t="shared" si="5"/>
        <v>10000</v>
      </c>
      <c r="AC131" s="3">
        <f t="shared" si="6"/>
        <v>239540.94</v>
      </c>
      <c r="AD131" s="3">
        <f t="shared" si="7"/>
        <v>19673.91</v>
      </c>
      <c r="AE131" s="3">
        <f>ROUND(MAX(0,(D131-V131)*Shift11!$B$3),2)</f>
        <v>75888.289999999994</v>
      </c>
      <c r="AF131" s="3">
        <f t="shared" si="8"/>
        <v>75888.289999999994</v>
      </c>
    </row>
    <row r="132" spans="1:32" x14ac:dyDescent="0.2">
      <c r="A132" s="18">
        <v>404</v>
      </c>
      <c r="B132" s="18">
        <v>1</v>
      </c>
      <c r="C132" s="3" t="s">
        <v>129</v>
      </c>
      <c r="D132" s="3">
        <f>Levy!F132</f>
        <v>290948.03999999998</v>
      </c>
      <c r="E132" s="3">
        <f>Levy!G132</f>
        <v>2285.0500000000002</v>
      </c>
      <c r="F132" s="3">
        <f>Levy!H132</f>
        <v>0</v>
      </c>
      <c r="G132" s="3">
        <f>Levy!I132</f>
        <v>77422.009999999995</v>
      </c>
      <c r="H132" s="3">
        <f>Levy!J132</f>
        <v>8456.7000000000007</v>
      </c>
      <c r="I132" s="154">
        <v>0</v>
      </c>
      <c r="J132" s="19">
        <v>11163.95</v>
      </c>
      <c r="K132" s="19">
        <v>0</v>
      </c>
      <c r="L132" s="19">
        <v>0</v>
      </c>
      <c r="M132" s="3">
        <v>0</v>
      </c>
      <c r="N132" s="3">
        <v>0</v>
      </c>
      <c r="O132" s="3">
        <v>0</v>
      </c>
      <c r="P132" s="19">
        <v>-1658.78</v>
      </c>
      <c r="Q132" s="19">
        <v>0</v>
      </c>
      <c r="R132" s="19">
        <v>0</v>
      </c>
      <c r="S132" s="19">
        <v>0</v>
      </c>
      <c r="T132" s="3">
        <v>0</v>
      </c>
      <c r="U132" s="3">
        <v>0</v>
      </c>
      <c r="V132" s="21">
        <v>0</v>
      </c>
      <c r="W132" s="21">
        <v>0</v>
      </c>
      <c r="X132" s="3">
        <v>325.19</v>
      </c>
      <c r="Y132" s="21">
        <v>70889.98</v>
      </c>
      <c r="Z132" s="154">
        <f>Levy!U132</f>
        <v>0</v>
      </c>
      <c r="AA132" s="3">
        <f>Levy!V132</f>
        <v>0</v>
      </c>
      <c r="AB132" s="3">
        <f t="shared" si="5"/>
        <v>9505.17</v>
      </c>
      <c r="AC132" s="3">
        <f t="shared" si="6"/>
        <v>69876.7</v>
      </c>
      <c r="AD132" s="3">
        <f t="shared" si="7"/>
        <v>8456.7000000000007</v>
      </c>
      <c r="AE132" s="3">
        <f>ROUND(MAX(0,(D132-V132)*Shift11!$B$3),2)</f>
        <v>141400.75</v>
      </c>
      <c r="AF132" s="3">
        <f t="shared" si="8"/>
        <v>141400.75</v>
      </c>
    </row>
    <row r="133" spans="1:32" x14ac:dyDescent="0.2">
      <c r="A133" s="18">
        <v>413</v>
      </c>
      <c r="B133" s="18">
        <v>1</v>
      </c>
      <c r="C133" s="3" t="s">
        <v>130</v>
      </c>
      <c r="D133" s="3">
        <f>Levy!F133</f>
        <v>1354318</v>
      </c>
      <c r="E133" s="3">
        <f>Levy!G133</f>
        <v>224066</v>
      </c>
      <c r="F133" s="3">
        <f>Levy!H133</f>
        <v>0</v>
      </c>
      <c r="G133" s="3">
        <f>Levy!I133</f>
        <v>1023595</v>
      </c>
      <c r="H133" s="3">
        <f>Levy!J133</f>
        <v>153844</v>
      </c>
      <c r="I133" s="154">
        <v>0</v>
      </c>
      <c r="J133" s="19">
        <v>20000</v>
      </c>
      <c r="K133" s="19">
        <v>51283.199999999997</v>
      </c>
      <c r="L133" s="19">
        <v>0</v>
      </c>
      <c r="M133" s="3">
        <v>0</v>
      </c>
      <c r="N133" s="3">
        <v>0</v>
      </c>
      <c r="O133" s="3">
        <v>0</v>
      </c>
      <c r="P133" s="19">
        <v>-6993.66</v>
      </c>
      <c r="Q133" s="19">
        <v>0</v>
      </c>
      <c r="R133" s="19">
        <v>-873.6</v>
      </c>
      <c r="S133" s="19">
        <v>0</v>
      </c>
      <c r="T133" s="3">
        <v>0</v>
      </c>
      <c r="U133" s="3">
        <v>0</v>
      </c>
      <c r="V133" s="21">
        <v>0</v>
      </c>
      <c r="W133" s="21">
        <v>0</v>
      </c>
      <c r="X133" s="3">
        <v>0</v>
      </c>
      <c r="Y133" s="21">
        <v>185634.72</v>
      </c>
      <c r="Z133" s="154">
        <f>Levy!U133</f>
        <v>0</v>
      </c>
      <c r="AA133" s="3">
        <f>Levy!V133</f>
        <v>0</v>
      </c>
      <c r="AB133" s="3">
        <f t="shared" ref="AB133:AB193" si="9">SUM(I133:T133)</f>
        <v>63415.939999999995</v>
      </c>
      <c r="AC133" s="3">
        <f t="shared" si="6"/>
        <v>1184245.06</v>
      </c>
      <c r="AD133" s="3">
        <f t="shared" si="7"/>
        <v>153844</v>
      </c>
      <c r="AE133" s="3">
        <f>ROUND(MAX(0,(D133-V133)*Shift11!$B$3),2)</f>
        <v>658198.55000000005</v>
      </c>
      <c r="AF133" s="3">
        <f t="shared" ref="AF133:AF193" si="10">MAX(AE133,Y133)</f>
        <v>658198.55000000005</v>
      </c>
    </row>
    <row r="134" spans="1:32" x14ac:dyDescent="0.2">
      <c r="A134" s="18">
        <v>414</v>
      </c>
      <c r="B134" s="18">
        <v>1</v>
      </c>
      <c r="C134" s="3" t="s">
        <v>131</v>
      </c>
      <c r="D134" s="3">
        <f>Levy!F134</f>
        <v>158978</v>
      </c>
      <c r="E134" s="3">
        <f>Levy!G134</f>
        <v>36583</v>
      </c>
      <c r="F134" s="3">
        <f>Levy!H134</f>
        <v>0</v>
      </c>
      <c r="G134" s="3">
        <f>Levy!I134</f>
        <v>318803</v>
      </c>
      <c r="H134" s="3">
        <f>Levy!J134</f>
        <v>27283</v>
      </c>
      <c r="I134" s="154">
        <v>0</v>
      </c>
      <c r="J134" s="19">
        <v>12000</v>
      </c>
      <c r="K134" s="19">
        <v>10387.200000000001</v>
      </c>
      <c r="L134" s="19">
        <v>0</v>
      </c>
      <c r="M134" s="3">
        <v>0</v>
      </c>
      <c r="N134" s="3">
        <v>0</v>
      </c>
      <c r="O134" s="3">
        <v>0</v>
      </c>
      <c r="P134" s="19">
        <v>1110.24</v>
      </c>
      <c r="Q134" s="19">
        <v>0</v>
      </c>
      <c r="R134" s="19">
        <v>-1387</v>
      </c>
      <c r="S134" s="19">
        <v>0</v>
      </c>
      <c r="T134" s="3">
        <v>0</v>
      </c>
      <c r="U134" s="3">
        <v>0</v>
      </c>
      <c r="V134" s="21">
        <v>0</v>
      </c>
      <c r="W134" s="21">
        <v>0</v>
      </c>
      <c r="X134" s="3">
        <v>262.36</v>
      </c>
      <c r="Y134" s="21">
        <v>28651.58</v>
      </c>
      <c r="Z134" s="154">
        <f>Levy!U134</f>
        <v>0</v>
      </c>
      <c r="AA134" s="3">
        <f>Levy!V134</f>
        <v>0</v>
      </c>
      <c r="AB134" s="3">
        <f t="shared" si="9"/>
        <v>22110.440000000002</v>
      </c>
      <c r="AC134" s="3">
        <f t="shared" si="6"/>
        <v>333013.2</v>
      </c>
      <c r="AD134" s="3">
        <f t="shared" si="7"/>
        <v>27283</v>
      </c>
      <c r="AE134" s="3">
        <f>ROUND(MAX(0,(D134-V134)*Shift11!$B$3),2)</f>
        <v>77263.31</v>
      </c>
      <c r="AF134" s="3">
        <f t="shared" si="10"/>
        <v>77263.31</v>
      </c>
    </row>
    <row r="135" spans="1:32" x14ac:dyDescent="0.2">
      <c r="A135" s="18">
        <v>415</v>
      </c>
      <c r="B135" s="18">
        <v>1</v>
      </c>
      <c r="C135" s="3" t="s">
        <v>132</v>
      </c>
      <c r="D135" s="3">
        <f>Levy!F135</f>
        <v>228048</v>
      </c>
      <c r="E135" s="3">
        <f>Levy!G135</f>
        <v>25804</v>
      </c>
      <c r="F135" s="3">
        <f>Levy!H135</f>
        <v>0</v>
      </c>
      <c r="G135" s="3">
        <f>Levy!I135</f>
        <v>39646</v>
      </c>
      <c r="H135" s="3">
        <f>Levy!J135</f>
        <v>38971</v>
      </c>
      <c r="I135" s="154">
        <v>0</v>
      </c>
      <c r="J135" s="19">
        <v>5000</v>
      </c>
      <c r="K135" s="19">
        <v>0</v>
      </c>
      <c r="L135" s="19">
        <v>0</v>
      </c>
      <c r="M135" s="3">
        <v>0</v>
      </c>
      <c r="N135" s="3">
        <v>0</v>
      </c>
      <c r="O135" s="3">
        <v>0</v>
      </c>
      <c r="P135" s="19">
        <v>-5000</v>
      </c>
      <c r="Q135" s="19">
        <v>0</v>
      </c>
      <c r="R135" s="19">
        <v>0</v>
      </c>
      <c r="S135" s="19">
        <v>0</v>
      </c>
      <c r="T135" s="3">
        <v>0</v>
      </c>
      <c r="U135" s="3">
        <v>0</v>
      </c>
      <c r="V135" s="21">
        <v>0</v>
      </c>
      <c r="W135" s="21">
        <v>0</v>
      </c>
      <c r="X135" s="3">
        <v>4594.3999999999996</v>
      </c>
      <c r="Y135" s="21">
        <v>20886.88</v>
      </c>
      <c r="Z135" s="154">
        <f>Levy!U135</f>
        <v>0</v>
      </c>
      <c r="AA135" s="3">
        <f>Levy!V135</f>
        <v>0</v>
      </c>
      <c r="AB135" s="3">
        <f t="shared" si="9"/>
        <v>0</v>
      </c>
      <c r="AC135" s="3">
        <f t="shared" si="6"/>
        <v>60855.6</v>
      </c>
      <c r="AD135" s="3">
        <f t="shared" si="7"/>
        <v>38971</v>
      </c>
      <c r="AE135" s="3">
        <f>ROUND(MAX(0,(D135-V135)*Shift11!$B$3),2)</f>
        <v>110831.33</v>
      </c>
      <c r="AF135" s="3">
        <f t="shared" si="10"/>
        <v>110831.33</v>
      </c>
    </row>
    <row r="136" spans="1:32" x14ac:dyDescent="0.2">
      <c r="A136" s="18">
        <v>423</v>
      </c>
      <c r="B136" s="18">
        <v>1</v>
      </c>
      <c r="C136" s="3" t="s">
        <v>133</v>
      </c>
      <c r="D136" s="3">
        <f>Levy!F136</f>
        <v>2236901.31</v>
      </c>
      <c r="E136" s="3">
        <f>Levy!G136</f>
        <v>277115.75</v>
      </c>
      <c r="F136" s="3">
        <f>Levy!H136</f>
        <v>0</v>
      </c>
      <c r="G136" s="3">
        <f>Levy!I136</f>
        <v>1215419.33</v>
      </c>
      <c r="H136" s="3">
        <f>Levy!J136</f>
        <v>204316.03</v>
      </c>
      <c r="I136" s="154">
        <v>0</v>
      </c>
      <c r="J136" s="19">
        <v>22000</v>
      </c>
      <c r="K136" s="19">
        <v>55951.199999999997</v>
      </c>
      <c r="L136" s="19">
        <v>0</v>
      </c>
      <c r="M136" s="3">
        <v>0</v>
      </c>
      <c r="N136" s="3">
        <v>0</v>
      </c>
      <c r="O136" s="3">
        <v>0</v>
      </c>
      <c r="P136" s="19">
        <v>13369.44</v>
      </c>
      <c r="Q136" s="19">
        <v>0</v>
      </c>
      <c r="R136" s="19">
        <v>3064</v>
      </c>
      <c r="S136" s="19">
        <v>0</v>
      </c>
      <c r="T136" s="3">
        <v>0</v>
      </c>
      <c r="U136" s="3">
        <v>0</v>
      </c>
      <c r="V136" s="21">
        <v>0</v>
      </c>
      <c r="W136" s="21">
        <v>0</v>
      </c>
      <c r="X136" s="3">
        <v>0</v>
      </c>
      <c r="Y136" s="21">
        <v>159248.91</v>
      </c>
      <c r="Z136" s="154">
        <f>Levy!U136</f>
        <v>0</v>
      </c>
      <c r="AA136" s="3">
        <f>Levy!V136</f>
        <v>0</v>
      </c>
      <c r="AB136" s="3">
        <f t="shared" si="9"/>
        <v>94384.639999999999</v>
      </c>
      <c r="AC136" s="3">
        <f t="shared" ref="AC136:AC199" si="11">ROUND(MAX(E136+F136+G136-Z136-W136-X136-AB136,0),2)</f>
        <v>1398150.44</v>
      </c>
      <c r="AD136" s="3">
        <f t="shared" ref="AD136:AD199" si="12">ROUND(MAX(H136-U136-AA136,0),2)</f>
        <v>204316.03</v>
      </c>
      <c r="AE136" s="3">
        <f>ROUND(MAX(0,(D136-V136)*Shift11!$B$3),2)</f>
        <v>1087134.04</v>
      </c>
      <c r="AF136" s="3">
        <f t="shared" si="10"/>
        <v>1087134.04</v>
      </c>
    </row>
    <row r="137" spans="1:32" x14ac:dyDescent="0.2">
      <c r="A137" s="18">
        <v>424</v>
      </c>
      <c r="B137" s="18">
        <v>1</v>
      </c>
      <c r="C137" s="3" t="s">
        <v>134</v>
      </c>
      <c r="D137" s="3">
        <f>Levy!F137</f>
        <v>460572.95</v>
      </c>
      <c r="E137" s="3">
        <f>Levy!G137</f>
        <v>38338.1</v>
      </c>
      <c r="F137" s="3">
        <f>Levy!H137</f>
        <v>0</v>
      </c>
      <c r="G137" s="3">
        <f>Levy!I137</f>
        <v>139492.59</v>
      </c>
      <c r="H137" s="3">
        <f>Levy!J137</f>
        <v>28063.85</v>
      </c>
      <c r="I137" s="154">
        <v>0</v>
      </c>
      <c r="J137" s="19">
        <v>25438</v>
      </c>
      <c r="K137" s="19">
        <v>10000</v>
      </c>
      <c r="L137" s="19">
        <v>0</v>
      </c>
      <c r="M137" s="3">
        <v>0</v>
      </c>
      <c r="N137" s="3">
        <v>0</v>
      </c>
      <c r="O137" s="3">
        <v>0</v>
      </c>
      <c r="P137" s="19">
        <v>-2179.4</v>
      </c>
      <c r="Q137" s="19">
        <v>0</v>
      </c>
      <c r="R137" s="19">
        <v>0</v>
      </c>
      <c r="S137" s="19">
        <v>0</v>
      </c>
      <c r="T137" s="3">
        <v>0</v>
      </c>
      <c r="U137" s="3">
        <v>0</v>
      </c>
      <c r="V137" s="21">
        <v>0</v>
      </c>
      <c r="W137" s="21">
        <v>0</v>
      </c>
      <c r="X137" s="3">
        <v>0</v>
      </c>
      <c r="Y137" s="21">
        <v>24228.86</v>
      </c>
      <c r="Z137" s="154">
        <f>Levy!U137</f>
        <v>0</v>
      </c>
      <c r="AA137" s="3">
        <f>Levy!V137</f>
        <v>0</v>
      </c>
      <c r="AB137" s="3">
        <f t="shared" si="9"/>
        <v>33258.6</v>
      </c>
      <c r="AC137" s="3">
        <f t="shared" si="11"/>
        <v>144572.09</v>
      </c>
      <c r="AD137" s="3">
        <f t="shared" si="12"/>
        <v>28063.85</v>
      </c>
      <c r="AE137" s="3">
        <f>ROUND(MAX(0,(D137-V137)*Shift11!$B$3),2)</f>
        <v>223838.45</v>
      </c>
      <c r="AF137" s="3">
        <f t="shared" si="10"/>
        <v>223838.45</v>
      </c>
    </row>
    <row r="138" spans="1:32" x14ac:dyDescent="0.2">
      <c r="A138" s="18">
        <v>432</v>
      </c>
      <c r="B138" s="18">
        <v>1</v>
      </c>
      <c r="C138" s="3" t="s">
        <v>135</v>
      </c>
      <c r="D138" s="3">
        <f>Levy!F138</f>
        <v>0</v>
      </c>
      <c r="E138" s="3">
        <f>Levy!G138</f>
        <v>43889.25</v>
      </c>
      <c r="F138" s="3">
        <f>Levy!H138</f>
        <v>0</v>
      </c>
      <c r="G138" s="3">
        <f>Levy!I138</f>
        <v>105383.98</v>
      </c>
      <c r="H138" s="3">
        <f>Levy!J138</f>
        <v>32868.54</v>
      </c>
      <c r="I138" s="154">
        <v>0</v>
      </c>
      <c r="J138" s="19">
        <v>15000</v>
      </c>
      <c r="K138" s="19">
        <v>33569.35</v>
      </c>
      <c r="L138" s="19">
        <v>0</v>
      </c>
      <c r="M138" s="3">
        <v>0</v>
      </c>
      <c r="N138" s="3">
        <v>0</v>
      </c>
      <c r="O138" s="3">
        <v>0</v>
      </c>
      <c r="P138" s="19">
        <v>-9721.82</v>
      </c>
      <c r="Q138" s="19">
        <v>0</v>
      </c>
      <c r="R138" s="19">
        <v>0</v>
      </c>
      <c r="S138" s="19">
        <v>0</v>
      </c>
      <c r="T138" s="3">
        <v>0</v>
      </c>
      <c r="U138" s="3">
        <v>0</v>
      </c>
      <c r="V138" s="21">
        <v>0</v>
      </c>
      <c r="W138" s="21">
        <v>0</v>
      </c>
      <c r="X138" s="3">
        <v>0</v>
      </c>
      <c r="Y138" s="21">
        <v>0</v>
      </c>
      <c r="Z138" s="154">
        <f>Levy!U138</f>
        <v>0</v>
      </c>
      <c r="AA138" s="3">
        <f>Levy!V138</f>
        <v>0</v>
      </c>
      <c r="AB138" s="3">
        <f t="shared" si="9"/>
        <v>38847.53</v>
      </c>
      <c r="AC138" s="3">
        <f t="shared" si="11"/>
        <v>110425.7</v>
      </c>
      <c r="AD138" s="3">
        <f t="shared" si="12"/>
        <v>32868.54</v>
      </c>
      <c r="AE138" s="3">
        <f>ROUND(MAX(0,(D138-V138)*Shift11!$B$3),2)</f>
        <v>0</v>
      </c>
      <c r="AF138" s="3">
        <f t="shared" si="10"/>
        <v>0</v>
      </c>
    </row>
    <row r="139" spans="1:32" x14ac:dyDescent="0.2">
      <c r="A139" s="18">
        <v>435</v>
      </c>
      <c r="B139" s="18">
        <v>1</v>
      </c>
      <c r="C139" s="3" t="s">
        <v>136</v>
      </c>
      <c r="D139" s="3">
        <f>Levy!F139</f>
        <v>0</v>
      </c>
      <c r="E139" s="3">
        <f>Levy!G139</f>
        <v>63344.65</v>
      </c>
      <c r="F139" s="3">
        <f>Levy!H139</f>
        <v>0</v>
      </c>
      <c r="G139" s="3">
        <f>Levy!I139</f>
        <v>119536.42</v>
      </c>
      <c r="H139" s="3">
        <f>Levy!J139</f>
        <v>31594.58</v>
      </c>
      <c r="I139" s="154">
        <v>0</v>
      </c>
      <c r="J139" s="19">
        <v>5000</v>
      </c>
      <c r="K139" s="19">
        <v>17446.849999999999</v>
      </c>
      <c r="L139" s="19">
        <v>0</v>
      </c>
      <c r="M139" s="3">
        <v>0</v>
      </c>
      <c r="N139" s="3">
        <v>0</v>
      </c>
      <c r="O139" s="3">
        <v>0</v>
      </c>
      <c r="P139" s="19">
        <v>-2500</v>
      </c>
      <c r="Q139" s="19">
        <v>0</v>
      </c>
      <c r="R139" s="19">
        <v>0</v>
      </c>
      <c r="S139" s="19">
        <v>0</v>
      </c>
      <c r="T139" s="3">
        <v>0</v>
      </c>
      <c r="U139" s="3">
        <v>0</v>
      </c>
      <c r="V139" s="21">
        <v>0</v>
      </c>
      <c r="W139" s="21">
        <v>0</v>
      </c>
      <c r="X139" s="3">
        <v>0</v>
      </c>
      <c r="Y139" s="21">
        <v>0</v>
      </c>
      <c r="Z139" s="154">
        <f>Levy!U139</f>
        <v>0</v>
      </c>
      <c r="AA139" s="3">
        <f>Levy!V139</f>
        <v>0</v>
      </c>
      <c r="AB139" s="3">
        <f t="shared" si="9"/>
        <v>19946.849999999999</v>
      </c>
      <c r="AC139" s="3">
        <f t="shared" si="11"/>
        <v>162934.22</v>
      </c>
      <c r="AD139" s="3">
        <f t="shared" si="12"/>
        <v>31594.58</v>
      </c>
      <c r="AE139" s="3">
        <f>ROUND(MAX(0,(D139-V139)*Shift11!$B$3),2)</f>
        <v>0</v>
      </c>
      <c r="AF139" s="3">
        <f t="shared" si="10"/>
        <v>0</v>
      </c>
    </row>
    <row r="140" spans="1:32" x14ac:dyDescent="0.2">
      <c r="A140" s="18">
        <v>441</v>
      </c>
      <c r="B140" s="18">
        <v>1</v>
      </c>
      <c r="C140" s="3" t="s">
        <v>137</v>
      </c>
      <c r="D140" s="3">
        <f>Levy!F140</f>
        <v>198513</v>
      </c>
      <c r="E140" s="3">
        <f>Levy!G140</f>
        <v>31014</v>
      </c>
      <c r="F140" s="3">
        <f>Levy!H140</f>
        <v>0</v>
      </c>
      <c r="G140" s="3">
        <f>Levy!I140</f>
        <v>183655</v>
      </c>
      <c r="H140" s="3">
        <f>Levy!J140</f>
        <v>32695</v>
      </c>
      <c r="I140" s="154">
        <v>0</v>
      </c>
      <c r="J140" s="19">
        <v>0</v>
      </c>
      <c r="K140" s="19">
        <v>10000</v>
      </c>
      <c r="L140" s="19">
        <v>0</v>
      </c>
      <c r="M140" s="3">
        <v>0</v>
      </c>
      <c r="N140" s="3">
        <v>0</v>
      </c>
      <c r="O140" s="3">
        <v>0</v>
      </c>
      <c r="P140" s="19">
        <v>-4126.3</v>
      </c>
      <c r="Q140" s="19">
        <v>0</v>
      </c>
      <c r="R140" s="19">
        <v>0</v>
      </c>
      <c r="S140" s="19">
        <v>0</v>
      </c>
      <c r="T140" s="3">
        <v>0</v>
      </c>
      <c r="U140" s="3">
        <v>0</v>
      </c>
      <c r="V140" s="21">
        <v>0</v>
      </c>
      <c r="W140" s="21">
        <v>0</v>
      </c>
      <c r="X140" s="3">
        <v>10876.31</v>
      </c>
      <c r="Y140" s="21">
        <v>24919.51</v>
      </c>
      <c r="Z140" s="154">
        <f>Levy!U140</f>
        <v>0</v>
      </c>
      <c r="AA140" s="3">
        <f>Levy!V140</f>
        <v>0</v>
      </c>
      <c r="AB140" s="3">
        <f t="shared" si="9"/>
        <v>5873.7</v>
      </c>
      <c r="AC140" s="3">
        <f t="shared" si="11"/>
        <v>197918.99</v>
      </c>
      <c r="AD140" s="3">
        <f t="shared" si="12"/>
        <v>32695</v>
      </c>
      <c r="AE140" s="3">
        <f>ROUND(MAX(0,(D140-V140)*Shift11!$B$3),2)</f>
        <v>96477.32</v>
      </c>
      <c r="AF140" s="3">
        <f t="shared" si="10"/>
        <v>96477.32</v>
      </c>
    </row>
    <row r="141" spans="1:32" x14ac:dyDescent="0.2">
      <c r="A141" s="18">
        <v>447</v>
      </c>
      <c r="B141" s="18">
        <v>1</v>
      </c>
      <c r="C141" s="3" t="s">
        <v>138</v>
      </c>
      <c r="D141" s="3">
        <f>Levy!F141</f>
        <v>7082</v>
      </c>
      <c r="E141" s="3">
        <f>Levy!G141</f>
        <v>9401</v>
      </c>
      <c r="F141" s="3">
        <f>Levy!H141</f>
        <v>0</v>
      </c>
      <c r="G141" s="3">
        <f>Levy!I141</f>
        <v>54286</v>
      </c>
      <c r="H141" s="3">
        <f>Levy!J141</f>
        <v>12403</v>
      </c>
      <c r="I141" s="154">
        <v>0</v>
      </c>
      <c r="J141" s="19">
        <v>2500</v>
      </c>
      <c r="K141" s="19">
        <v>10000</v>
      </c>
      <c r="L141" s="19">
        <v>0</v>
      </c>
      <c r="M141" s="3">
        <v>0</v>
      </c>
      <c r="N141" s="3">
        <v>0</v>
      </c>
      <c r="O141" s="3">
        <v>0</v>
      </c>
      <c r="P141" s="19">
        <v>-787.42</v>
      </c>
      <c r="Q141" s="19">
        <v>0</v>
      </c>
      <c r="R141" s="19">
        <v>0</v>
      </c>
      <c r="S141" s="19">
        <v>0</v>
      </c>
      <c r="T141" s="3">
        <v>0</v>
      </c>
      <c r="U141" s="3">
        <v>0</v>
      </c>
      <c r="V141" s="21">
        <v>0</v>
      </c>
      <c r="W141" s="21">
        <v>0</v>
      </c>
      <c r="X141" s="3">
        <v>0</v>
      </c>
      <c r="Y141" s="21">
        <v>4943.41</v>
      </c>
      <c r="Z141" s="154">
        <f>Levy!U141</f>
        <v>0</v>
      </c>
      <c r="AA141" s="3">
        <f>Levy!V141</f>
        <v>0</v>
      </c>
      <c r="AB141" s="3">
        <f t="shared" si="9"/>
        <v>11712.58</v>
      </c>
      <c r="AC141" s="3">
        <f t="shared" si="11"/>
        <v>51974.42</v>
      </c>
      <c r="AD141" s="3">
        <f t="shared" si="12"/>
        <v>12403</v>
      </c>
      <c r="AE141" s="3">
        <f>ROUND(MAX(0,(D141-V141)*Shift11!$B$3),2)</f>
        <v>3441.85</v>
      </c>
      <c r="AF141" s="3">
        <f t="shared" si="10"/>
        <v>4943.41</v>
      </c>
    </row>
    <row r="142" spans="1:32" x14ac:dyDescent="0.2">
      <c r="A142" s="18">
        <v>458</v>
      </c>
      <c r="B142" s="18">
        <v>1</v>
      </c>
      <c r="C142" s="3" t="s">
        <v>139</v>
      </c>
      <c r="D142" s="3">
        <f>Levy!F142</f>
        <v>414985.62</v>
      </c>
      <c r="E142" s="3">
        <f>Levy!G142</f>
        <v>6628.4</v>
      </c>
      <c r="F142" s="3">
        <f>Levy!H142</f>
        <v>0</v>
      </c>
      <c r="G142" s="3">
        <f>Levy!I142</f>
        <v>125765.62</v>
      </c>
      <c r="H142" s="3">
        <f>Levy!J142</f>
        <v>40478.730000000003</v>
      </c>
      <c r="I142" s="154">
        <v>0</v>
      </c>
      <c r="J142" s="19">
        <v>8000</v>
      </c>
      <c r="K142" s="19">
        <v>10000</v>
      </c>
      <c r="L142" s="19">
        <v>0</v>
      </c>
      <c r="M142" s="3">
        <v>0</v>
      </c>
      <c r="N142" s="3">
        <v>0</v>
      </c>
      <c r="O142" s="3">
        <v>0</v>
      </c>
      <c r="P142" s="19">
        <v>-12011.06</v>
      </c>
      <c r="Q142" s="19">
        <v>0</v>
      </c>
      <c r="R142" s="19">
        <v>0</v>
      </c>
      <c r="S142" s="19">
        <v>0</v>
      </c>
      <c r="T142" s="3">
        <v>0</v>
      </c>
      <c r="U142" s="3">
        <v>0</v>
      </c>
      <c r="V142" s="21">
        <v>0</v>
      </c>
      <c r="W142" s="21">
        <v>0</v>
      </c>
      <c r="X142" s="3">
        <v>9301.26</v>
      </c>
      <c r="Y142" s="21">
        <v>138045.48000000001</v>
      </c>
      <c r="Z142" s="154">
        <f>Levy!U142</f>
        <v>0</v>
      </c>
      <c r="AA142" s="3">
        <f>Levy!V142</f>
        <v>0</v>
      </c>
      <c r="AB142" s="3">
        <f t="shared" si="9"/>
        <v>5988.9400000000005</v>
      </c>
      <c r="AC142" s="3">
        <f t="shared" si="11"/>
        <v>117103.82</v>
      </c>
      <c r="AD142" s="3">
        <f t="shared" si="12"/>
        <v>40478.730000000003</v>
      </c>
      <c r="AE142" s="3">
        <f>ROUND(MAX(0,(D142-V142)*Shift11!$B$3),2)</f>
        <v>201683.01</v>
      </c>
      <c r="AF142" s="3">
        <f t="shared" si="10"/>
        <v>201683.01</v>
      </c>
    </row>
    <row r="143" spans="1:32" x14ac:dyDescent="0.2">
      <c r="A143" s="18">
        <v>463</v>
      </c>
      <c r="B143" s="18">
        <v>1</v>
      </c>
      <c r="C143" s="3" t="s">
        <v>140</v>
      </c>
      <c r="D143" s="3">
        <f>Levy!F143</f>
        <v>481092</v>
      </c>
      <c r="E143" s="3">
        <f>Levy!G143</f>
        <v>111372</v>
      </c>
      <c r="F143" s="3">
        <f>Levy!H143</f>
        <v>0</v>
      </c>
      <c r="G143" s="3">
        <f>Levy!I143</f>
        <v>56526</v>
      </c>
      <c r="H143" s="3">
        <f>Levy!J143</f>
        <v>57732</v>
      </c>
      <c r="I143" s="154">
        <v>0</v>
      </c>
      <c r="J143" s="19">
        <v>5700</v>
      </c>
      <c r="K143" s="19">
        <v>9999.27</v>
      </c>
      <c r="L143" s="19">
        <v>0</v>
      </c>
      <c r="M143" s="3">
        <v>0</v>
      </c>
      <c r="N143" s="3">
        <v>0</v>
      </c>
      <c r="O143" s="3">
        <v>0</v>
      </c>
      <c r="P143" s="19">
        <v>974.94</v>
      </c>
      <c r="Q143" s="19">
        <v>0</v>
      </c>
      <c r="R143" s="19">
        <v>0.73</v>
      </c>
      <c r="S143" s="19">
        <v>0</v>
      </c>
      <c r="T143" s="3">
        <v>0</v>
      </c>
      <c r="U143" s="3">
        <v>0</v>
      </c>
      <c r="V143" s="21">
        <v>0</v>
      </c>
      <c r="W143" s="21">
        <v>0</v>
      </c>
      <c r="X143" s="3">
        <v>0</v>
      </c>
      <c r="Y143" s="21">
        <v>32117.919999999998</v>
      </c>
      <c r="Z143" s="154">
        <f>Levy!U143</f>
        <v>0</v>
      </c>
      <c r="AA143" s="3">
        <f>Levy!V143</f>
        <v>0</v>
      </c>
      <c r="AB143" s="3">
        <f t="shared" si="9"/>
        <v>16674.939999999999</v>
      </c>
      <c r="AC143" s="3">
        <f t="shared" si="11"/>
        <v>151223.06</v>
      </c>
      <c r="AD143" s="3">
        <f t="shared" si="12"/>
        <v>57732</v>
      </c>
      <c r="AE143" s="3">
        <f>ROUND(MAX(0,(D143-V143)*Shift11!$B$3),2)</f>
        <v>233810.71</v>
      </c>
      <c r="AF143" s="3">
        <f t="shared" si="10"/>
        <v>233810.71</v>
      </c>
    </row>
    <row r="144" spans="1:32" x14ac:dyDescent="0.2">
      <c r="A144" s="18">
        <v>465</v>
      </c>
      <c r="B144" s="18">
        <v>1</v>
      </c>
      <c r="C144" s="3" t="s">
        <v>141</v>
      </c>
      <c r="D144" s="3">
        <f>Levy!F144</f>
        <v>948419</v>
      </c>
      <c r="E144" s="3">
        <f>Levy!G144</f>
        <v>150441</v>
      </c>
      <c r="F144" s="3">
        <f>Levy!H144</f>
        <v>0</v>
      </c>
      <c r="G144" s="3">
        <f>Levy!I144</f>
        <v>923881</v>
      </c>
      <c r="H144" s="3">
        <f>Levy!J144</f>
        <v>137334</v>
      </c>
      <c r="I144" s="154">
        <v>0</v>
      </c>
      <c r="J144" s="19">
        <v>7000</v>
      </c>
      <c r="K144" s="19">
        <v>35575.61</v>
      </c>
      <c r="L144" s="19">
        <v>0</v>
      </c>
      <c r="M144" s="3">
        <v>0</v>
      </c>
      <c r="N144" s="3">
        <v>0</v>
      </c>
      <c r="O144" s="3">
        <v>0</v>
      </c>
      <c r="P144" s="19">
        <v>4654.05</v>
      </c>
      <c r="Q144" s="19">
        <v>0</v>
      </c>
      <c r="R144" s="19">
        <v>0</v>
      </c>
      <c r="S144" s="19">
        <v>0</v>
      </c>
      <c r="T144" s="3">
        <v>0</v>
      </c>
      <c r="U144" s="3">
        <v>0</v>
      </c>
      <c r="V144" s="21">
        <v>0</v>
      </c>
      <c r="W144" s="21">
        <v>0</v>
      </c>
      <c r="X144" s="3">
        <v>0</v>
      </c>
      <c r="Y144" s="21">
        <v>97079.01</v>
      </c>
      <c r="Z144" s="154">
        <f>Levy!U144</f>
        <v>0</v>
      </c>
      <c r="AA144" s="3">
        <f>Levy!V144</f>
        <v>0</v>
      </c>
      <c r="AB144" s="3">
        <f t="shared" si="9"/>
        <v>47229.66</v>
      </c>
      <c r="AC144" s="3">
        <f t="shared" si="11"/>
        <v>1027092.34</v>
      </c>
      <c r="AD144" s="3">
        <f t="shared" si="12"/>
        <v>137334</v>
      </c>
      <c r="AE144" s="3">
        <f>ROUND(MAX(0,(D144-V144)*Shift11!$B$3),2)</f>
        <v>460931.63</v>
      </c>
      <c r="AF144" s="3">
        <f t="shared" si="10"/>
        <v>460931.63</v>
      </c>
    </row>
    <row r="145" spans="1:32" x14ac:dyDescent="0.2">
      <c r="A145" s="18">
        <v>466</v>
      </c>
      <c r="B145" s="18">
        <v>1</v>
      </c>
      <c r="C145" s="3" t="s">
        <v>142</v>
      </c>
      <c r="D145" s="3">
        <f>Levy!F145</f>
        <v>670676</v>
      </c>
      <c r="E145" s="3">
        <f>Levy!G145</f>
        <v>209866</v>
      </c>
      <c r="F145" s="3">
        <f>Levy!H145</f>
        <v>0</v>
      </c>
      <c r="G145" s="3">
        <f>Levy!I145</f>
        <v>563374</v>
      </c>
      <c r="H145" s="3">
        <f>Levy!J145</f>
        <v>132461</v>
      </c>
      <c r="I145" s="154">
        <v>0</v>
      </c>
      <c r="J145" s="19">
        <v>20250</v>
      </c>
      <c r="K145" s="19">
        <v>38976.199999999997</v>
      </c>
      <c r="L145" s="19">
        <v>0</v>
      </c>
      <c r="M145" s="3">
        <v>0</v>
      </c>
      <c r="N145" s="3">
        <v>0</v>
      </c>
      <c r="O145" s="3">
        <v>0</v>
      </c>
      <c r="P145" s="19">
        <v>2359.81</v>
      </c>
      <c r="Q145" s="19">
        <v>0</v>
      </c>
      <c r="R145" s="19">
        <v>-2226.9899999999998</v>
      </c>
      <c r="S145" s="19">
        <v>0</v>
      </c>
      <c r="T145" s="3">
        <v>0</v>
      </c>
      <c r="U145" s="3">
        <v>0</v>
      </c>
      <c r="V145" s="21">
        <v>0</v>
      </c>
      <c r="W145" s="21">
        <v>0</v>
      </c>
      <c r="X145" s="3">
        <v>0</v>
      </c>
      <c r="Y145" s="21">
        <v>84376.93</v>
      </c>
      <c r="Z145" s="154">
        <f>Levy!U145</f>
        <v>0</v>
      </c>
      <c r="AA145" s="3">
        <f>Levy!V145</f>
        <v>0</v>
      </c>
      <c r="AB145" s="3">
        <f t="shared" si="9"/>
        <v>59359.02</v>
      </c>
      <c r="AC145" s="3">
        <f t="shared" si="11"/>
        <v>713880.98</v>
      </c>
      <c r="AD145" s="3">
        <f t="shared" si="12"/>
        <v>132461</v>
      </c>
      <c r="AE145" s="3">
        <f>ROUND(MAX(0,(D145-V145)*Shift11!$B$3),2)</f>
        <v>325948.53999999998</v>
      </c>
      <c r="AF145" s="3">
        <f t="shared" si="10"/>
        <v>325948.53999999998</v>
      </c>
    </row>
    <row r="146" spans="1:32" x14ac:dyDescent="0.2">
      <c r="A146" s="18">
        <v>473</v>
      </c>
      <c r="B146" s="18">
        <v>1</v>
      </c>
      <c r="C146" s="3" t="s">
        <v>143</v>
      </c>
      <c r="D146" s="3">
        <f>Levy!F146</f>
        <v>0</v>
      </c>
      <c r="E146" s="3">
        <f>Levy!G146</f>
        <v>93172.53</v>
      </c>
      <c r="F146" s="3">
        <f>Levy!H146</f>
        <v>0</v>
      </c>
      <c r="G146" s="3">
        <f>Levy!I146</f>
        <v>220285.56</v>
      </c>
      <c r="H146" s="3">
        <f>Levy!J146</f>
        <v>38957.39</v>
      </c>
      <c r="I146" s="154">
        <v>0</v>
      </c>
      <c r="J146" s="19">
        <v>10000</v>
      </c>
      <c r="K146" s="19">
        <v>10088.030000000001</v>
      </c>
      <c r="L146" s="19">
        <v>0</v>
      </c>
      <c r="M146" s="3">
        <v>0</v>
      </c>
      <c r="N146" s="3">
        <v>0</v>
      </c>
      <c r="O146" s="3">
        <v>0</v>
      </c>
      <c r="P146" s="19">
        <v>18251.150000000001</v>
      </c>
      <c r="Q146" s="19">
        <v>0</v>
      </c>
      <c r="R146" s="19">
        <v>-88.03</v>
      </c>
      <c r="S146" s="19">
        <v>0</v>
      </c>
      <c r="T146" s="3">
        <v>0</v>
      </c>
      <c r="U146" s="3">
        <v>0</v>
      </c>
      <c r="V146" s="21">
        <v>0</v>
      </c>
      <c r="W146" s="21">
        <v>0</v>
      </c>
      <c r="X146" s="3">
        <v>3627.63</v>
      </c>
      <c r="Y146" s="21">
        <v>22384.46</v>
      </c>
      <c r="Z146" s="154">
        <f>Levy!U146</f>
        <v>0</v>
      </c>
      <c r="AA146" s="3">
        <f>Levy!V146</f>
        <v>0</v>
      </c>
      <c r="AB146" s="3">
        <f t="shared" si="9"/>
        <v>38251.15</v>
      </c>
      <c r="AC146" s="3">
        <f t="shared" si="11"/>
        <v>271579.31</v>
      </c>
      <c r="AD146" s="3">
        <f t="shared" si="12"/>
        <v>38957.39</v>
      </c>
      <c r="AE146" s="3">
        <f>ROUND(MAX(0,(D146-V146)*Shift11!$B$3),2)</f>
        <v>0</v>
      </c>
      <c r="AF146" s="3">
        <f t="shared" si="10"/>
        <v>22384.46</v>
      </c>
    </row>
    <row r="147" spans="1:32" x14ac:dyDescent="0.2">
      <c r="A147" s="18">
        <v>477</v>
      </c>
      <c r="B147" s="18">
        <v>1</v>
      </c>
      <c r="C147" s="3" t="s">
        <v>144</v>
      </c>
      <c r="D147" s="3">
        <f>Levy!F147</f>
        <v>975983.62</v>
      </c>
      <c r="E147" s="3">
        <f>Levy!G147</f>
        <v>352866.81</v>
      </c>
      <c r="F147" s="3">
        <f>Levy!H147</f>
        <v>0</v>
      </c>
      <c r="G147" s="3">
        <f>Levy!I147</f>
        <v>1147805.3899999999</v>
      </c>
      <c r="H147" s="3">
        <f>Levy!J147</f>
        <v>291397.33</v>
      </c>
      <c r="I147" s="154">
        <v>0</v>
      </c>
      <c r="J147" s="19">
        <v>30000</v>
      </c>
      <c r="K147" s="19">
        <v>66228</v>
      </c>
      <c r="L147" s="19">
        <v>0</v>
      </c>
      <c r="M147" s="3">
        <v>0</v>
      </c>
      <c r="N147" s="3">
        <v>0</v>
      </c>
      <c r="O147" s="3">
        <v>0</v>
      </c>
      <c r="P147" s="19">
        <v>8658.9500000000007</v>
      </c>
      <c r="Q147" s="19">
        <v>0</v>
      </c>
      <c r="R147" s="19">
        <v>-3945.6</v>
      </c>
      <c r="S147" s="19">
        <v>0</v>
      </c>
      <c r="T147" s="3">
        <v>0</v>
      </c>
      <c r="U147" s="3">
        <v>0</v>
      </c>
      <c r="V147" s="21">
        <v>0</v>
      </c>
      <c r="W147" s="21">
        <v>0</v>
      </c>
      <c r="X147" s="3">
        <v>0</v>
      </c>
      <c r="Y147" s="21">
        <v>117256.13</v>
      </c>
      <c r="Z147" s="154">
        <f>Levy!U147</f>
        <v>0</v>
      </c>
      <c r="AA147" s="3">
        <f>Levy!V147</f>
        <v>0</v>
      </c>
      <c r="AB147" s="3">
        <f t="shared" si="9"/>
        <v>100941.34999999999</v>
      </c>
      <c r="AC147" s="3">
        <f t="shared" si="11"/>
        <v>1399730.85</v>
      </c>
      <c r="AD147" s="3">
        <f t="shared" si="12"/>
        <v>291397.33</v>
      </c>
      <c r="AE147" s="3">
        <f>ROUND(MAX(0,(D147-V147)*Shift11!$B$3),2)</f>
        <v>474328.04</v>
      </c>
      <c r="AF147" s="3">
        <f t="shared" si="10"/>
        <v>474328.04</v>
      </c>
    </row>
    <row r="148" spans="1:32" x14ac:dyDescent="0.2">
      <c r="A148" s="18">
        <v>480</v>
      </c>
      <c r="B148" s="18">
        <v>1</v>
      </c>
      <c r="C148" s="3" t="s">
        <v>145</v>
      </c>
      <c r="D148" s="3">
        <f>Levy!F148</f>
        <v>488482.08</v>
      </c>
      <c r="E148" s="3">
        <f>Levy!G148</f>
        <v>95214.98</v>
      </c>
      <c r="F148" s="3">
        <f>Levy!H148</f>
        <v>0</v>
      </c>
      <c r="G148" s="3">
        <f>Levy!I148</f>
        <v>398843.61</v>
      </c>
      <c r="H148" s="3">
        <f>Levy!J148</f>
        <v>74239.17</v>
      </c>
      <c r="I148" s="154">
        <v>0</v>
      </c>
      <c r="J148" s="19">
        <v>7903.4</v>
      </c>
      <c r="K148" s="19">
        <v>12250.38</v>
      </c>
      <c r="L148" s="19">
        <v>0</v>
      </c>
      <c r="M148" s="3">
        <v>0</v>
      </c>
      <c r="N148" s="3">
        <v>0</v>
      </c>
      <c r="O148" s="3">
        <v>0</v>
      </c>
      <c r="P148" s="19">
        <v>4237.17</v>
      </c>
      <c r="Q148" s="19">
        <v>0</v>
      </c>
      <c r="R148" s="19">
        <v>-2250.38</v>
      </c>
      <c r="S148" s="19">
        <v>0</v>
      </c>
      <c r="T148" s="3">
        <v>0</v>
      </c>
      <c r="U148" s="3">
        <v>0</v>
      </c>
      <c r="V148" s="21">
        <v>0</v>
      </c>
      <c r="W148" s="21">
        <v>0</v>
      </c>
      <c r="X148" s="3">
        <v>0</v>
      </c>
      <c r="Y148" s="21">
        <v>0</v>
      </c>
      <c r="Z148" s="154">
        <f>Levy!U148</f>
        <v>0</v>
      </c>
      <c r="AA148" s="3">
        <f>Levy!V148</f>
        <v>0</v>
      </c>
      <c r="AB148" s="3">
        <f t="shared" si="9"/>
        <v>22140.569999999996</v>
      </c>
      <c r="AC148" s="3">
        <f t="shared" si="11"/>
        <v>471918.02</v>
      </c>
      <c r="AD148" s="3">
        <f t="shared" si="12"/>
        <v>74239.17</v>
      </c>
      <c r="AE148" s="3">
        <f>ROUND(MAX(0,(D148-V148)*Shift11!$B$3),2)</f>
        <v>237402.29</v>
      </c>
      <c r="AF148" s="3">
        <f t="shared" si="10"/>
        <v>237402.29</v>
      </c>
    </row>
    <row r="149" spans="1:32" x14ac:dyDescent="0.2">
      <c r="A149" s="18">
        <v>482</v>
      </c>
      <c r="B149" s="18">
        <v>1</v>
      </c>
      <c r="C149" s="3" t="s">
        <v>146</v>
      </c>
      <c r="D149" s="3">
        <f>Levy!F149</f>
        <v>1875819.97</v>
      </c>
      <c r="E149" s="3">
        <f>Levy!G149</f>
        <v>262407.53999999998</v>
      </c>
      <c r="F149" s="3">
        <f>Levy!H149</f>
        <v>0</v>
      </c>
      <c r="G149" s="3">
        <f>Levy!I149</f>
        <v>580320.51</v>
      </c>
      <c r="H149" s="3">
        <f>Levy!J149</f>
        <v>209180.83</v>
      </c>
      <c r="I149" s="154">
        <v>0</v>
      </c>
      <c r="J149" s="19">
        <v>40692.32</v>
      </c>
      <c r="K149" s="19">
        <v>99508.23</v>
      </c>
      <c r="L149" s="19">
        <v>0</v>
      </c>
      <c r="M149" s="3">
        <v>0</v>
      </c>
      <c r="N149" s="3">
        <v>0</v>
      </c>
      <c r="O149" s="3">
        <v>0</v>
      </c>
      <c r="P149" s="19">
        <v>26840.29</v>
      </c>
      <c r="Q149" s="19">
        <v>0</v>
      </c>
      <c r="R149" s="19">
        <v>-15784.25</v>
      </c>
      <c r="S149" s="19">
        <v>0</v>
      </c>
      <c r="T149" s="3">
        <v>0</v>
      </c>
      <c r="U149" s="3">
        <v>0</v>
      </c>
      <c r="V149" s="21">
        <v>0</v>
      </c>
      <c r="W149" s="21">
        <v>0</v>
      </c>
      <c r="X149" s="3">
        <v>0</v>
      </c>
      <c r="Y149" s="21">
        <v>98308.58</v>
      </c>
      <c r="Z149" s="154">
        <f>Levy!U149</f>
        <v>0</v>
      </c>
      <c r="AA149" s="3">
        <f>Levy!V149</f>
        <v>0</v>
      </c>
      <c r="AB149" s="3">
        <f t="shared" si="9"/>
        <v>151256.59</v>
      </c>
      <c r="AC149" s="3">
        <f t="shared" si="11"/>
        <v>691471.46</v>
      </c>
      <c r="AD149" s="3">
        <f t="shared" si="12"/>
        <v>209180.83</v>
      </c>
      <c r="AE149" s="3">
        <f>ROUND(MAX(0,(D149-V149)*Shift11!$B$3),2)</f>
        <v>911648.51</v>
      </c>
      <c r="AF149" s="3">
        <f t="shared" si="10"/>
        <v>911648.51</v>
      </c>
    </row>
    <row r="150" spans="1:32" x14ac:dyDescent="0.2">
      <c r="A150" s="18">
        <v>484</v>
      </c>
      <c r="B150" s="18">
        <v>1</v>
      </c>
      <c r="C150" s="3" t="s">
        <v>147</v>
      </c>
      <c r="D150" s="3">
        <f>Levy!F150</f>
        <v>393173.33</v>
      </c>
      <c r="E150" s="3">
        <f>Levy!G150</f>
        <v>82036.800000000003</v>
      </c>
      <c r="F150" s="3">
        <f>Levy!H150</f>
        <v>0</v>
      </c>
      <c r="G150" s="3">
        <f>Levy!I150</f>
        <v>245596.95</v>
      </c>
      <c r="H150" s="3">
        <f>Levy!J150</f>
        <v>50085.33</v>
      </c>
      <c r="I150" s="154">
        <v>0</v>
      </c>
      <c r="J150" s="19">
        <v>0</v>
      </c>
      <c r="K150" s="19">
        <v>0</v>
      </c>
      <c r="L150" s="19">
        <v>0</v>
      </c>
      <c r="M150" s="3">
        <v>0</v>
      </c>
      <c r="N150" s="3">
        <v>0</v>
      </c>
      <c r="O150" s="3">
        <v>0</v>
      </c>
      <c r="P150" s="19">
        <v>0</v>
      </c>
      <c r="Q150" s="19">
        <v>0</v>
      </c>
      <c r="R150" s="19">
        <v>0</v>
      </c>
      <c r="S150" s="19">
        <v>0</v>
      </c>
      <c r="T150" s="3">
        <v>0</v>
      </c>
      <c r="U150" s="3">
        <v>0</v>
      </c>
      <c r="V150" s="21">
        <v>0</v>
      </c>
      <c r="W150" s="21">
        <v>0</v>
      </c>
      <c r="X150" s="3">
        <v>0</v>
      </c>
      <c r="Y150" s="21">
        <v>31118.21</v>
      </c>
      <c r="Z150" s="154">
        <f>Levy!U150</f>
        <v>0</v>
      </c>
      <c r="AA150" s="3">
        <f>Levy!V150</f>
        <v>0</v>
      </c>
      <c r="AB150" s="3">
        <f t="shared" si="9"/>
        <v>0</v>
      </c>
      <c r="AC150" s="3">
        <f t="shared" si="11"/>
        <v>327633.75</v>
      </c>
      <c r="AD150" s="3">
        <f t="shared" si="12"/>
        <v>50085.33</v>
      </c>
      <c r="AE150" s="3">
        <f>ROUND(MAX(0,(D150-V150)*Shift11!$B$3),2)</f>
        <v>191082.23999999999</v>
      </c>
      <c r="AF150" s="3">
        <f t="shared" si="10"/>
        <v>191082.23999999999</v>
      </c>
    </row>
    <row r="151" spans="1:32" x14ac:dyDescent="0.2">
      <c r="A151" s="18">
        <v>485</v>
      </c>
      <c r="B151" s="18">
        <v>1</v>
      </c>
      <c r="C151" s="3" t="s">
        <v>148</v>
      </c>
      <c r="D151" s="3">
        <f>Levy!F151</f>
        <v>0</v>
      </c>
      <c r="E151" s="3">
        <f>Levy!G151</f>
        <v>95885.32</v>
      </c>
      <c r="F151" s="3">
        <f>Levy!H151</f>
        <v>0</v>
      </c>
      <c r="G151" s="3">
        <f>Levy!I151</f>
        <v>180059.47</v>
      </c>
      <c r="H151" s="3">
        <f>Levy!J151</f>
        <v>39381.300000000003</v>
      </c>
      <c r="I151" s="154">
        <v>0</v>
      </c>
      <c r="J151" s="19">
        <v>9748.8700000000008</v>
      </c>
      <c r="K151" s="19">
        <v>18549.12</v>
      </c>
      <c r="L151" s="19">
        <v>0</v>
      </c>
      <c r="M151" s="3">
        <v>0</v>
      </c>
      <c r="N151" s="3">
        <v>0</v>
      </c>
      <c r="O151" s="3">
        <v>0</v>
      </c>
      <c r="P151" s="19">
        <v>1626.86</v>
      </c>
      <c r="Q151" s="19">
        <v>0</v>
      </c>
      <c r="R151" s="19">
        <v>0</v>
      </c>
      <c r="S151" s="19">
        <v>0</v>
      </c>
      <c r="T151" s="3">
        <v>0</v>
      </c>
      <c r="U151" s="3">
        <v>0</v>
      </c>
      <c r="V151" s="21">
        <v>0</v>
      </c>
      <c r="W151" s="21">
        <v>0</v>
      </c>
      <c r="X151" s="3">
        <v>0</v>
      </c>
      <c r="Y151" s="21">
        <v>29270.26</v>
      </c>
      <c r="Z151" s="154">
        <f>Levy!U151</f>
        <v>0</v>
      </c>
      <c r="AA151" s="3">
        <f>Levy!V151</f>
        <v>0</v>
      </c>
      <c r="AB151" s="3">
        <f t="shared" si="9"/>
        <v>29924.85</v>
      </c>
      <c r="AC151" s="3">
        <f t="shared" si="11"/>
        <v>246019.94</v>
      </c>
      <c r="AD151" s="3">
        <f t="shared" si="12"/>
        <v>39381.300000000003</v>
      </c>
      <c r="AE151" s="3">
        <f>ROUND(MAX(0,(D151-V151)*Shift11!$B$3),2)</f>
        <v>0</v>
      </c>
      <c r="AF151" s="3">
        <f t="shared" si="10"/>
        <v>29270.26</v>
      </c>
    </row>
    <row r="152" spans="1:32" x14ac:dyDescent="0.2">
      <c r="A152" s="18">
        <v>486</v>
      </c>
      <c r="B152" s="18">
        <v>1</v>
      </c>
      <c r="C152" s="3" t="s">
        <v>149</v>
      </c>
      <c r="D152" s="3">
        <f>Levy!F152</f>
        <v>184106.64</v>
      </c>
      <c r="E152" s="3">
        <f>Levy!G152</f>
        <v>22730.47</v>
      </c>
      <c r="F152" s="3">
        <f>Levy!H152</f>
        <v>0</v>
      </c>
      <c r="G152" s="3">
        <f>Levy!I152</f>
        <v>81498.100000000006</v>
      </c>
      <c r="H152" s="3">
        <f>Levy!J152</f>
        <v>20583.900000000001</v>
      </c>
      <c r="I152" s="154">
        <v>0</v>
      </c>
      <c r="J152" s="19">
        <v>0</v>
      </c>
      <c r="K152" s="19">
        <v>0</v>
      </c>
      <c r="L152" s="19">
        <v>0</v>
      </c>
      <c r="M152" s="3">
        <v>0</v>
      </c>
      <c r="N152" s="3">
        <v>0</v>
      </c>
      <c r="O152" s="3">
        <v>0</v>
      </c>
      <c r="P152" s="19">
        <v>2489.89</v>
      </c>
      <c r="Q152" s="19">
        <v>0</v>
      </c>
      <c r="R152" s="19">
        <v>0</v>
      </c>
      <c r="S152" s="19">
        <v>0</v>
      </c>
      <c r="T152" s="3">
        <v>0</v>
      </c>
      <c r="U152" s="3">
        <v>0</v>
      </c>
      <c r="V152" s="21">
        <v>0</v>
      </c>
      <c r="W152" s="21">
        <v>0</v>
      </c>
      <c r="X152" s="3">
        <v>0</v>
      </c>
      <c r="Y152" s="21">
        <v>15148.78</v>
      </c>
      <c r="Z152" s="154">
        <f>Levy!U152</f>
        <v>0</v>
      </c>
      <c r="AA152" s="3">
        <f>Levy!V152</f>
        <v>0</v>
      </c>
      <c r="AB152" s="3">
        <f t="shared" si="9"/>
        <v>2489.89</v>
      </c>
      <c r="AC152" s="3">
        <f t="shared" si="11"/>
        <v>101738.68</v>
      </c>
      <c r="AD152" s="3">
        <f t="shared" si="12"/>
        <v>20583.900000000001</v>
      </c>
      <c r="AE152" s="3">
        <f>ROUND(MAX(0,(D152-V152)*Shift11!$B$3),2)</f>
        <v>89475.83</v>
      </c>
      <c r="AF152" s="3">
        <f t="shared" si="10"/>
        <v>89475.83</v>
      </c>
    </row>
    <row r="153" spans="1:32" x14ac:dyDescent="0.2">
      <c r="A153" s="18">
        <v>487</v>
      </c>
      <c r="B153" s="18">
        <v>1</v>
      </c>
      <c r="C153" s="3" t="s">
        <v>150</v>
      </c>
      <c r="D153" s="3">
        <f>Levy!F153</f>
        <v>108835.4</v>
      </c>
      <c r="E153" s="3">
        <f>Levy!G153</f>
        <v>17901.509999999998</v>
      </c>
      <c r="F153" s="3">
        <f>Levy!H153</f>
        <v>0</v>
      </c>
      <c r="G153" s="3">
        <f>Levy!I153</f>
        <v>0</v>
      </c>
      <c r="H153" s="3">
        <f>Levy!J153</f>
        <v>12741.06</v>
      </c>
      <c r="I153" s="154">
        <v>0</v>
      </c>
      <c r="J153" s="19">
        <v>0</v>
      </c>
      <c r="K153" s="19">
        <v>10000</v>
      </c>
      <c r="L153" s="19">
        <v>0</v>
      </c>
      <c r="M153" s="3">
        <v>0</v>
      </c>
      <c r="N153" s="3">
        <v>0</v>
      </c>
      <c r="O153" s="3">
        <v>0</v>
      </c>
      <c r="P153" s="19">
        <v>-6333.51</v>
      </c>
      <c r="Q153" s="19">
        <v>0</v>
      </c>
      <c r="R153" s="19">
        <v>0</v>
      </c>
      <c r="S153" s="19">
        <v>0</v>
      </c>
      <c r="T153" s="3">
        <v>0</v>
      </c>
      <c r="U153" s="3">
        <v>0</v>
      </c>
      <c r="V153" s="21">
        <v>0</v>
      </c>
      <c r="W153" s="21">
        <v>0</v>
      </c>
      <c r="X153" s="3">
        <v>0</v>
      </c>
      <c r="Y153" s="21">
        <v>32084.69</v>
      </c>
      <c r="Z153" s="154">
        <f>Levy!U153</f>
        <v>0</v>
      </c>
      <c r="AA153" s="3">
        <f>Levy!V153</f>
        <v>0</v>
      </c>
      <c r="AB153" s="3">
        <f t="shared" si="9"/>
        <v>3666.49</v>
      </c>
      <c r="AC153" s="3">
        <f t="shared" si="11"/>
        <v>14235.02</v>
      </c>
      <c r="AD153" s="3">
        <f t="shared" si="12"/>
        <v>12741.06</v>
      </c>
      <c r="AE153" s="3">
        <f>ROUND(MAX(0,(D153-V153)*Shift11!$B$3),2)</f>
        <v>52894</v>
      </c>
      <c r="AF153" s="3">
        <f t="shared" si="10"/>
        <v>52894</v>
      </c>
    </row>
    <row r="154" spans="1:32" x14ac:dyDescent="0.2">
      <c r="A154" s="18">
        <v>492</v>
      </c>
      <c r="B154" s="18">
        <v>1</v>
      </c>
      <c r="C154" s="3" t="s">
        <v>151</v>
      </c>
      <c r="D154" s="3">
        <f>Levy!F154</f>
        <v>1966879.58</v>
      </c>
      <c r="E154" s="3">
        <f>Levy!G154</f>
        <v>371396.55</v>
      </c>
      <c r="F154" s="3">
        <f>Levy!H154</f>
        <v>0</v>
      </c>
      <c r="G154" s="3">
        <f>Levy!I154</f>
        <v>1154943</v>
      </c>
      <c r="H154" s="3">
        <f>Levy!J154</f>
        <v>213076</v>
      </c>
      <c r="I154" s="154">
        <v>0</v>
      </c>
      <c r="J154" s="19">
        <v>50000</v>
      </c>
      <c r="K154" s="19">
        <v>77736</v>
      </c>
      <c r="L154" s="19">
        <v>0</v>
      </c>
      <c r="M154" s="3">
        <v>0</v>
      </c>
      <c r="N154" s="3">
        <v>0</v>
      </c>
      <c r="O154" s="3">
        <v>0</v>
      </c>
      <c r="P154" s="19">
        <v>16672.48</v>
      </c>
      <c r="Q154" s="19">
        <v>0</v>
      </c>
      <c r="R154" s="19">
        <v>1929.6</v>
      </c>
      <c r="S154" s="19">
        <v>-41787.480000000003</v>
      </c>
      <c r="T154" s="3">
        <v>0</v>
      </c>
      <c r="U154" s="3">
        <v>0</v>
      </c>
      <c r="V154" s="21">
        <v>0</v>
      </c>
      <c r="W154" s="21">
        <v>0</v>
      </c>
      <c r="X154" s="3">
        <v>61476.54</v>
      </c>
      <c r="Y154" s="21">
        <v>295941.48</v>
      </c>
      <c r="Z154" s="154">
        <f>Levy!U154</f>
        <v>0</v>
      </c>
      <c r="AA154" s="3">
        <f>Levy!V154</f>
        <v>0</v>
      </c>
      <c r="AB154" s="3">
        <f t="shared" si="9"/>
        <v>104550.6</v>
      </c>
      <c r="AC154" s="3">
        <f t="shared" si="11"/>
        <v>1360312.41</v>
      </c>
      <c r="AD154" s="3">
        <f t="shared" si="12"/>
        <v>213076</v>
      </c>
      <c r="AE154" s="3">
        <f>ROUND(MAX(0,(D154-V154)*Shift11!$B$3),2)</f>
        <v>955903.48</v>
      </c>
      <c r="AF154" s="3">
        <f t="shared" si="10"/>
        <v>955903.48</v>
      </c>
    </row>
    <row r="155" spans="1:32" x14ac:dyDescent="0.2">
      <c r="A155" s="18">
        <v>495</v>
      </c>
      <c r="B155" s="18">
        <v>1</v>
      </c>
      <c r="C155" s="3" t="s">
        <v>152</v>
      </c>
      <c r="D155" s="3">
        <f>Levy!F155</f>
        <v>336814</v>
      </c>
      <c r="E155" s="3">
        <f>Levy!G155</f>
        <v>19774</v>
      </c>
      <c r="F155" s="3">
        <f>Levy!H155</f>
        <v>0</v>
      </c>
      <c r="G155" s="3">
        <f>Levy!I155</f>
        <v>129942</v>
      </c>
      <c r="H155" s="3">
        <f>Levy!J155</f>
        <v>32960</v>
      </c>
      <c r="I155" s="154">
        <v>0</v>
      </c>
      <c r="J155" s="19">
        <v>5000</v>
      </c>
      <c r="K155" s="19">
        <v>10000</v>
      </c>
      <c r="L155" s="19">
        <v>0</v>
      </c>
      <c r="M155" s="3">
        <v>0</v>
      </c>
      <c r="N155" s="3">
        <v>0</v>
      </c>
      <c r="O155" s="3">
        <v>0</v>
      </c>
      <c r="P155" s="19">
        <v>-9302.09</v>
      </c>
      <c r="Q155" s="19">
        <v>0</v>
      </c>
      <c r="R155" s="19">
        <v>0</v>
      </c>
      <c r="S155" s="19">
        <v>0</v>
      </c>
      <c r="T155" s="3">
        <v>0</v>
      </c>
      <c r="U155" s="3">
        <v>0</v>
      </c>
      <c r="V155" s="21">
        <v>0</v>
      </c>
      <c r="W155" s="21">
        <v>0</v>
      </c>
      <c r="X155" s="3">
        <v>7031.72</v>
      </c>
      <c r="Y155" s="21">
        <v>55032.71</v>
      </c>
      <c r="Z155" s="154">
        <f>Levy!U155</f>
        <v>0</v>
      </c>
      <c r="AA155" s="3">
        <f>Levy!V155</f>
        <v>0</v>
      </c>
      <c r="AB155" s="3">
        <f t="shared" si="9"/>
        <v>5697.91</v>
      </c>
      <c r="AC155" s="3">
        <f t="shared" si="11"/>
        <v>136986.37</v>
      </c>
      <c r="AD155" s="3">
        <f t="shared" si="12"/>
        <v>32960</v>
      </c>
      <c r="AE155" s="3">
        <f>ROUND(MAX(0,(D155-V155)*Shift11!$B$3),2)</f>
        <v>163691.6</v>
      </c>
      <c r="AF155" s="3">
        <f t="shared" si="10"/>
        <v>163691.6</v>
      </c>
    </row>
    <row r="156" spans="1:32" x14ac:dyDescent="0.2">
      <c r="A156" s="18">
        <v>497</v>
      </c>
      <c r="B156" s="18">
        <v>1</v>
      </c>
      <c r="C156" s="3" t="s">
        <v>153</v>
      </c>
      <c r="D156" s="3">
        <f>Levy!F156</f>
        <v>100686</v>
      </c>
      <c r="E156" s="3">
        <f>Levy!G156</f>
        <v>13992</v>
      </c>
      <c r="F156" s="3">
        <f>Levy!H156</f>
        <v>0</v>
      </c>
      <c r="G156" s="3">
        <f>Levy!I156</f>
        <v>57791</v>
      </c>
      <c r="H156" s="3">
        <f>Levy!J156</f>
        <v>13882</v>
      </c>
      <c r="I156" s="154">
        <v>0</v>
      </c>
      <c r="J156" s="19">
        <v>1954</v>
      </c>
      <c r="K156" s="19">
        <v>0</v>
      </c>
      <c r="L156" s="19">
        <v>0</v>
      </c>
      <c r="M156" s="3">
        <v>0</v>
      </c>
      <c r="N156" s="3">
        <v>0</v>
      </c>
      <c r="O156" s="3">
        <v>0</v>
      </c>
      <c r="P156" s="19">
        <v>-3000</v>
      </c>
      <c r="Q156" s="19">
        <v>0</v>
      </c>
      <c r="R156" s="19">
        <v>0</v>
      </c>
      <c r="S156" s="19">
        <v>0</v>
      </c>
      <c r="T156" s="3">
        <v>0</v>
      </c>
      <c r="U156" s="3">
        <v>0</v>
      </c>
      <c r="V156" s="21">
        <v>0</v>
      </c>
      <c r="W156" s="21">
        <v>0</v>
      </c>
      <c r="X156" s="3">
        <v>3172.07</v>
      </c>
      <c r="Y156" s="21">
        <v>65196.27</v>
      </c>
      <c r="Z156" s="154">
        <f>Levy!U156</f>
        <v>0</v>
      </c>
      <c r="AA156" s="3">
        <f>Levy!V156</f>
        <v>0</v>
      </c>
      <c r="AB156" s="3">
        <f t="shared" si="9"/>
        <v>-1046</v>
      </c>
      <c r="AC156" s="3">
        <f t="shared" si="11"/>
        <v>69656.929999999993</v>
      </c>
      <c r="AD156" s="3">
        <f t="shared" si="12"/>
        <v>13882</v>
      </c>
      <c r="AE156" s="3">
        <f>ROUND(MAX(0,(D156-V156)*Shift11!$B$3),2)</f>
        <v>48933.4</v>
      </c>
      <c r="AF156" s="3">
        <f t="shared" si="10"/>
        <v>65196.27</v>
      </c>
    </row>
    <row r="157" spans="1:32" x14ac:dyDescent="0.2">
      <c r="A157" s="18">
        <v>499</v>
      </c>
      <c r="B157" s="18">
        <v>1</v>
      </c>
      <c r="C157" s="3" t="s">
        <v>154</v>
      </c>
      <c r="D157" s="3">
        <f>Levy!F157</f>
        <v>436370.79</v>
      </c>
      <c r="E157" s="3">
        <f>Levy!G157</f>
        <v>11527.5</v>
      </c>
      <c r="F157" s="3">
        <f>Levy!H157</f>
        <v>0</v>
      </c>
      <c r="G157" s="3">
        <f>Levy!I157</f>
        <v>246916.82</v>
      </c>
      <c r="H157" s="3">
        <f>Levy!J157</f>
        <v>48924.11</v>
      </c>
      <c r="I157" s="154">
        <v>0</v>
      </c>
      <c r="J157" s="19">
        <v>10000</v>
      </c>
      <c r="K157" s="19">
        <v>20903.07</v>
      </c>
      <c r="L157" s="19">
        <v>0</v>
      </c>
      <c r="M157" s="3">
        <v>0</v>
      </c>
      <c r="N157" s="3">
        <v>0</v>
      </c>
      <c r="O157" s="3">
        <v>0</v>
      </c>
      <c r="P157" s="19">
        <v>-4608.42</v>
      </c>
      <c r="Q157" s="19">
        <v>0</v>
      </c>
      <c r="R157" s="19">
        <v>0</v>
      </c>
      <c r="S157" s="19">
        <v>0</v>
      </c>
      <c r="T157" s="3">
        <v>0</v>
      </c>
      <c r="U157" s="3">
        <v>0</v>
      </c>
      <c r="V157" s="21">
        <v>0</v>
      </c>
      <c r="W157" s="21">
        <v>0</v>
      </c>
      <c r="X157" s="3">
        <v>0</v>
      </c>
      <c r="Y157" s="21">
        <v>112134.59</v>
      </c>
      <c r="Z157" s="154">
        <f>Levy!U157</f>
        <v>0</v>
      </c>
      <c r="AA157" s="3">
        <f>Levy!V157</f>
        <v>0</v>
      </c>
      <c r="AB157" s="3">
        <f t="shared" si="9"/>
        <v>26294.65</v>
      </c>
      <c r="AC157" s="3">
        <f t="shared" si="11"/>
        <v>232149.67</v>
      </c>
      <c r="AD157" s="3">
        <f t="shared" si="12"/>
        <v>48924.11</v>
      </c>
      <c r="AE157" s="3">
        <f>ROUND(MAX(0,(D157-V157)*Shift11!$B$3),2)</f>
        <v>212076.2</v>
      </c>
      <c r="AF157" s="3">
        <f t="shared" si="10"/>
        <v>212076.2</v>
      </c>
    </row>
    <row r="158" spans="1:32" x14ac:dyDescent="0.2">
      <c r="A158" s="18">
        <v>500</v>
      </c>
      <c r="B158" s="18">
        <v>1</v>
      </c>
      <c r="C158" s="3" t="s">
        <v>155</v>
      </c>
      <c r="D158" s="3">
        <f>Levy!F158</f>
        <v>715967.07</v>
      </c>
      <c r="E158" s="3">
        <f>Levy!G158</f>
        <v>22531.599999999999</v>
      </c>
      <c r="F158" s="3">
        <f>Levy!H158</f>
        <v>0</v>
      </c>
      <c r="G158" s="3">
        <f>Levy!I158</f>
        <v>229029</v>
      </c>
      <c r="H158" s="3">
        <f>Levy!J158</f>
        <v>49622</v>
      </c>
      <c r="I158" s="154">
        <v>0</v>
      </c>
      <c r="J158" s="19">
        <v>0</v>
      </c>
      <c r="K158" s="19">
        <v>16240</v>
      </c>
      <c r="L158" s="19">
        <v>0</v>
      </c>
      <c r="M158" s="3">
        <v>0</v>
      </c>
      <c r="N158" s="3">
        <v>0</v>
      </c>
      <c r="O158" s="3">
        <v>0</v>
      </c>
      <c r="P158" s="19">
        <v>93.35</v>
      </c>
      <c r="Q158" s="19">
        <v>0</v>
      </c>
      <c r="R158" s="19">
        <v>-1768.8</v>
      </c>
      <c r="S158" s="19">
        <v>0</v>
      </c>
      <c r="T158" s="3">
        <v>0</v>
      </c>
      <c r="U158" s="3">
        <v>0</v>
      </c>
      <c r="V158" s="21">
        <v>0</v>
      </c>
      <c r="W158" s="21">
        <v>0</v>
      </c>
      <c r="X158" s="3">
        <v>5199.95</v>
      </c>
      <c r="Y158" s="21">
        <v>97648.05</v>
      </c>
      <c r="Z158" s="154">
        <f>Levy!U158</f>
        <v>0</v>
      </c>
      <c r="AA158" s="3">
        <f>Levy!V158</f>
        <v>0</v>
      </c>
      <c r="AB158" s="3">
        <f t="shared" si="9"/>
        <v>14564.550000000001</v>
      </c>
      <c r="AC158" s="3">
        <f t="shared" si="11"/>
        <v>231796.1</v>
      </c>
      <c r="AD158" s="3">
        <f t="shared" si="12"/>
        <v>49622</v>
      </c>
      <c r="AE158" s="3">
        <f>ROUND(MAX(0,(D158-V158)*Shift11!$B$3),2)</f>
        <v>347960</v>
      </c>
      <c r="AF158" s="3">
        <f t="shared" si="10"/>
        <v>347960</v>
      </c>
    </row>
    <row r="159" spans="1:32" x14ac:dyDescent="0.2">
      <c r="A159" s="18">
        <v>505</v>
      </c>
      <c r="B159" s="18">
        <v>1</v>
      </c>
      <c r="C159" s="3" t="s">
        <v>156</v>
      </c>
      <c r="D159" s="3">
        <f>Levy!F159</f>
        <v>498534.68</v>
      </c>
      <c r="E159" s="3">
        <f>Levy!G159</f>
        <v>7782.64</v>
      </c>
      <c r="F159" s="3">
        <f>Levy!H159</f>
        <v>0</v>
      </c>
      <c r="G159" s="3">
        <f>Levy!I159</f>
        <v>162909.93</v>
      </c>
      <c r="H159" s="3">
        <f>Levy!J159</f>
        <v>41025.42</v>
      </c>
      <c r="I159" s="154">
        <v>0</v>
      </c>
      <c r="J159" s="19">
        <v>0</v>
      </c>
      <c r="K159" s="19">
        <v>17446.849999999999</v>
      </c>
      <c r="L159" s="19">
        <v>0</v>
      </c>
      <c r="M159" s="3">
        <v>0</v>
      </c>
      <c r="N159" s="3">
        <v>0</v>
      </c>
      <c r="O159" s="3">
        <v>0</v>
      </c>
      <c r="P159" s="19">
        <v>83.89</v>
      </c>
      <c r="Q159" s="19">
        <v>0</v>
      </c>
      <c r="R159" s="19">
        <v>0</v>
      </c>
      <c r="S159" s="19">
        <v>0</v>
      </c>
      <c r="T159" s="3">
        <v>0</v>
      </c>
      <c r="U159" s="3">
        <v>0</v>
      </c>
      <c r="V159" s="21">
        <v>0</v>
      </c>
      <c r="W159" s="21">
        <v>0</v>
      </c>
      <c r="X159" s="3">
        <v>2413.96</v>
      </c>
      <c r="Y159" s="21">
        <v>77554.06</v>
      </c>
      <c r="Z159" s="154">
        <f>Levy!U159</f>
        <v>0</v>
      </c>
      <c r="AA159" s="3">
        <f>Levy!V159</f>
        <v>0</v>
      </c>
      <c r="AB159" s="3">
        <f t="shared" si="9"/>
        <v>17530.739999999998</v>
      </c>
      <c r="AC159" s="3">
        <f t="shared" si="11"/>
        <v>150747.87</v>
      </c>
      <c r="AD159" s="3">
        <f t="shared" si="12"/>
        <v>41025.42</v>
      </c>
      <c r="AE159" s="3">
        <f>ROUND(MAX(0,(D159-V159)*Shift11!$B$3),2)</f>
        <v>242287.85</v>
      </c>
      <c r="AF159" s="3">
        <f t="shared" si="10"/>
        <v>242287.85</v>
      </c>
    </row>
    <row r="160" spans="1:32" x14ac:dyDescent="0.2">
      <c r="A160" s="18">
        <v>507</v>
      </c>
      <c r="B160" s="18">
        <v>1</v>
      </c>
      <c r="C160" s="3" t="s">
        <v>157</v>
      </c>
      <c r="D160" s="3">
        <f>Levy!F160</f>
        <v>191245</v>
      </c>
      <c r="E160" s="3">
        <f>Levy!G160</f>
        <v>39758</v>
      </c>
      <c r="F160" s="3">
        <f>Levy!H160</f>
        <v>0</v>
      </c>
      <c r="G160" s="3">
        <f>Levy!I160</f>
        <v>176444</v>
      </c>
      <c r="H160" s="3">
        <f>Levy!J160</f>
        <v>35950</v>
      </c>
      <c r="I160" s="154">
        <v>0</v>
      </c>
      <c r="J160" s="19">
        <v>14000</v>
      </c>
      <c r="K160" s="19">
        <v>10000</v>
      </c>
      <c r="L160" s="19">
        <v>0</v>
      </c>
      <c r="M160" s="3">
        <v>0</v>
      </c>
      <c r="N160" s="3">
        <v>0</v>
      </c>
      <c r="O160" s="3">
        <v>0</v>
      </c>
      <c r="P160" s="19">
        <v>-1643.89</v>
      </c>
      <c r="Q160" s="19">
        <v>0</v>
      </c>
      <c r="R160" s="19">
        <v>0</v>
      </c>
      <c r="S160" s="19">
        <v>0</v>
      </c>
      <c r="T160" s="3">
        <v>0</v>
      </c>
      <c r="U160" s="3">
        <v>0</v>
      </c>
      <c r="V160" s="21">
        <v>0</v>
      </c>
      <c r="W160" s="21">
        <v>0</v>
      </c>
      <c r="X160" s="3">
        <v>0</v>
      </c>
      <c r="Y160" s="21">
        <v>124645.82</v>
      </c>
      <c r="Z160" s="154">
        <f>Levy!U160</f>
        <v>0</v>
      </c>
      <c r="AA160" s="3">
        <f>Levy!V160</f>
        <v>0</v>
      </c>
      <c r="AB160" s="3">
        <f t="shared" si="9"/>
        <v>22356.11</v>
      </c>
      <c r="AC160" s="3">
        <f t="shared" si="11"/>
        <v>193845.89</v>
      </c>
      <c r="AD160" s="3">
        <f t="shared" si="12"/>
        <v>35950</v>
      </c>
      <c r="AE160" s="3">
        <f>ROUND(MAX(0,(D160-V160)*Shift11!$B$3),2)</f>
        <v>92945.07</v>
      </c>
      <c r="AF160" s="3">
        <f t="shared" si="10"/>
        <v>124645.82</v>
      </c>
    </row>
    <row r="161" spans="1:32" x14ac:dyDescent="0.2">
      <c r="A161" s="18">
        <v>508</v>
      </c>
      <c r="B161" s="18">
        <v>1</v>
      </c>
      <c r="C161" s="3" t="s">
        <v>158</v>
      </c>
      <c r="D161" s="3">
        <f>Levy!F161</f>
        <v>1000054</v>
      </c>
      <c r="E161" s="3">
        <f>Levy!G161</f>
        <v>204518</v>
      </c>
      <c r="F161" s="3">
        <f>Levy!H161</f>
        <v>440835</v>
      </c>
      <c r="G161" s="3">
        <f>Levy!I161</f>
        <v>846130</v>
      </c>
      <c r="H161" s="3">
        <f>Levy!J161</f>
        <v>137666</v>
      </c>
      <c r="I161" s="154">
        <v>0</v>
      </c>
      <c r="J161" s="19">
        <v>4500</v>
      </c>
      <c r="K161" s="19">
        <v>13410.07</v>
      </c>
      <c r="L161" s="19">
        <v>0</v>
      </c>
      <c r="M161" s="3">
        <v>0</v>
      </c>
      <c r="N161" s="3">
        <v>0</v>
      </c>
      <c r="O161" s="3">
        <v>0</v>
      </c>
      <c r="P161" s="19">
        <v>2700.84</v>
      </c>
      <c r="Q161" s="19">
        <v>0</v>
      </c>
      <c r="R161" s="19">
        <v>-5140.58</v>
      </c>
      <c r="S161" s="19">
        <v>0</v>
      </c>
      <c r="T161" s="3">
        <v>0</v>
      </c>
      <c r="U161" s="3">
        <v>0</v>
      </c>
      <c r="V161" s="21">
        <v>0</v>
      </c>
      <c r="W161" s="21">
        <v>0</v>
      </c>
      <c r="X161" s="3">
        <v>0</v>
      </c>
      <c r="Y161" s="21">
        <v>172318.92</v>
      </c>
      <c r="Z161" s="154">
        <f>Levy!U161</f>
        <v>0</v>
      </c>
      <c r="AA161" s="3">
        <f>Levy!V161</f>
        <v>0</v>
      </c>
      <c r="AB161" s="3">
        <f t="shared" si="9"/>
        <v>15470.33</v>
      </c>
      <c r="AC161" s="3">
        <f t="shared" si="11"/>
        <v>1476012.67</v>
      </c>
      <c r="AD161" s="3">
        <f t="shared" si="12"/>
        <v>137666</v>
      </c>
      <c r="AE161" s="3">
        <f>ROUND(MAX(0,(D161-V161)*Shift11!$B$3),2)</f>
        <v>486026.23999999999</v>
      </c>
      <c r="AF161" s="3">
        <f t="shared" si="10"/>
        <v>486026.23999999999</v>
      </c>
    </row>
    <row r="162" spans="1:32" x14ac:dyDescent="0.2">
      <c r="A162" s="18">
        <v>511</v>
      </c>
      <c r="B162" s="18">
        <v>1</v>
      </c>
      <c r="C162" s="3" t="s">
        <v>159</v>
      </c>
      <c r="D162" s="3">
        <f>Levy!F162</f>
        <v>316531.69</v>
      </c>
      <c r="E162" s="3">
        <f>Levy!G162</f>
        <v>23122.78</v>
      </c>
      <c r="F162" s="3">
        <f>Levy!H162</f>
        <v>0</v>
      </c>
      <c r="G162" s="3">
        <f>Levy!I162</f>
        <v>240120.04</v>
      </c>
      <c r="H162" s="3">
        <f>Levy!J162</f>
        <v>12318.48</v>
      </c>
      <c r="I162" s="154">
        <v>0</v>
      </c>
      <c r="J162" s="19">
        <v>0</v>
      </c>
      <c r="K162" s="19">
        <v>13483.15</v>
      </c>
      <c r="L162" s="19">
        <v>0</v>
      </c>
      <c r="M162" s="3">
        <v>0</v>
      </c>
      <c r="N162" s="3">
        <v>0</v>
      </c>
      <c r="O162" s="3">
        <v>0</v>
      </c>
      <c r="P162" s="19">
        <v>1162.92</v>
      </c>
      <c r="Q162" s="19">
        <v>0</v>
      </c>
      <c r="R162" s="19">
        <v>-3483.15</v>
      </c>
      <c r="S162" s="19">
        <v>0</v>
      </c>
      <c r="T162" s="3">
        <v>0</v>
      </c>
      <c r="U162" s="3">
        <v>0</v>
      </c>
      <c r="V162" s="21">
        <v>0</v>
      </c>
      <c r="W162" s="21">
        <v>0</v>
      </c>
      <c r="X162" s="3">
        <v>0</v>
      </c>
      <c r="Y162" s="21">
        <v>21485.18</v>
      </c>
      <c r="Z162" s="154">
        <f>Levy!U162</f>
        <v>0</v>
      </c>
      <c r="AA162" s="3">
        <f>Levy!V162</f>
        <v>0</v>
      </c>
      <c r="AB162" s="3">
        <f t="shared" si="9"/>
        <v>11162.92</v>
      </c>
      <c r="AC162" s="3">
        <f t="shared" si="11"/>
        <v>252079.9</v>
      </c>
      <c r="AD162" s="3">
        <f t="shared" si="12"/>
        <v>12318.48</v>
      </c>
      <c r="AE162" s="3">
        <f>ROUND(MAX(0,(D162-V162)*Shift11!$B$3),2)</f>
        <v>153834.4</v>
      </c>
      <c r="AF162" s="3">
        <f t="shared" si="10"/>
        <v>153834.4</v>
      </c>
    </row>
    <row r="163" spans="1:32" x14ac:dyDescent="0.2">
      <c r="A163" s="18">
        <v>513</v>
      </c>
      <c r="B163" s="18">
        <v>1</v>
      </c>
      <c r="C163" s="3" t="s">
        <v>160</v>
      </c>
      <c r="D163" s="3">
        <f>Levy!F163</f>
        <v>191793.76</v>
      </c>
      <c r="E163" s="3">
        <f>Levy!G163</f>
        <v>16376.58</v>
      </c>
      <c r="F163" s="3">
        <f>Levy!H163</f>
        <v>0</v>
      </c>
      <c r="G163" s="3">
        <f>Levy!I163</f>
        <v>88802.23</v>
      </c>
      <c r="H163" s="3">
        <f>Levy!J163</f>
        <v>14881.16</v>
      </c>
      <c r="I163" s="154">
        <v>0</v>
      </c>
      <c r="J163" s="19">
        <v>1000</v>
      </c>
      <c r="K163" s="19">
        <v>0</v>
      </c>
      <c r="L163" s="19">
        <v>0</v>
      </c>
      <c r="M163" s="3">
        <v>0</v>
      </c>
      <c r="N163" s="3">
        <v>0</v>
      </c>
      <c r="O163" s="3">
        <v>0</v>
      </c>
      <c r="P163" s="19">
        <v>-2357.52</v>
      </c>
      <c r="Q163" s="19">
        <v>0</v>
      </c>
      <c r="R163" s="19">
        <v>0</v>
      </c>
      <c r="S163" s="19">
        <v>0</v>
      </c>
      <c r="T163" s="3">
        <v>0</v>
      </c>
      <c r="U163" s="3">
        <v>0</v>
      </c>
      <c r="V163" s="21">
        <v>0</v>
      </c>
      <c r="W163" s="21">
        <v>0</v>
      </c>
      <c r="X163" s="3">
        <v>3066.79</v>
      </c>
      <c r="Y163" s="21">
        <v>33457.410000000003</v>
      </c>
      <c r="Z163" s="154">
        <f>Levy!U163</f>
        <v>0</v>
      </c>
      <c r="AA163" s="3">
        <f>Levy!V163</f>
        <v>0</v>
      </c>
      <c r="AB163" s="3">
        <f t="shared" si="9"/>
        <v>-1357.52</v>
      </c>
      <c r="AC163" s="3">
        <f t="shared" si="11"/>
        <v>103469.54</v>
      </c>
      <c r="AD163" s="3">
        <f t="shared" si="12"/>
        <v>14881.16</v>
      </c>
      <c r="AE163" s="3">
        <f>ROUND(MAX(0,(D163-V163)*Shift11!$B$3),2)</f>
        <v>93211.77</v>
      </c>
      <c r="AF163" s="3">
        <f t="shared" si="10"/>
        <v>93211.77</v>
      </c>
    </row>
    <row r="164" spans="1:32" x14ac:dyDescent="0.2">
      <c r="A164" s="18">
        <v>514</v>
      </c>
      <c r="B164" s="18">
        <v>1</v>
      </c>
      <c r="C164" s="3" t="s">
        <v>161</v>
      </c>
      <c r="D164" s="3">
        <f>Levy!F164</f>
        <v>109462.87</v>
      </c>
      <c r="E164" s="3">
        <f>Levy!G164</f>
        <v>4213.96</v>
      </c>
      <c r="F164" s="3">
        <f>Levy!H164</f>
        <v>0</v>
      </c>
      <c r="G164" s="3">
        <f>Levy!I164</f>
        <v>106750.43</v>
      </c>
      <c r="H164" s="3">
        <f>Levy!J164</f>
        <v>13280.86</v>
      </c>
      <c r="I164" s="154">
        <v>0</v>
      </c>
      <c r="J164" s="19">
        <v>11049.02</v>
      </c>
      <c r="K164" s="19">
        <v>10000</v>
      </c>
      <c r="L164" s="19">
        <v>0</v>
      </c>
      <c r="M164" s="3">
        <v>0</v>
      </c>
      <c r="N164" s="3">
        <v>0</v>
      </c>
      <c r="O164" s="3">
        <v>0</v>
      </c>
      <c r="P164" s="19">
        <v>4068.95</v>
      </c>
      <c r="Q164" s="19">
        <v>0</v>
      </c>
      <c r="R164" s="19">
        <v>-2931.69</v>
      </c>
      <c r="S164" s="19">
        <v>0</v>
      </c>
      <c r="T164" s="3">
        <v>0</v>
      </c>
      <c r="U164" s="3">
        <v>0</v>
      </c>
      <c r="V164" s="21">
        <v>0</v>
      </c>
      <c r="W164" s="21">
        <v>0</v>
      </c>
      <c r="X164" s="3">
        <v>0</v>
      </c>
      <c r="Y164" s="21">
        <v>57410.63</v>
      </c>
      <c r="Z164" s="154">
        <f>Levy!U164</f>
        <v>0</v>
      </c>
      <c r="AA164" s="3">
        <f>Levy!V164</f>
        <v>0</v>
      </c>
      <c r="AB164" s="3">
        <f t="shared" si="9"/>
        <v>22186.280000000002</v>
      </c>
      <c r="AC164" s="3">
        <f t="shared" si="11"/>
        <v>88778.11</v>
      </c>
      <c r="AD164" s="3">
        <f t="shared" si="12"/>
        <v>13280.86</v>
      </c>
      <c r="AE164" s="3">
        <f>ROUND(MAX(0,(D164-V164)*Shift11!$B$3),2)</f>
        <v>53198.95</v>
      </c>
      <c r="AF164" s="3">
        <f t="shared" si="10"/>
        <v>57410.63</v>
      </c>
    </row>
    <row r="165" spans="1:32" x14ac:dyDescent="0.2">
      <c r="A165" s="18">
        <v>516</v>
      </c>
      <c r="B165" s="18">
        <v>1</v>
      </c>
      <c r="C165" s="3" t="s">
        <v>162</v>
      </c>
      <c r="D165" s="3">
        <f>Levy!F165</f>
        <v>115039.57</v>
      </c>
      <c r="E165" s="3">
        <f>Levy!G165</f>
        <v>10554.7</v>
      </c>
      <c r="F165" s="3">
        <f>Levy!H165</f>
        <v>0</v>
      </c>
      <c r="G165" s="3">
        <f>Levy!I165</f>
        <v>25395.53</v>
      </c>
      <c r="H165" s="3">
        <f>Levy!J165</f>
        <v>16213.44</v>
      </c>
      <c r="I165" s="154">
        <v>0</v>
      </c>
      <c r="J165" s="19">
        <v>0</v>
      </c>
      <c r="K165" s="19">
        <v>10000</v>
      </c>
      <c r="L165" s="19">
        <v>0</v>
      </c>
      <c r="M165" s="3">
        <v>0</v>
      </c>
      <c r="N165" s="3">
        <v>0</v>
      </c>
      <c r="O165" s="3">
        <v>0</v>
      </c>
      <c r="P165" s="19">
        <v>-8000</v>
      </c>
      <c r="Q165" s="19">
        <v>0</v>
      </c>
      <c r="R165" s="19">
        <v>-10000</v>
      </c>
      <c r="S165" s="19">
        <v>0</v>
      </c>
      <c r="T165" s="3">
        <v>0</v>
      </c>
      <c r="U165" s="3">
        <v>0</v>
      </c>
      <c r="V165" s="21">
        <v>0</v>
      </c>
      <c r="W165" s="21">
        <v>0</v>
      </c>
      <c r="X165" s="3">
        <v>4004.15</v>
      </c>
      <c r="Y165" s="21">
        <v>43750.91</v>
      </c>
      <c r="Z165" s="154">
        <f>Levy!U165</f>
        <v>0</v>
      </c>
      <c r="AA165" s="3">
        <f>Levy!V165</f>
        <v>0</v>
      </c>
      <c r="AB165" s="3">
        <f t="shared" si="9"/>
        <v>-8000</v>
      </c>
      <c r="AC165" s="3">
        <f t="shared" si="11"/>
        <v>39946.080000000002</v>
      </c>
      <c r="AD165" s="3">
        <f t="shared" si="12"/>
        <v>16213.44</v>
      </c>
      <c r="AE165" s="3">
        <f>ROUND(MAX(0,(D165-V165)*Shift11!$B$3),2)</f>
        <v>55909.23</v>
      </c>
      <c r="AF165" s="3">
        <f t="shared" si="10"/>
        <v>55909.23</v>
      </c>
    </row>
    <row r="166" spans="1:32" x14ac:dyDescent="0.2">
      <c r="A166" s="18">
        <v>518</v>
      </c>
      <c r="B166" s="18">
        <v>1</v>
      </c>
      <c r="C166" s="3" t="s">
        <v>163</v>
      </c>
      <c r="D166" s="3">
        <f>Levy!F166</f>
        <v>1623793.07</v>
      </c>
      <c r="E166" s="3">
        <f>Levy!G166</f>
        <v>116152.34</v>
      </c>
      <c r="F166" s="3">
        <f>Levy!H166</f>
        <v>0</v>
      </c>
      <c r="G166" s="3">
        <f>Levy!I166</f>
        <v>385461.76000000001</v>
      </c>
      <c r="H166" s="3">
        <f>Levy!J166</f>
        <v>161599.26999999999</v>
      </c>
      <c r="I166" s="154">
        <v>0</v>
      </c>
      <c r="J166" s="19">
        <v>15000</v>
      </c>
      <c r="K166" s="19">
        <v>46667.44</v>
      </c>
      <c r="L166" s="19">
        <v>0</v>
      </c>
      <c r="M166" s="3">
        <v>0</v>
      </c>
      <c r="N166" s="3">
        <v>0</v>
      </c>
      <c r="O166" s="3">
        <v>0</v>
      </c>
      <c r="P166" s="19">
        <v>-11296.23</v>
      </c>
      <c r="Q166" s="19">
        <v>0</v>
      </c>
      <c r="R166" s="19">
        <v>0</v>
      </c>
      <c r="S166" s="19">
        <v>0</v>
      </c>
      <c r="T166" s="3">
        <v>0</v>
      </c>
      <c r="U166" s="3">
        <v>0</v>
      </c>
      <c r="V166" s="21">
        <v>0</v>
      </c>
      <c r="W166" s="21">
        <v>0</v>
      </c>
      <c r="X166" s="3">
        <v>0</v>
      </c>
      <c r="Y166" s="21">
        <v>75872.61</v>
      </c>
      <c r="Z166" s="154">
        <f>Levy!U166</f>
        <v>0</v>
      </c>
      <c r="AA166" s="3">
        <f>Levy!V166</f>
        <v>0</v>
      </c>
      <c r="AB166" s="3">
        <f t="shared" si="9"/>
        <v>50371.210000000006</v>
      </c>
      <c r="AC166" s="3">
        <f t="shared" si="11"/>
        <v>451242.89</v>
      </c>
      <c r="AD166" s="3">
        <f t="shared" si="12"/>
        <v>161599.26999999999</v>
      </c>
      <c r="AE166" s="3">
        <f>ROUND(MAX(0,(D166-V166)*Shift11!$B$3),2)</f>
        <v>789163.43</v>
      </c>
      <c r="AF166" s="3">
        <f t="shared" si="10"/>
        <v>789163.43</v>
      </c>
    </row>
    <row r="167" spans="1:32" x14ac:dyDescent="0.2">
      <c r="A167" s="18">
        <v>531</v>
      </c>
      <c r="B167" s="18">
        <v>1</v>
      </c>
      <c r="C167" s="3" t="s">
        <v>164</v>
      </c>
      <c r="D167" s="3">
        <f>Levy!F167</f>
        <v>159061</v>
      </c>
      <c r="E167" s="3">
        <f>Levy!G167</f>
        <v>191183</v>
      </c>
      <c r="F167" s="3">
        <f>Levy!H167</f>
        <v>0</v>
      </c>
      <c r="G167" s="3">
        <f>Levy!I167</f>
        <v>354840</v>
      </c>
      <c r="H167" s="3">
        <f>Levy!J167</f>
        <v>87399</v>
      </c>
      <c r="I167" s="154">
        <v>0</v>
      </c>
      <c r="J167" s="19">
        <v>5000</v>
      </c>
      <c r="K167" s="19">
        <v>29862.400000000001</v>
      </c>
      <c r="L167" s="19">
        <v>0</v>
      </c>
      <c r="M167" s="3">
        <v>0</v>
      </c>
      <c r="N167" s="3">
        <v>0</v>
      </c>
      <c r="O167" s="3">
        <v>0</v>
      </c>
      <c r="P167" s="19">
        <v>-5974.46</v>
      </c>
      <c r="Q167" s="19">
        <v>0</v>
      </c>
      <c r="R167" s="19">
        <v>-1606.4</v>
      </c>
      <c r="S167" s="19">
        <v>0</v>
      </c>
      <c r="T167" s="3">
        <v>0</v>
      </c>
      <c r="U167" s="3">
        <v>0</v>
      </c>
      <c r="V167" s="21">
        <v>0</v>
      </c>
      <c r="W167" s="21">
        <v>0</v>
      </c>
      <c r="X167" s="3">
        <v>0</v>
      </c>
      <c r="Y167" s="21">
        <v>45629.11</v>
      </c>
      <c r="Z167" s="154">
        <f>Levy!U167</f>
        <v>0</v>
      </c>
      <c r="AA167" s="3">
        <f>Levy!V167</f>
        <v>0</v>
      </c>
      <c r="AB167" s="3">
        <f t="shared" si="9"/>
        <v>27281.54</v>
      </c>
      <c r="AC167" s="3">
        <f t="shared" si="11"/>
        <v>518741.46</v>
      </c>
      <c r="AD167" s="3">
        <f t="shared" si="12"/>
        <v>87399</v>
      </c>
      <c r="AE167" s="3">
        <f>ROUND(MAX(0,(D167-V167)*Shift11!$B$3),2)</f>
        <v>77303.649999999994</v>
      </c>
      <c r="AF167" s="3">
        <f t="shared" si="10"/>
        <v>77303.649999999994</v>
      </c>
    </row>
    <row r="168" spans="1:32" x14ac:dyDescent="0.2">
      <c r="A168" s="18">
        <v>533</v>
      </c>
      <c r="B168" s="18">
        <v>1</v>
      </c>
      <c r="C168" s="3" t="s">
        <v>165</v>
      </c>
      <c r="D168" s="3">
        <f>Levy!F168</f>
        <v>69563</v>
      </c>
      <c r="E168" s="3">
        <f>Levy!G168</f>
        <v>119059</v>
      </c>
      <c r="F168" s="3">
        <f>Levy!H168</f>
        <v>0</v>
      </c>
      <c r="G168" s="3">
        <f>Levy!I168</f>
        <v>265839</v>
      </c>
      <c r="H168" s="3">
        <f>Levy!J168</f>
        <v>19559</v>
      </c>
      <c r="I168" s="154">
        <v>0</v>
      </c>
      <c r="J168" s="19">
        <v>5000</v>
      </c>
      <c r="K168" s="19">
        <v>17570.39</v>
      </c>
      <c r="L168" s="19">
        <v>0</v>
      </c>
      <c r="M168" s="3">
        <v>0</v>
      </c>
      <c r="N168" s="3">
        <v>0</v>
      </c>
      <c r="O168" s="3">
        <v>0</v>
      </c>
      <c r="P168" s="19">
        <v>-9565.9</v>
      </c>
      <c r="Q168" s="19">
        <v>0</v>
      </c>
      <c r="R168" s="19">
        <v>-720.82</v>
      </c>
      <c r="S168" s="19">
        <v>0</v>
      </c>
      <c r="T168" s="3">
        <v>0</v>
      </c>
      <c r="U168" s="3">
        <v>0</v>
      </c>
      <c r="V168" s="21">
        <v>0</v>
      </c>
      <c r="W168" s="21">
        <v>0</v>
      </c>
      <c r="X168" s="3">
        <v>0</v>
      </c>
      <c r="Y168" s="21">
        <v>0</v>
      </c>
      <c r="Z168" s="154">
        <f>Levy!U168</f>
        <v>0</v>
      </c>
      <c r="AA168" s="3">
        <f>Levy!V168</f>
        <v>0</v>
      </c>
      <c r="AB168" s="3">
        <f t="shared" si="9"/>
        <v>12283.67</v>
      </c>
      <c r="AC168" s="3">
        <f t="shared" si="11"/>
        <v>372614.33</v>
      </c>
      <c r="AD168" s="3">
        <f t="shared" si="12"/>
        <v>19559</v>
      </c>
      <c r="AE168" s="3">
        <f>ROUND(MAX(0,(D168-V168)*Shift11!$B$3),2)</f>
        <v>33807.620000000003</v>
      </c>
      <c r="AF168" s="3">
        <f t="shared" si="10"/>
        <v>33807.620000000003</v>
      </c>
    </row>
    <row r="169" spans="1:32" x14ac:dyDescent="0.2">
      <c r="A169" s="18">
        <v>534</v>
      </c>
      <c r="B169" s="18">
        <v>1</v>
      </c>
      <c r="C169" s="3" t="s">
        <v>166</v>
      </c>
      <c r="D169" s="3">
        <f>Levy!F169</f>
        <v>1072773</v>
      </c>
      <c r="E169" s="3">
        <f>Levy!G169</f>
        <v>158006</v>
      </c>
      <c r="F169" s="3">
        <f>Levy!H169</f>
        <v>0</v>
      </c>
      <c r="G169" s="3">
        <f>Levy!I169</f>
        <v>778090</v>
      </c>
      <c r="H169" s="3">
        <f>Levy!J169</f>
        <v>111524</v>
      </c>
      <c r="I169" s="154">
        <v>0</v>
      </c>
      <c r="J169" s="19">
        <v>15000</v>
      </c>
      <c r="K169" s="19">
        <v>32442.400000000001</v>
      </c>
      <c r="L169" s="19">
        <v>0</v>
      </c>
      <c r="M169" s="3">
        <v>0</v>
      </c>
      <c r="N169" s="3">
        <v>0</v>
      </c>
      <c r="O169" s="3">
        <v>0</v>
      </c>
      <c r="P169" s="19">
        <v>14684.32</v>
      </c>
      <c r="Q169" s="19">
        <v>0</v>
      </c>
      <c r="R169" s="19">
        <v>-782.4</v>
      </c>
      <c r="S169" s="19">
        <v>0</v>
      </c>
      <c r="T169" s="3">
        <v>0</v>
      </c>
      <c r="U169" s="3">
        <v>0</v>
      </c>
      <c r="V169" s="21">
        <v>0</v>
      </c>
      <c r="W169" s="21">
        <v>0</v>
      </c>
      <c r="X169" s="3">
        <v>13095.74</v>
      </c>
      <c r="Y169" s="21">
        <v>67031.990000000005</v>
      </c>
      <c r="Z169" s="154">
        <f>Levy!U169</f>
        <v>0</v>
      </c>
      <c r="AA169" s="3">
        <f>Levy!V169</f>
        <v>0</v>
      </c>
      <c r="AB169" s="3">
        <f t="shared" si="9"/>
        <v>61344.32</v>
      </c>
      <c r="AC169" s="3">
        <f t="shared" si="11"/>
        <v>861655.94</v>
      </c>
      <c r="AD169" s="3">
        <f t="shared" si="12"/>
        <v>111524</v>
      </c>
      <c r="AE169" s="3">
        <f>ROUND(MAX(0,(D169-V169)*Shift11!$B$3),2)</f>
        <v>521367.68</v>
      </c>
      <c r="AF169" s="3">
        <f t="shared" si="10"/>
        <v>521367.68</v>
      </c>
    </row>
    <row r="170" spans="1:32" x14ac:dyDescent="0.2">
      <c r="A170" s="18">
        <v>535</v>
      </c>
      <c r="B170" s="18">
        <v>1</v>
      </c>
      <c r="C170" s="3" t="s">
        <v>167</v>
      </c>
      <c r="D170" s="3">
        <f>Levy!F170</f>
        <v>8437595</v>
      </c>
      <c r="E170" s="3">
        <f>Levy!G170</f>
        <v>2513948</v>
      </c>
      <c r="F170" s="3">
        <f>Levy!H170</f>
        <v>0</v>
      </c>
      <c r="G170" s="3">
        <f>Levy!I170</f>
        <v>15314150</v>
      </c>
      <c r="H170" s="3">
        <f>Levy!J170</f>
        <v>1673782</v>
      </c>
      <c r="I170" s="154">
        <v>0</v>
      </c>
      <c r="J170" s="19">
        <v>186000</v>
      </c>
      <c r="K170" s="19">
        <v>262361.89</v>
      </c>
      <c r="L170" s="19">
        <v>0</v>
      </c>
      <c r="M170" s="3">
        <v>0</v>
      </c>
      <c r="N170" s="3">
        <v>0</v>
      </c>
      <c r="O170" s="3">
        <v>0</v>
      </c>
      <c r="P170" s="19">
        <v>43392.71</v>
      </c>
      <c r="Q170" s="19">
        <v>0</v>
      </c>
      <c r="R170" s="19">
        <v>-3977.24</v>
      </c>
      <c r="S170" s="19">
        <v>0</v>
      </c>
      <c r="T170" s="3">
        <v>0</v>
      </c>
      <c r="U170" s="3">
        <v>0</v>
      </c>
      <c r="V170" s="21">
        <v>0</v>
      </c>
      <c r="W170" s="21">
        <v>0</v>
      </c>
      <c r="X170" s="3">
        <v>317690.53999999998</v>
      </c>
      <c r="Y170" s="21">
        <v>1455888.91</v>
      </c>
      <c r="Z170" s="154">
        <f>Levy!U170</f>
        <v>0</v>
      </c>
      <c r="AA170" s="3">
        <f>Levy!V170</f>
        <v>0</v>
      </c>
      <c r="AB170" s="3">
        <f t="shared" si="9"/>
        <v>487777.36000000004</v>
      </c>
      <c r="AC170" s="3">
        <f t="shared" si="11"/>
        <v>17022630.100000001</v>
      </c>
      <c r="AD170" s="3">
        <f t="shared" si="12"/>
        <v>1673782</v>
      </c>
      <c r="AE170" s="3">
        <f>ROUND(MAX(0,(D170-V170)*Shift11!$B$3),2)</f>
        <v>4100671.17</v>
      </c>
      <c r="AF170" s="3">
        <f t="shared" si="10"/>
        <v>4100671.17</v>
      </c>
    </row>
    <row r="171" spans="1:32" x14ac:dyDescent="0.2">
      <c r="A171" s="18">
        <v>542</v>
      </c>
      <c r="B171" s="18">
        <v>1</v>
      </c>
      <c r="C171" s="3" t="s">
        <v>168</v>
      </c>
      <c r="D171" s="3">
        <f>Levy!F171</f>
        <v>0</v>
      </c>
      <c r="E171" s="3">
        <f>Levy!G171</f>
        <v>99445.66</v>
      </c>
      <c r="F171" s="3">
        <f>Levy!H171</f>
        <v>0</v>
      </c>
      <c r="G171" s="3">
        <f>Levy!I171</f>
        <v>251070.36</v>
      </c>
      <c r="H171" s="3">
        <f>Levy!J171</f>
        <v>61069.65</v>
      </c>
      <c r="I171" s="154">
        <v>0</v>
      </c>
      <c r="J171" s="19">
        <v>2000</v>
      </c>
      <c r="K171" s="19">
        <v>15455.13</v>
      </c>
      <c r="L171" s="19">
        <v>0</v>
      </c>
      <c r="M171" s="3">
        <v>0</v>
      </c>
      <c r="N171" s="3">
        <v>0</v>
      </c>
      <c r="O171" s="3">
        <v>0</v>
      </c>
      <c r="P171" s="19">
        <v>-2042.97</v>
      </c>
      <c r="Q171" s="19">
        <v>0</v>
      </c>
      <c r="R171" s="19">
        <v>0</v>
      </c>
      <c r="S171" s="19">
        <v>0</v>
      </c>
      <c r="T171" s="3">
        <v>0</v>
      </c>
      <c r="U171" s="3">
        <v>0</v>
      </c>
      <c r="V171" s="21">
        <v>0</v>
      </c>
      <c r="W171" s="21">
        <v>0</v>
      </c>
      <c r="X171" s="3">
        <v>0</v>
      </c>
      <c r="Y171" s="21">
        <v>0</v>
      </c>
      <c r="Z171" s="154">
        <f>Levy!U171</f>
        <v>0</v>
      </c>
      <c r="AA171" s="3">
        <f>Levy!V171</f>
        <v>0</v>
      </c>
      <c r="AB171" s="3">
        <f t="shared" si="9"/>
        <v>15412.159999999998</v>
      </c>
      <c r="AC171" s="3">
        <f t="shared" si="11"/>
        <v>335103.86</v>
      </c>
      <c r="AD171" s="3">
        <f t="shared" si="12"/>
        <v>61069.65</v>
      </c>
      <c r="AE171" s="3">
        <f>ROUND(MAX(0,(D171-V171)*Shift11!$B$3),2)</f>
        <v>0</v>
      </c>
      <c r="AF171" s="3">
        <f t="shared" si="10"/>
        <v>0</v>
      </c>
    </row>
    <row r="172" spans="1:32" x14ac:dyDescent="0.2">
      <c r="A172" s="18">
        <v>544</v>
      </c>
      <c r="B172" s="18">
        <v>1</v>
      </c>
      <c r="C172" s="3" t="s">
        <v>169</v>
      </c>
      <c r="D172" s="3">
        <f>Levy!F172</f>
        <v>1075444.6000000001</v>
      </c>
      <c r="E172" s="3">
        <f>Levy!G172</f>
        <v>431913.46</v>
      </c>
      <c r="F172" s="3">
        <f>Levy!H172</f>
        <v>0</v>
      </c>
      <c r="G172" s="3">
        <f>Levy!I172</f>
        <v>1415984.86</v>
      </c>
      <c r="H172" s="3">
        <f>Levy!J172</f>
        <v>219813.71</v>
      </c>
      <c r="I172" s="154">
        <v>0</v>
      </c>
      <c r="J172" s="19">
        <v>23286.51</v>
      </c>
      <c r="K172" s="19">
        <v>61643.199999999997</v>
      </c>
      <c r="L172" s="19">
        <v>0</v>
      </c>
      <c r="M172" s="3">
        <v>0</v>
      </c>
      <c r="N172" s="3">
        <v>0</v>
      </c>
      <c r="O172" s="3">
        <v>0</v>
      </c>
      <c r="P172" s="19">
        <v>25263.21</v>
      </c>
      <c r="Q172" s="19">
        <v>0</v>
      </c>
      <c r="R172" s="19">
        <v>2982.11</v>
      </c>
      <c r="S172" s="19">
        <v>0</v>
      </c>
      <c r="T172" s="3">
        <v>0</v>
      </c>
      <c r="U172" s="3">
        <v>0</v>
      </c>
      <c r="V172" s="21">
        <v>0</v>
      </c>
      <c r="W172" s="21">
        <v>0</v>
      </c>
      <c r="X172" s="3">
        <v>0</v>
      </c>
      <c r="Y172" s="21">
        <v>194521.26</v>
      </c>
      <c r="Z172" s="154">
        <f>Levy!U172</f>
        <v>0</v>
      </c>
      <c r="AA172" s="3">
        <f>Levy!V172</f>
        <v>0</v>
      </c>
      <c r="AB172" s="3">
        <f t="shared" si="9"/>
        <v>113175.02999999998</v>
      </c>
      <c r="AC172" s="3">
        <f t="shared" si="11"/>
        <v>1734723.29</v>
      </c>
      <c r="AD172" s="3">
        <f t="shared" si="12"/>
        <v>219813.71</v>
      </c>
      <c r="AE172" s="3">
        <f>ROUND(MAX(0,(D172-V172)*Shift11!$B$3),2)</f>
        <v>522666.08</v>
      </c>
      <c r="AF172" s="3">
        <f t="shared" si="10"/>
        <v>522666.08</v>
      </c>
    </row>
    <row r="173" spans="1:32" x14ac:dyDescent="0.2">
      <c r="A173" s="18">
        <v>545</v>
      </c>
      <c r="B173" s="18">
        <v>1</v>
      </c>
      <c r="C173" s="3" t="s">
        <v>170</v>
      </c>
      <c r="D173" s="3">
        <f>Levy!F173</f>
        <v>448578.04</v>
      </c>
      <c r="E173" s="3">
        <f>Levy!G173</f>
        <v>32644.23</v>
      </c>
      <c r="F173" s="3">
        <f>Levy!H173</f>
        <v>0</v>
      </c>
      <c r="G173" s="3">
        <f>Levy!I173</f>
        <v>181973.43</v>
      </c>
      <c r="H173" s="3">
        <f>Levy!J173</f>
        <v>41715.39</v>
      </c>
      <c r="I173" s="154">
        <v>0</v>
      </c>
      <c r="J173" s="19">
        <v>3000</v>
      </c>
      <c r="K173" s="19">
        <v>10000</v>
      </c>
      <c r="L173" s="19">
        <v>0</v>
      </c>
      <c r="M173" s="3">
        <v>0</v>
      </c>
      <c r="N173" s="3">
        <v>0</v>
      </c>
      <c r="O173" s="3">
        <v>0</v>
      </c>
      <c r="P173" s="19">
        <v>355.45</v>
      </c>
      <c r="Q173" s="19">
        <v>0</v>
      </c>
      <c r="R173" s="19">
        <v>-2150</v>
      </c>
      <c r="S173" s="19">
        <v>0</v>
      </c>
      <c r="T173" s="3">
        <v>0</v>
      </c>
      <c r="U173" s="3">
        <v>0</v>
      </c>
      <c r="V173" s="21">
        <v>0</v>
      </c>
      <c r="W173" s="21">
        <v>0</v>
      </c>
      <c r="X173" s="3">
        <v>0</v>
      </c>
      <c r="Y173" s="21">
        <v>37137.35</v>
      </c>
      <c r="Z173" s="154">
        <f>Levy!U173</f>
        <v>0</v>
      </c>
      <c r="AA173" s="3">
        <f>Levy!V173</f>
        <v>0</v>
      </c>
      <c r="AB173" s="3">
        <f t="shared" si="9"/>
        <v>11205.45</v>
      </c>
      <c r="AC173" s="3">
        <f t="shared" si="11"/>
        <v>203412.21</v>
      </c>
      <c r="AD173" s="3">
        <f t="shared" si="12"/>
        <v>41715.39</v>
      </c>
      <c r="AE173" s="3">
        <f>ROUND(MAX(0,(D173-V173)*Shift11!$B$3),2)</f>
        <v>218008.93</v>
      </c>
      <c r="AF173" s="3">
        <f t="shared" si="10"/>
        <v>218008.93</v>
      </c>
    </row>
    <row r="174" spans="1:32" x14ac:dyDescent="0.2">
      <c r="A174" s="18">
        <v>547</v>
      </c>
      <c r="B174" s="18">
        <v>1</v>
      </c>
      <c r="C174" s="3" t="s">
        <v>171</v>
      </c>
      <c r="D174" s="3">
        <f>Levy!F174</f>
        <v>537547.69999999995</v>
      </c>
      <c r="E174" s="3">
        <f>Levy!G174</f>
        <v>38681.79</v>
      </c>
      <c r="F174" s="3">
        <f>Levy!H174</f>
        <v>0</v>
      </c>
      <c r="G174" s="3">
        <f>Levy!I174</f>
        <v>115586</v>
      </c>
      <c r="H174" s="3">
        <f>Levy!J174</f>
        <v>56889.37</v>
      </c>
      <c r="I174" s="154">
        <v>0</v>
      </c>
      <c r="J174" s="19">
        <v>8000</v>
      </c>
      <c r="K174" s="19">
        <v>18089.939999999999</v>
      </c>
      <c r="L174" s="19">
        <v>0</v>
      </c>
      <c r="M174" s="3">
        <v>0</v>
      </c>
      <c r="N174" s="3">
        <v>0</v>
      </c>
      <c r="O174" s="3">
        <v>0</v>
      </c>
      <c r="P174" s="19">
        <v>-7500</v>
      </c>
      <c r="Q174" s="19">
        <v>0</v>
      </c>
      <c r="R174" s="19">
        <v>0</v>
      </c>
      <c r="S174" s="19">
        <v>0</v>
      </c>
      <c r="T174" s="3">
        <v>0</v>
      </c>
      <c r="U174" s="3">
        <v>0</v>
      </c>
      <c r="V174" s="21">
        <v>0</v>
      </c>
      <c r="W174" s="21">
        <v>0</v>
      </c>
      <c r="X174" s="3">
        <v>0</v>
      </c>
      <c r="Y174" s="21">
        <v>24144.3</v>
      </c>
      <c r="Z174" s="154">
        <f>Levy!U174</f>
        <v>0</v>
      </c>
      <c r="AA174" s="3">
        <f>Levy!V174</f>
        <v>0</v>
      </c>
      <c r="AB174" s="3">
        <f t="shared" si="9"/>
        <v>18589.939999999999</v>
      </c>
      <c r="AC174" s="3">
        <f t="shared" si="11"/>
        <v>135677.85</v>
      </c>
      <c r="AD174" s="3">
        <f t="shared" si="12"/>
        <v>56889.37</v>
      </c>
      <c r="AE174" s="3">
        <f>ROUND(MAX(0,(D174-V174)*Shift11!$B$3),2)</f>
        <v>261248.18</v>
      </c>
      <c r="AF174" s="3">
        <f t="shared" si="10"/>
        <v>261248.18</v>
      </c>
    </row>
    <row r="175" spans="1:32" x14ac:dyDescent="0.2">
      <c r="A175" s="18">
        <v>548</v>
      </c>
      <c r="B175" s="18">
        <v>1</v>
      </c>
      <c r="C175" s="3" t="s">
        <v>172</v>
      </c>
      <c r="D175" s="3">
        <f>Levy!F175</f>
        <v>0</v>
      </c>
      <c r="E175" s="3">
        <f>Levy!G175</f>
        <v>186859.97</v>
      </c>
      <c r="F175" s="3">
        <f>Levy!H175</f>
        <v>0</v>
      </c>
      <c r="G175" s="3">
        <f>Levy!I175</f>
        <v>323314.96999999997</v>
      </c>
      <c r="H175" s="3">
        <f>Levy!J175</f>
        <v>105509.15</v>
      </c>
      <c r="I175" s="154">
        <v>0</v>
      </c>
      <c r="J175" s="19">
        <v>6000</v>
      </c>
      <c r="K175" s="19">
        <v>22937.57</v>
      </c>
      <c r="L175" s="19">
        <v>0</v>
      </c>
      <c r="M175" s="3">
        <v>0</v>
      </c>
      <c r="N175" s="3">
        <v>0</v>
      </c>
      <c r="O175" s="3">
        <v>0</v>
      </c>
      <c r="P175" s="19">
        <v>2650.49</v>
      </c>
      <c r="Q175" s="19">
        <v>0</v>
      </c>
      <c r="R175" s="19">
        <v>0</v>
      </c>
      <c r="S175" s="19">
        <v>0</v>
      </c>
      <c r="T175" s="3">
        <v>0</v>
      </c>
      <c r="U175" s="3">
        <v>0</v>
      </c>
      <c r="V175" s="21">
        <v>0</v>
      </c>
      <c r="W175" s="21">
        <v>0</v>
      </c>
      <c r="X175" s="3">
        <v>0</v>
      </c>
      <c r="Y175" s="21">
        <v>0</v>
      </c>
      <c r="Z175" s="154">
        <f>Levy!U175</f>
        <v>0</v>
      </c>
      <c r="AA175" s="3">
        <f>Levy!V175</f>
        <v>0</v>
      </c>
      <c r="AB175" s="3">
        <f t="shared" si="9"/>
        <v>31588.059999999998</v>
      </c>
      <c r="AC175" s="3">
        <f t="shared" si="11"/>
        <v>478586.88</v>
      </c>
      <c r="AD175" s="3">
        <f t="shared" si="12"/>
        <v>105509.15</v>
      </c>
      <c r="AE175" s="3">
        <f>ROUND(MAX(0,(D175-V175)*Shift11!$B$3),2)</f>
        <v>0</v>
      </c>
      <c r="AF175" s="3">
        <f t="shared" si="10"/>
        <v>0</v>
      </c>
    </row>
    <row r="176" spans="1:32" x14ac:dyDescent="0.2">
      <c r="A176" s="18">
        <v>549</v>
      </c>
      <c r="B176" s="18">
        <v>1</v>
      </c>
      <c r="C176" s="3" t="s">
        <v>173</v>
      </c>
      <c r="D176" s="3">
        <f>Levy!F176</f>
        <v>0</v>
      </c>
      <c r="E176" s="3">
        <f>Levy!G176</f>
        <v>257858.01</v>
      </c>
      <c r="F176" s="3">
        <f>Levy!H176</f>
        <v>0</v>
      </c>
      <c r="G176" s="3">
        <f>Levy!I176</f>
        <v>781152.94</v>
      </c>
      <c r="H176" s="3">
        <f>Levy!J176</f>
        <v>136138.28</v>
      </c>
      <c r="I176" s="154">
        <v>0</v>
      </c>
      <c r="J176" s="19">
        <v>50000</v>
      </c>
      <c r="K176" s="19">
        <v>33770.83</v>
      </c>
      <c r="L176" s="19">
        <v>0</v>
      </c>
      <c r="M176" s="3">
        <v>0</v>
      </c>
      <c r="N176" s="3">
        <v>0</v>
      </c>
      <c r="O176" s="3">
        <v>0</v>
      </c>
      <c r="P176" s="19">
        <v>32932.26</v>
      </c>
      <c r="Q176" s="19">
        <v>0</v>
      </c>
      <c r="R176" s="19">
        <v>1217.97</v>
      </c>
      <c r="S176" s="19">
        <v>0</v>
      </c>
      <c r="T176" s="3">
        <v>0</v>
      </c>
      <c r="U176" s="3">
        <v>0</v>
      </c>
      <c r="V176" s="21">
        <v>0</v>
      </c>
      <c r="W176" s="21">
        <v>0</v>
      </c>
      <c r="X176" s="3">
        <v>0</v>
      </c>
      <c r="Y176" s="21">
        <v>134947.70000000001</v>
      </c>
      <c r="Z176" s="154">
        <f>Levy!U176</f>
        <v>0</v>
      </c>
      <c r="AA176" s="3">
        <f>Levy!V176</f>
        <v>0</v>
      </c>
      <c r="AB176" s="3">
        <f t="shared" si="9"/>
        <v>117921.06</v>
      </c>
      <c r="AC176" s="3">
        <f t="shared" si="11"/>
        <v>921089.89</v>
      </c>
      <c r="AD176" s="3">
        <f t="shared" si="12"/>
        <v>136138.28</v>
      </c>
      <c r="AE176" s="3">
        <f>ROUND(MAX(0,(D176-V176)*Shift11!$B$3),2)</f>
        <v>0</v>
      </c>
      <c r="AF176" s="3">
        <f t="shared" si="10"/>
        <v>134947.70000000001</v>
      </c>
    </row>
    <row r="177" spans="1:32" x14ac:dyDescent="0.2">
      <c r="A177" s="18">
        <v>550</v>
      </c>
      <c r="B177" s="18">
        <v>1</v>
      </c>
      <c r="C177" s="3" t="s">
        <v>174</v>
      </c>
      <c r="D177" s="3">
        <f>Levy!F177</f>
        <v>0</v>
      </c>
      <c r="E177" s="3">
        <f>Levy!G177</f>
        <v>60687.07</v>
      </c>
      <c r="F177" s="3">
        <f>Levy!H177</f>
        <v>0</v>
      </c>
      <c r="G177" s="3">
        <f>Levy!I177</f>
        <v>55961.01</v>
      </c>
      <c r="H177" s="3">
        <f>Levy!J177</f>
        <v>30785.06</v>
      </c>
      <c r="I177" s="154">
        <v>0</v>
      </c>
      <c r="J177" s="19">
        <v>3678.52</v>
      </c>
      <c r="K177" s="19">
        <v>10305.6</v>
      </c>
      <c r="L177" s="19">
        <v>0</v>
      </c>
      <c r="M177" s="3">
        <v>0</v>
      </c>
      <c r="N177" s="3">
        <v>0</v>
      </c>
      <c r="O177" s="3">
        <v>0</v>
      </c>
      <c r="P177" s="19">
        <v>-1515.69</v>
      </c>
      <c r="Q177" s="19">
        <v>0</v>
      </c>
      <c r="R177" s="19">
        <v>-305.60000000000002</v>
      </c>
      <c r="S177" s="19">
        <v>0</v>
      </c>
      <c r="T177" s="3">
        <v>0</v>
      </c>
      <c r="U177" s="3">
        <v>0</v>
      </c>
      <c r="V177" s="21">
        <v>0</v>
      </c>
      <c r="W177" s="21">
        <v>0</v>
      </c>
      <c r="X177" s="3">
        <v>0</v>
      </c>
      <c r="Y177" s="21">
        <v>11066.56</v>
      </c>
      <c r="Z177" s="154">
        <f>Levy!U177</f>
        <v>0</v>
      </c>
      <c r="AA177" s="3">
        <f>Levy!V177</f>
        <v>0</v>
      </c>
      <c r="AB177" s="3">
        <f t="shared" si="9"/>
        <v>12162.83</v>
      </c>
      <c r="AC177" s="3">
        <f t="shared" si="11"/>
        <v>104485.25</v>
      </c>
      <c r="AD177" s="3">
        <f t="shared" si="12"/>
        <v>30785.06</v>
      </c>
      <c r="AE177" s="3">
        <f>ROUND(MAX(0,(D177-V177)*Shift11!$B$3),2)</f>
        <v>0</v>
      </c>
      <c r="AF177" s="3">
        <f t="shared" si="10"/>
        <v>11066.56</v>
      </c>
    </row>
    <row r="178" spans="1:32" x14ac:dyDescent="0.2">
      <c r="A178" s="18">
        <v>553</v>
      </c>
      <c r="B178" s="18">
        <v>1</v>
      </c>
      <c r="C178" s="3" t="s">
        <v>175</v>
      </c>
      <c r="D178" s="3">
        <f>Levy!F178</f>
        <v>161210.74</v>
      </c>
      <c r="E178" s="3">
        <f>Levy!G178</f>
        <v>59067.05</v>
      </c>
      <c r="F178" s="3">
        <f>Levy!H178</f>
        <v>0</v>
      </c>
      <c r="G178" s="3">
        <f>Levy!I178</f>
        <v>82217.69</v>
      </c>
      <c r="H178" s="3">
        <f>Levy!J178</f>
        <v>39392.53</v>
      </c>
      <c r="I178" s="154">
        <v>0</v>
      </c>
      <c r="J178" s="19">
        <v>2000</v>
      </c>
      <c r="K178" s="19">
        <v>23150.959999999999</v>
      </c>
      <c r="L178" s="19">
        <v>0</v>
      </c>
      <c r="M178" s="3">
        <v>0</v>
      </c>
      <c r="N178" s="3">
        <v>0</v>
      </c>
      <c r="O178" s="3">
        <v>0</v>
      </c>
      <c r="P178" s="19">
        <v>8341.24</v>
      </c>
      <c r="Q178" s="19">
        <v>0</v>
      </c>
      <c r="R178" s="19">
        <v>0</v>
      </c>
      <c r="S178" s="19">
        <v>0</v>
      </c>
      <c r="T178" s="3">
        <v>0</v>
      </c>
      <c r="U178" s="3">
        <v>0</v>
      </c>
      <c r="V178" s="21">
        <v>0</v>
      </c>
      <c r="W178" s="21">
        <v>0</v>
      </c>
      <c r="X178" s="3">
        <v>0</v>
      </c>
      <c r="Y178" s="21">
        <v>19531.990000000002</v>
      </c>
      <c r="Z178" s="154">
        <f>Levy!U178</f>
        <v>0</v>
      </c>
      <c r="AA178" s="3">
        <f>Levy!V178</f>
        <v>0</v>
      </c>
      <c r="AB178" s="3">
        <f t="shared" si="9"/>
        <v>33492.199999999997</v>
      </c>
      <c r="AC178" s="3">
        <f t="shared" si="11"/>
        <v>107792.54</v>
      </c>
      <c r="AD178" s="3">
        <f t="shared" si="12"/>
        <v>39392.53</v>
      </c>
      <c r="AE178" s="3">
        <f>ROUND(MAX(0,(D178-V178)*Shift11!$B$3),2)</f>
        <v>78348.42</v>
      </c>
      <c r="AF178" s="3">
        <f t="shared" si="10"/>
        <v>78348.42</v>
      </c>
    </row>
    <row r="179" spans="1:32" x14ac:dyDescent="0.2">
      <c r="A179" s="18">
        <v>561</v>
      </c>
      <c r="B179" s="18">
        <v>1</v>
      </c>
      <c r="C179" s="3" t="s">
        <v>176</v>
      </c>
      <c r="D179" s="3">
        <f>Levy!F179</f>
        <v>115690.67</v>
      </c>
      <c r="E179" s="3">
        <f>Levy!G179</f>
        <v>3155.31</v>
      </c>
      <c r="F179" s="3">
        <f>Levy!H179</f>
        <v>0</v>
      </c>
      <c r="G179" s="3">
        <f>Levy!I179</f>
        <v>42722.37</v>
      </c>
      <c r="H179" s="3">
        <f>Levy!J179</f>
        <v>12365.41</v>
      </c>
      <c r="I179" s="154">
        <v>0</v>
      </c>
      <c r="J179" s="19">
        <v>1000</v>
      </c>
      <c r="K179" s="19">
        <v>0</v>
      </c>
      <c r="L179" s="19">
        <v>0</v>
      </c>
      <c r="M179" s="3">
        <v>0</v>
      </c>
      <c r="N179" s="3">
        <v>0</v>
      </c>
      <c r="O179" s="3">
        <v>0</v>
      </c>
      <c r="P179" s="19">
        <v>-957.36</v>
      </c>
      <c r="Q179" s="19">
        <v>0</v>
      </c>
      <c r="R179" s="19">
        <v>0</v>
      </c>
      <c r="S179" s="19">
        <v>0</v>
      </c>
      <c r="T179" s="3">
        <v>0</v>
      </c>
      <c r="U179" s="3">
        <v>0</v>
      </c>
      <c r="V179" s="21">
        <v>0</v>
      </c>
      <c r="W179" s="21">
        <v>0</v>
      </c>
      <c r="X179" s="3">
        <v>0</v>
      </c>
      <c r="Y179" s="21">
        <v>11548.19</v>
      </c>
      <c r="Z179" s="154">
        <f>Levy!U179</f>
        <v>0</v>
      </c>
      <c r="AA179" s="3">
        <f>Levy!V179</f>
        <v>0</v>
      </c>
      <c r="AB179" s="3">
        <f t="shared" si="9"/>
        <v>42.639999999999986</v>
      </c>
      <c r="AC179" s="3">
        <f t="shared" si="11"/>
        <v>45835.040000000001</v>
      </c>
      <c r="AD179" s="3">
        <f t="shared" si="12"/>
        <v>12365.41</v>
      </c>
      <c r="AE179" s="3">
        <f>ROUND(MAX(0,(D179-V179)*Shift11!$B$3),2)</f>
        <v>56225.67</v>
      </c>
      <c r="AF179" s="3">
        <f t="shared" si="10"/>
        <v>56225.67</v>
      </c>
    </row>
    <row r="180" spans="1:32" x14ac:dyDescent="0.2">
      <c r="A180" s="18">
        <v>564</v>
      </c>
      <c r="B180" s="18">
        <v>1</v>
      </c>
      <c r="C180" s="3" t="s">
        <v>177</v>
      </c>
      <c r="D180" s="3">
        <f>Levy!F180</f>
        <v>913328.56</v>
      </c>
      <c r="E180" s="3">
        <f>Levy!G180</f>
        <v>145958.14000000001</v>
      </c>
      <c r="F180" s="3">
        <f>Levy!H180</f>
        <v>0</v>
      </c>
      <c r="G180" s="3">
        <f>Levy!I180</f>
        <v>812476.25</v>
      </c>
      <c r="H180" s="3">
        <f>Levy!J180</f>
        <v>114851.4</v>
      </c>
      <c r="I180" s="154">
        <v>0</v>
      </c>
      <c r="J180" s="19">
        <v>42500</v>
      </c>
      <c r="K180" s="19">
        <v>43293.38</v>
      </c>
      <c r="L180" s="19">
        <v>0</v>
      </c>
      <c r="M180" s="3">
        <v>0</v>
      </c>
      <c r="N180" s="3">
        <v>0</v>
      </c>
      <c r="O180" s="3">
        <v>0</v>
      </c>
      <c r="P180" s="19">
        <v>546.02</v>
      </c>
      <c r="Q180" s="19">
        <v>0</v>
      </c>
      <c r="R180" s="19">
        <v>0</v>
      </c>
      <c r="S180" s="19">
        <v>0</v>
      </c>
      <c r="T180" s="3">
        <v>0</v>
      </c>
      <c r="U180" s="3">
        <v>0</v>
      </c>
      <c r="V180" s="21">
        <v>0</v>
      </c>
      <c r="W180" s="21">
        <v>0</v>
      </c>
      <c r="X180" s="3">
        <v>0</v>
      </c>
      <c r="Y180" s="21">
        <v>76655.520000000004</v>
      </c>
      <c r="Z180" s="154">
        <f>Levy!U180</f>
        <v>0</v>
      </c>
      <c r="AA180" s="3">
        <f>Levy!V180</f>
        <v>0</v>
      </c>
      <c r="AB180" s="3">
        <f t="shared" si="9"/>
        <v>86339.400000000009</v>
      </c>
      <c r="AC180" s="3">
        <f t="shared" si="11"/>
        <v>872094.99</v>
      </c>
      <c r="AD180" s="3">
        <f t="shared" si="12"/>
        <v>114851.4</v>
      </c>
      <c r="AE180" s="3">
        <f>ROUND(MAX(0,(D180-V180)*Shift11!$B$3),2)</f>
        <v>443877.68</v>
      </c>
      <c r="AF180" s="3">
        <f t="shared" si="10"/>
        <v>443877.68</v>
      </c>
    </row>
    <row r="181" spans="1:32" x14ac:dyDescent="0.2">
      <c r="A181" s="18">
        <v>577</v>
      </c>
      <c r="B181" s="18">
        <v>1</v>
      </c>
      <c r="C181" s="3" t="s">
        <v>178</v>
      </c>
      <c r="D181" s="3">
        <f>Levy!F181</f>
        <v>52905.25</v>
      </c>
      <c r="E181" s="3">
        <f>Levy!G181</f>
        <v>64473.64</v>
      </c>
      <c r="F181" s="3">
        <f>Levy!H181</f>
        <v>0</v>
      </c>
      <c r="G181" s="3">
        <f>Levy!I181</f>
        <v>222694.96</v>
      </c>
      <c r="H181" s="3">
        <f>Levy!J181</f>
        <v>38869.620000000003</v>
      </c>
      <c r="I181" s="154">
        <v>0</v>
      </c>
      <c r="J181" s="19">
        <v>25000</v>
      </c>
      <c r="K181" s="19">
        <v>10000</v>
      </c>
      <c r="L181" s="19">
        <v>0</v>
      </c>
      <c r="M181" s="3">
        <v>0</v>
      </c>
      <c r="N181" s="3">
        <v>0</v>
      </c>
      <c r="O181" s="3">
        <v>0</v>
      </c>
      <c r="P181" s="19">
        <v>-3400.96</v>
      </c>
      <c r="Q181" s="19">
        <v>0</v>
      </c>
      <c r="R181" s="19">
        <v>0</v>
      </c>
      <c r="S181" s="19">
        <v>0</v>
      </c>
      <c r="T181" s="3">
        <v>0</v>
      </c>
      <c r="U181" s="3">
        <v>0</v>
      </c>
      <c r="V181" s="21">
        <v>0</v>
      </c>
      <c r="W181" s="21">
        <v>0</v>
      </c>
      <c r="X181" s="3">
        <v>0</v>
      </c>
      <c r="Y181" s="21">
        <v>20976.46</v>
      </c>
      <c r="Z181" s="154">
        <f>Levy!U181</f>
        <v>0</v>
      </c>
      <c r="AA181" s="3">
        <f>Levy!V181</f>
        <v>0</v>
      </c>
      <c r="AB181" s="3">
        <f t="shared" si="9"/>
        <v>31599.040000000001</v>
      </c>
      <c r="AC181" s="3">
        <f t="shared" si="11"/>
        <v>255569.56</v>
      </c>
      <c r="AD181" s="3">
        <f t="shared" si="12"/>
        <v>38869.620000000003</v>
      </c>
      <c r="AE181" s="3">
        <f>ROUND(MAX(0,(D181-V181)*Shift11!$B$3),2)</f>
        <v>25711.95</v>
      </c>
      <c r="AF181" s="3">
        <f t="shared" si="10"/>
        <v>25711.95</v>
      </c>
    </row>
    <row r="182" spans="1:32" x14ac:dyDescent="0.2">
      <c r="A182" s="18">
        <v>578</v>
      </c>
      <c r="B182" s="18">
        <v>1</v>
      </c>
      <c r="C182" s="3" t="s">
        <v>179</v>
      </c>
      <c r="D182" s="3">
        <f>Levy!F182</f>
        <v>1336632.54</v>
      </c>
      <c r="E182" s="3">
        <f>Levy!G182</f>
        <v>153481.04999999999</v>
      </c>
      <c r="F182" s="3">
        <f>Levy!H182</f>
        <v>0</v>
      </c>
      <c r="G182" s="3">
        <f>Levy!I182</f>
        <v>604051.01</v>
      </c>
      <c r="H182" s="3">
        <f>Levy!J182</f>
        <v>132328.85</v>
      </c>
      <c r="I182" s="154">
        <v>0</v>
      </c>
      <c r="J182" s="19">
        <v>0</v>
      </c>
      <c r="K182" s="19">
        <v>31078.400000000001</v>
      </c>
      <c r="L182" s="19">
        <v>0</v>
      </c>
      <c r="M182" s="3">
        <v>0</v>
      </c>
      <c r="N182" s="3">
        <v>0</v>
      </c>
      <c r="O182" s="3">
        <v>0</v>
      </c>
      <c r="P182" s="19">
        <v>18936.75</v>
      </c>
      <c r="Q182" s="19">
        <v>-349.06</v>
      </c>
      <c r="R182" s="19">
        <v>0</v>
      </c>
      <c r="S182" s="19">
        <v>0</v>
      </c>
      <c r="T182" s="3">
        <v>0</v>
      </c>
      <c r="U182" s="3">
        <v>0</v>
      </c>
      <c r="V182" s="21">
        <v>0</v>
      </c>
      <c r="W182" s="21">
        <v>0</v>
      </c>
      <c r="X182" s="3">
        <v>0</v>
      </c>
      <c r="Y182" s="21">
        <v>95310.14</v>
      </c>
      <c r="Z182" s="154">
        <f>Levy!U182</f>
        <v>0</v>
      </c>
      <c r="AA182" s="3">
        <f>Levy!V182</f>
        <v>0</v>
      </c>
      <c r="AB182" s="3">
        <f t="shared" si="9"/>
        <v>49666.090000000004</v>
      </c>
      <c r="AC182" s="3">
        <f t="shared" si="11"/>
        <v>707865.97</v>
      </c>
      <c r="AD182" s="3">
        <f t="shared" si="12"/>
        <v>132328.85</v>
      </c>
      <c r="AE182" s="3">
        <f>ROUND(MAX(0,(D182-V182)*Shift11!$B$3),2)</f>
        <v>649603.41</v>
      </c>
      <c r="AF182" s="3">
        <f t="shared" si="10"/>
        <v>649603.41</v>
      </c>
    </row>
    <row r="183" spans="1:32" x14ac:dyDescent="0.2">
      <c r="A183" s="18">
        <v>581</v>
      </c>
      <c r="B183" s="18">
        <v>1</v>
      </c>
      <c r="C183" s="3" t="s">
        <v>180</v>
      </c>
      <c r="D183" s="3">
        <f>Levy!F183</f>
        <v>259854.75</v>
      </c>
      <c r="E183" s="3">
        <f>Levy!G183</f>
        <v>31849.72</v>
      </c>
      <c r="F183" s="3">
        <f>Levy!H183</f>
        <v>0</v>
      </c>
      <c r="G183" s="3">
        <f>Levy!I183</f>
        <v>134393.66</v>
      </c>
      <c r="H183" s="3">
        <f>Levy!J183</f>
        <v>32001.07</v>
      </c>
      <c r="I183" s="154">
        <v>0</v>
      </c>
      <c r="J183" s="19">
        <v>0</v>
      </c>
      <c r="K183" s="19">
        <v>10000</v>
      </c>
      <c r="L183" s="19">
        <v>0</v>
      </c>
      <c r="M183" s="3">
        <v>0</v>
      </c>
      <c r="N183" s="3">
        <v>0</v>
      </c>
      <c r="O183" s="3">
        <v>0</v>
      </c>
      <c r="P183" s="19">
        <v>-5000</v>
      </c>
      <c r="Q183" s="19">
        <v>0</v>
      </c>
      <c r="R183" s="19">
        <v>0</v>
      </c>
      <c r="S183" s="19">
        <v>0</v>
      </c>
      <c r="T183" s="3">
        <v>0</v>
      </c>
      <c r="U183" s="3">
        <v>0</v>
      </c>
      <c r="V183" s="21">
        <v>0</v>
      </c>
      <c r="W183" s="21">
        <v>0</v>
      </c>
      <c r="X183" s="3">
        <v>2335.4899999999998</v>
      </c>
      <c r="Y183" s="21">
        <v>52073.1</v>
      </c>
      <c r="Z183" s="154">
        <f>Levy!U183</f>
        <v>0</v>
      </c>
      <c r="AA183" s="3">
        <f>Levy!V183</f>
        <v>0</v>
      </c>
      <c r="AB183" s="3">
        <f t="shared" si="9"/>
        <v>5000</v>
      </c>
      <c r="AC183" s="3">
        <f t="shared" si="11"/>
        <v>158907.89000000001</v>
      </c>
      <c r="AD183" s="3">
        <f t="shared" si="12"/>
        <v>32001.07</v>
      </c>
      <c r="AE183" s="3">
        <f>ROUND(MAX(0,(D183-V183)*Shift11!$B$3),2)</f>
        <v>126289.41</v>
      </c>
      <c r="AF183" s="3">
        <f t="shared" si="10"/>
        <v>126289.41</v>
      </c>
    </row>
    <row r="184" spans="1:32" x14ac:dyDescent="0.2">
      <c r="A184" s="18">
        <v>592</v>
      </c>
      <c r="B184" s="18">
        <v>1</v>
      </c>
      <c r="C184" s="3" t="s">
        <v>181</v>
      </c>
      <c r="D184" s="3">
        <f>Levy!F184</f>
        <v>137408.88</v>
      </c>
      <c r="E184" s="3">
        <f>Levy!G184</f>
        <v>6633.55</v>
      </c>
      <c r="F184" s="3">
        <f>Levy!H184</f>
        <v>0</v>
      </c>
      <c r="G184" s="3">
        <f>Levy!I184</f>
        <v>67275.25</v>
      </c>
      <c r="H184" s="3">
        <f>Levy!J184</f>
        <v>11907.86</v>
      </c>
      <c r="I184" s="154">
        <v>0</v>
      </c>
      <c r="J184" s="19">
        <v>8500</v>
      </c>
      <c r="K184" s="19">
        <v>10000</v>
      </c>
      <c r="L184" s="19">
        <v>0</v>
      </c>
      <c r="M184" s="3">
        <v>0</v>
      </c>
      <c r="N184" s="3">
        <v>0</v>
      </c>
      <c r="O184" s="3">
        <v>0</v>
      </c>
      <c r="P184" s="19">
        <v>-8482.3799999999992</v>
      </c>
      <c r="Q184" s="19">
        <v>0</v>
      </c>
      <c r="R184" s="19">
        <v>0</v>
      </c>
      <c r="S184" s="19">
        <v>0</v>
      </c>
      <c r="T184" s="3">
        <v>0</v>
      </c>
      <c r="U184" s="3">
        <v>0</v>
      </c>
      <c r="V184" s="21">
        <v>0</v>
      </c>
      <c r="W184" s="21">
        <v>0</v>
      </c>
      <c r="X184" s="3">
        <v>0</v>
      </c>
      <c r="Y184" s="21">
        <v>59852.66</v>
      </c>
      <c r="Z184" s="154">
        <f>Levy!U184</f>
        <v>0</v>
      </c>
      <c r="AA184" s="3">
        <f>Levy!V184</f>
        <v>0</v>
      </c>
      <c r="AB184" s="3">
        <f t="shared" si="9"/>
        <v>10017.620000000001</v>
      </c>
      <c r="AC184" s="3">
        <f t="shared" si="11"/>
        <v>63891.18</v>
      </c>
      <c r="AD184" s="3">
        <f t="shared" si="12"/>
        <v>11907.86</v>
      </c>
      <c r="AE184" s="3">
        <f>ROUND(MAX(0,(D184-V184)*Shift11!$B$3),2)</f>
        <v>66780.72</v>
      </c>
      <c r="AF184" s="3">
        <f t="shared" si="10"/>
        <v>66780.72</v>
      </c>
    </row>
    <row r="185" spans="1:32" x14ac:dyDescent="0.2">
      <c r="A185" s="18">
        <v>593</v>
      </c>
      <c r="B185" s="18">
        <v>1</v>
      </c>
      <c r="C185" s="3" t="s">
        <v>182</v>
      </c>
      <c r="D185" s="3">
        <f>Levy!F185</f>
        <v>443144.27</v>
      </c>
      <c r="E185" s="3">
        <f>Levy!G185</f>
        <v>100240.85</v>
      </c>
      <c r="F185" s="3">
        <f>Levy!H185</f>
        <v>0</v>
      </c>
      <c r="G185" s="3">
        <f>Levy!I185</f>
        <v>558838.41</v>
      </c>
      <c r="H185" s="3">
        <f>Levy!J185</f>
        <v>127567.48</v>
      </c>
      <c r="I185" s="154">
        <v>0</v>
      </c>
      <c r="J185" s="19">
        <v>22248.58</v>
      </c>
      <c r="K185" s="19">
        <v>36483.379999999997</v>
      </c>
      <c r="L185" s="19">
        <v>0</v>
      </c>
      <c r="M185" s="3">
        <v>0</v>
      </c>
      <c r="N185" s="3">
        <v>0</v>
      </c>
      <c r="O185" s="3">
        <v>0</v>
      </c>
      <c r="P185" s="19">
        <v>-8469.9</v>
      </c>
      <c r="Q185" s="19">
        <v>0</v>
      </c>
      <c r="R185" s="19">
        <v>0</v>
      </c>
      <c r="S185" s="19">
        <v>0</v>
      </c>
      <c r="T185" s="3">
        <v>0</v>
      </c>
      <c r="U185" s="3">
        <v>0</v>
      </c>
      <c r="V185" s="21">
        <v>0</v>
      </c>
      <c r="W185" s="21">
        <v>0</v>
      </c>
      <c r="X185" s="3">
        <v>0</v>
      </c>
      <c r="Y185" s="21">
        <v>0</v>
      </c>
      <c r="Z185" s="154">
        <f>Levy!U185</f>
        <v>0</v>
      </c>
      <c r="AA185" s="3">
        <f>Levy!V185</f>
        <v>0</v>
      </c>
      <c r="AB185" s="3">
        <f t="shared" si="9"/>
        <v>50262.06</v>
      </c>
      <c r="AC185" s="3">
        <f t="shared" si="11"/>
        <v>608817.19999999995</v>
      </c>
      <c r="AD185" s="3">
        <f t="shared" si="12"/>
        <v>127567.48</v>
      </c>
      <c r="AE185" s="3">
        <f>ROUND(MAX(0,(D185-V185)*Shift11!$B$3),2)</f>
        <v>215368.12</v>
      </c>
      <c r="AF185" s="3">
        <f t="shared" si="10"/>
        <v>215368.12</v>
      </c>
    </row>
    <row r="186" spans="1:32" x14ac:dyDescent="0.2">
      <c r="A186" s="18">
        <v>595</v>
      </c>
      <c r="B186" s="18">
        <v>1</v>
      </c>
      <c r="C186" s="3" t="s">
        <v>183</v>
      </c>
      <c r="D186" s="3">
        <f>Levy!F186</f>
        <v>711191.11</v>
      </c>
      <c r="E186" s="3">
        <f>Levy!G186</f>
        <v>132695.16</v>
      </c>
      <c r="F186" s="3">
        <f>Levy!H186</f>
        <v>0</v>
      </c>
      <c r="G186" s="3">
        <f>Levy!I186</f>
        <v>518466.92</v>
      </c>
      <c r="H186" s="3">
        <f>Levy!J186</f>
        <v>109627.31</v>
      </c>
      <c r="I186" s="154">
        <v>0</v>
      </c>
      <c r="J186" s="19">
        <v>0</v>
      </c>
      <c r="K186" s="19">
        <v>46701.04</v>
      </c>
      <c r="L186" s="19">
        <v>0</v>
      </c>
      <c r="M186" s="3">
        <v>0</v>
      </c>
      <c r="N186" s="3">
        <v>0</v>
      </c>
      <c r="O186" s="3">
        <v>0</v>
      </c>
      <c r="P186" s="19">
        <v>-3926.3</v>
      </c>
      <c r="Q186" s="19">
        <v>0</v>
      </c>
      <c r="R186" s="19">
        <v>0</v>
      </c>
      <c r="S186" s="19">
        <v>0</v>
      </c>
      <c r="T186" s="3">
        <v>0</v>
      </c>
      <c r="U186" s="3">
        <v>0</v>
      </c>
      <c r="V186" s="21">
        <v>0</v>
      </c>
      <c r="W186" s="21">
        <v>0</v>
      </c>
      <c r="X186" s="3">
        <v>0</v>
      </c>
      <c r="Y186" s="21">
        <v>0</v>
      </c>
      <c r="Z186" s="154">
        <f>Levy!U186</f>
        <v>0</v>
      </c>
      <c r="AA186" s="3">
        <f>Levy!V186</f>
        <v>0</v>
      </c>
      <c r="AB186" s="3">
        <f t="shared" si="9"/>
        <v>42774.74</v>
      </c>
      <c r="AC186" s="3">
        <f t="shared" si="11"/>
        <v>608387.34</v>
      </c>
      <c r="AD186" s="3">
        <f t="shared" si="12"/>
        <v>109627.31</v>
      </c>
      <c r="AE186" s="3">
        <f>ROUND(MAX(0,(D186-V186)*Shift11!$B$3),2)</f>
        <v>345638.88</v>
      </c>
      <c r="AF186" s="3">
        <f t="shared" si="10"/>
        <v>345638.88</v>
      </c>
    </row>
    <row r="187" spans="1:32" x14ac:dyDescent="0.2">
      <c r="A187" s="18">
        <v>599</v>
      </c>
      <c r="B187" s="18">
        <v>1</v>
      </c>
      <c r="C187" s="3" t="s">
        <v>184</v>
      </c>
      <c r="D187" s="3">
        <f>Levy!F187</f>
        <v>432552.95</v>
      </c>
      <c r="E187" s="3">
        <f>Levy!G187</f>
        <v>35512.68</v>
      </c>
      <c r="F187" s="3">
        <f>Levy!H187</f>
        <v>0</v>
      </c>
      <c r="G187" s="3">
        <f>Levy!I187</f>
        <v>219901.7</v>
      </c>
      <c r="H187" s="3">
        <f>Levy!J187</f>
        <v>39382.949999999997</v>
      </c>
      <c r="I187" s="154">
        <v>0</v>
      </c>
      <c r="J187" s="19">
        <v>5000</v>
      </c>
      <c r="K187" s="19">
        <v>17446.849999999999</v>
      </c>
      <c r="L187" s="19">
        <v>0</v>
      </c>
      <c r="M187" s="3">
        <v>0</v>
      </c>
      <c r="N187" s="3">
        <v>0</v>
      </c>
      <c r="O187" s="3">
        <v>0</v>
      </c>
      <c r="P187" s="19">
        <v>-4977.32</v>
      </c>
      <c r="Q187" s="19">
        <v>0</v>
      </c>
      <c r="R187" s="19">
        <v>0</v>
      </c>
      <c r="S187" s="19">
        <v>0</v>
      </c>
      <c r="T187" s="3">
        <v>0</v>
      </c>
      <c r="U187" s="3">
        <v>0</v>
      </c>
      <c r="V187" s="21">
        <v>0</v>
      </c>
      <c r="W187" s="21">
        <v>0</v>
      </c>
      <c r="X187" s="3">
        <v>0</v>
      </c>
      <c r="Y187" s="21">
        <v>37537.56</v>
      </c>
      <c r="Z187" s="154">
        <f>Levy!U187</f>
        <v>0</v>
      </c>
      <c r="AA187" s="3">
        <f>Levy!V187</f>
        <v>0</v>
      </c>
      <c r="AB187" s="3">
        <f t="shared" si="9"/>
        <v>17469.53</v>
      </c>
      <c r="AC187" s="3">
        <f t="shared" si="11"/>
        <v>237944.85</v>
      </c>
      <c r="AD187" s="3">
        <f t="shared" si="12"/>
        <v>39382.949999999997</v>
      </c>
      <c r="AE187" s="3">
        <f>ROUND(MAX(0,(D187-V187)*Shift11!$B$3),2)</f>
        <v>210220.73</v>
      </c>
      <c r="AF187" s="3">
        <f t="shared" si="10"/>
        <v>210220.73</v>
      </c>
    </row>
    <row r="188" spans="1:32" x14ac:dyDescent="0.2">
      <c r="A188" s="18">
        <v>600</v>
      </c>
      <c r="B188" s="18">
        <v>1</v>
      </c>
      <c r="C188" s="3" t="s">
        <v>185</v>
      </c>
      <c r="D188" s="3">
        <f>Levy!F188</f>
        <v>71392.83</v>
      </c>
      <c r="E188" s="3">
        <f>Levy!G188</f>
        <v>17681.07</v>
      </c>
      <c r="F188" s="3">
        <f>Levy!H188</f>
        <v>0</v>
      </c>
      <c r="G188" s="3">
        <f>Levy!I188</f>
        <v>94461.51</v>
      </c>
      <c r="H188" s="3">
        <f>Levy!J188</f>
        <v>19012.080000000002</v>
      </c>
      <c r="I188" s="154">
        <v>0</v>
      </c>
      <c r="J188" s="19">
        <v>15210</v>
      </c>
      <c r="K188" s="19">
        <v>10000</v>
      </c>
      <c r="L188" s="19">
        <v>0</v>
      </c>
      <c r="M188" s="3">
        <v>0</v>
      </c>
      <c r="N188" s="3">
        <v>0</v>
      </c>
      <c r="O188" s="3">
        <v>0</v>
      </c>
      <c r="P188" s="19">
        <v>366.03</v>
      </c>
      <c r="Q188" s="19">
        <v>-15576.03</v>
      </c>
      <c r="R188" s="19">
        <v>0</v>
      </c>
      <c r="S188" s="19">
        <v>0</v>
      </c>
      <c r="T188" s="3">
        <v>0</v>
      </c>
      <c r="U188" s="3">
        <v>0</v>
      </c>
      <c r="V188" s="21">
        <v>0</v>
      </c>
      <c r="W188" s="21">
        <v>0</v>
      </c>
      <c r="X188" s="3">
        <v>0</v>
      </c>
      <c r="Y188" s="21">
        <v>75126.47</v>
      </c>
      <c r="Z188" s="154">
        <f>Levy!U188</f>
        <v>0</v>
      </c>
      <c r="AA188" s="3">
        <f>Levy!V188</f>
        <v>0</v>
      </c>
      <c r="AB188" s="3">
        <f t="shared" si="9"/>
        <v>9999.9999999999982</v>
      </c>
      <c r="AC188" s="3">
        <f t="shared" si="11"/>
        <v>102142.58</v>
      </c>
      <c r="AD188" s="3">
        <f t="shared" si="12"/>
        <v>19012.080000000002</v>
      </c>
      <c r="AE188" s="3">
        <f>ROUND(MAX(0,(D188-V188)*Shift11!$B$3),2)</f>
        <v>34696.92</v>
      </c>
      <c r="AF188" s="3">
        <f t="shared" si="10"/>
        <v>75126.47</v>
      </c>
    </row>
    <row r="189" spans="1:32" x14ac:dyDescent="0.2">
      <c r="A189" s="18">
        <v>601</v>
      </c>
      <c r="B189" s="18">
        <v>1</v>
      </c>
      <c r="C189" s="3" t="s">
        <v>186</v>
      </c>
      <c r="D189" s="3">
        <f>Levy!F189</f>
        <v>233058.43</v>
      </c>
      <c r="E189" s="3">
        <f>Levy!G189</f>
        <v>28659.9</v>
      </c>
      <c r="F189" s="3">
        <f>Levy!H189</f>
        <v>0</v>
      </c>
      <c r="G189" s="3">
        <f>Levy!I189</f>
        <v>262114.85</v>
      </c>
      <c r="H189" s="3">
        <f>Levy!J189</f>
        <v>43230.400000000001</v>
      </c>
      <c r="I189" s="154">
        <v>0</v>
      </c>
      <c r="J189" s="19">
        <v>0</v>
      </c>
      <c r="K189" s="19">
        <v>17446.849999999999</v>
      </c>
      <c r="L189" s="19">
        <v>0</v>
      </c>
      <c r="M189" s="3">
        <v>0</v>
      </c>
      <c r="N189" s="3">
        <v>0</v>
      </c>
      <c r="O189" s="3">
        <v>0</v>
      </c>
      <c r="P189" s="19">
        <v>-2666.13</v>
      </c>
      <c r="Q189" s="19">
        <v>0</v>
      </c>
      <c r="R189" s="19">
        <v>0</v>
      </c>
      <c r="S189" s="19">
        <v>0</v>
      </c>
      <c r="T189" s="3">
        <v>0</v>
      </c>
      <c r="U189" s="3">
        <v>0</v>
      </c>
      <c r="V189" s="21">
        <v>0</v>
      </c>
      <c r="W189" s="21">
        <v>0</v>
      </c>
      <c r="X189" s="3">
        <v>5949.94</v>
      </c>
      <c r="Y189" s="21">
        <v>10280.629999999999</v>
      </c>
      <c r="Z189" s="154">
        <f>Levy!U189</f>
        <v>0</v>
      </c>
      <c r="AA189" s="3">
        <f>Levy!V189</f>
        <v>0</v>
      </c>
      <c r="AB189" s="3">
        <f t="shared" si="9"/>
        <v>14780.719999999998</v>
      </c>
      <c r="AC189" s="3">
        <f t="shared" si="11"/>
        <v>270044.09000000003</v>
      </c>
      <c r="AD189" s="3">
        <f t="shared" si="12"/>
        <v>43230.400000000001</v>
      </c>
      <c r="AE189" s="3">
        <f>ROUND(MAX(0,(D189-V189)*Shift11!$B$3),2)</f>
        <v>113266.4</v>
      </c>
      <c r="AF189" s="3">
        <f t="shared" si="10"/>
        <v>113266.4</v>
      </c>
    </row>
    <row r="190" spans="1:32" x14ac:dyDescent="0.2">
      <c r="A190" s="18">
        <v>611</v>
      </c>
      <c r="B190" s="18">
        <v>1</v>
      </c>
      <c r="C190" s="3" t="s">
        <v>187</v>
      </c>
      <c r="D190" s="3">
        <f>Levy!F190</f>
        <v>32608</v>
      </c>
      <c r="E190" s="3">
        <f>Levy!G190</f>
        <v>3691</v>
      </c>
      <c r="F190" s="3">
        <f>Levy!H190</f>
        <v>0</v>
      </c>
      <c r="G190" s="3">
        <f>Levy!I190</f>
        <v>21180</v>
      </c>
      <c r="H190" s="3">
        <f>Levy!J190</f>
        <v>17245</v>
      </c>
      <c r="I190" s="154">
        <v>0</v>
      </c>
      <c r="J190" s="19">
        <v>12000</v>
      </c>
      <c r="K190" s="19">
        <v>0</v>
      </c>
      <c r="L190" s="19">
        <v>0</v>
      </c>
      <c r="M190" s="3">
        <v>0</v>
      </c>
      <c r="N190" s="3">
        <v>0</v>
      </c>
      <c r="O190" s="3">
        <v>0</v>
      </c>
      <c r="P190" s="19">
        <v>-9000</v>
      </c>
      <c r="Q190" s="19">
        <v>0</v>
      </c>
      <c r="R190" s="19">
        <v>0</v>
      </c>
      <c r="S190" s="19">
        <v>0</v>
      </c>
      <c r="T190" s="3">
        <v>0</v>
      </c>
      <c r="U190" s="3">
        <v>0</v>
      </c>
      <c r="V190" s="21">
        <v>0</v>
      </c>
      <c r="W190" s="21">
        <v>0</v>
      </c>
      <c r="X190" s="3">
        <v>0</v>
      </c>
      <c r="Y190" s="21">
        <v>23770.639999999999</v>
      </c>
      <c r="Z190" s="154">
        <f>Levy!U190</f>
        <v>0</v>
      </c>
      <c r="AA190" s="3">
        <f>Levy!V190</f>
        <v>0</v>
      </c>
      <c r="AB190" s="3">
        <f t="shared" si="9"/>
        <v>3000</v>
      </c>
      <c r="AC190" s="3">
        <f t="shared" si="11"/>
        <v>21871</v>
      </c>
      <c r="AD190" s="3">
        <f t="shared" si="12"/>
        <v>17245</v>
      </c>
      <c r="AE190" s="3">
        <f>ROUND(MAX(0,(D190-V190)*Shift11!$B$3),2)</f>
        <v>15847.49</v>
      </c>
      <c r="AF190" s="3">
        <f t="shared" si="10"/>
        <v>23770.639999999999</v>
      </c>
    </row>
    <row r="191" spans="1:32" x14ac:dyDescent="0.2">
      <c r="A191" s="18">
        <v>621</v>
      </c>
      <c r="B191" s="18">
        <v>1</v>
      </c>
      <c r="C191" s="3" t="s">
        <v>188</v>
      </c>
      <c r="D191" s="3">
        <f>Levy!F191</f>
        <v>17363998</v>
      </c>
      <c r="E191" s="3">
        <f>Levy!G191</f>
        <v>863432</v>
      </c>
      <c r="F191" s="3">
        <f>Levy!H191</f>
        <v>0</v>
      </c>
      <c r="G191" s="3">
        <f>Levy!I191</f>
        <v>7360372</v>
      </c>
      <c r="H191" s="3">
        <f>Levy!J191</f>
        <v>1068214</v>
      </c>
      <c r="I191" s="154">
        <v>0</v>
      </c>
      <c r="J191" s="19">
        <v>105377</v>
      </c>
      <c r="K191" s="19">
        <v>191457.6</v>
      </c>
      <c r="L191" s="19">
        <v>53263</v>
      </c>
      <c r="M191" s="3">
        <v>0</v>
      </c>
      <c r="N191" s="3">
        <v>0</v>
      </c>
      <c r="O191" s="3">
        <v>0</v>
      </c>
      <c r="P191" s="19">
        <v>-8337.18</v>
      </c>
      <c r="Q191" s="19">
        <v>0</v>
      </c>
      <c r="R191" s="19">
        <v>0</v>
      </c>
      <c r="S191" s="19">
        <v>-61338.66</v>
      </c>
      <c r="T191" s="3">
        <v>0</v>
      </c>
      <c r="U191" s="3">
        <v>0</v>
      </c>
      <c r="V191" s="21">
        <v>0</v>
      </c>
      <c r="W191" s="21">
        <v>0</v>
      </c>
      <c r="X191" s="3">
        <v>212864.42</v>
      </c>
      <c r="Y191" s="21">
        <v>2472890.44</v>
      </c>
      <c r="Z191" s="154">
        <f>Levy!U191</f>
        <v>0</v>
      </c>
      <c r="AA191" s="3">
        <f>Levy!V191</f>
        <v>0</v>
      </c>
      <c r="AB191" s="3">
        <f t="shared" si="9"/>
        <v>280421.76000000001</v>
      </c>
      <c r="AC191" s="3">
        <f t="shared" si="11"/>
        <v>7730517.8200000003</v>
      </c>
      <c r="AD191" s="3">
        <f t="shared" si="12"/>
        <v>1068214</v>
      </c>
      <c r="AE191" s="3">
        <f>ROUND(MAX(0,(D191-V191)*Shift11!$B$3),2)</f>
        <v>8438903.0299999993</v>
      </c>
      <c r="AF191" s="3">
        <f t="shared" si="10"/>
        <v>8438903.0299999993</v>
      </c>
    </row>
    <row r="192" spans="1:32" x14ac:dyDescent="0.2">
      <c r="A192" s="18">
        <v>622</v>
      </c>
      <c r="B192" s="18">
        <v>1</v>
      </c>
      <c r="C192" s="3" t="s">
        <v>189</v>
      </c>
      <c r="D192" s="3">
        <f>Levy!F192</f>
        <v>10589391</v>
      </c>
      <c r="E192" s="3">
        <f>Levy!G192</f>
        <v>1823123</v>
      </c>
      <c r="F192" s="3">
        <f>Levy!H192</f>
        <v>0</v>
      </c>
      <c r="G192" s="3">
        <f>Levy!I192</f>
        <v>6589632</v>
      </c>
      <c r="H192" s="3">
        <f>Levy!J192</f>
        <v>1533337</v>
      </c>
      <c r="I192" s="154">
        <v>0</v>
      </c>
      <c r="J192" s="19">
        <v>169873.02</v>
      </c>
      <c r="K192" s="19">
        <v>251596.79999999999</v>
      </c>
      <c r="L192" s="19">
        <v>0</v>
      </c>
      <c r="M192" s="3">
        <v>0</v>
      </c>
      <c r="N192" s="3">
        <v>0</v>
      </c>
      <c r="O192" s="3">
        <v>0</v>
      </c>
      <c r="P192" s="19">
        <v>-21348.61</v>
      </c>
      <c r="Q192" s="19">
        <v>0</v>
      </c>
      <c r="R192" s="19">
        <v>6718.4</v>
      </c>
      <c r="S192" s="19">
        <v>0</v>
      </c>
      <c r="T192" s="3">
        <v>0</v>
      </c>
      <c r="U192" s="3">
        <v>0</v>
      </c>
      <c r="V192" s="21">
        <v>0</v>
      </c>
      <c r="W192" s="21">
        <v>0</v>
      </c>
      <c r="X192" s="3">
        <v>46112.3</v>
      </c>
      <c r="Y192" s="21">
        <v>2611114.7599999998</v>
      </c>
      <c r="Z192" s="154">
        <f>Levy!U192</f>
        <v>0</v>
      </c>
      <c r="AA192" s="3">
        <f>Levy!V192</f>
        <v>0</v>
      </c>
      <c r="AB192" s="3">
        <f t="shared" si="9"/>
        <v>406839.61</v>
      </c>
      <c r="AC192" s="3">
        <f t="shared" si="11"/>
        <v>7959803.0899999999</v>
      </c>
      <c r="AD192" s="3">
        <f t="shared" si="12"/>
        <v>1533337</v>
      </c>
      <c r="AE192" s="3">
        <f>ROUND(MAX(0,(D192-V192)*Shift11!$B$3),2)</f>
        <v>5146444.03</v>
      </c>
      <c r="AF192" s="3">
        <f t="shared" si="10"/>
        <v>5146444.03</v>
      </c>
    </row>
    <row r="193" spans="1:32" x14ac:dyDescent="0.2">
      <c r="A193" s="18">
        <v>623</v>
      </c>
      <c r="B193" s="18">
        <v>1</v>
      </c>
      <c r="C193" s="3" t="s">
        <v>190</v>
      </c>
      <c r="D193" s="3">
        <f>Levy!F193</f>
        <v>11340470</v>
      </c>
      <c r="E193" s="3">
        <f>Levy!G193</f>
        <v>901093</v>
      </c>
      <c r="F193" s="3">
        <f>Levy!H193</f>
        <v>0</v>
      </c>
      <c r="G193" s="3">
        <f>Levy!I193</f>
        <v>4164378</v>
      </c>
      <c r="H193" s="3">
        <f>Levy!J193</f>
        <v>859259</v>
      </c>
      <c r="I193" s="154">
        <v>0</v>
      </c>
      <c r="J193" s="19">
        <v>110000</v>
      </c>
      <c r="K193" s="19">
        <v>136412</v>
      </c>
      <c r="L193" s="19">
        <v>0</v>
      </c>
      <c r="M193" s="3">
        <v>0</v>
      </c>
      <c r="N193" s="3">
        <v>0</v>
      </c>
      <c r="O193" s="3">
        <v>0</v>
      </c>
      <c r="P193" s="19">
        <v>47866.51</v>
      </c>
      <c r="Q193" s="19">
        <v>0</v>
      </c>
      <c r="R193" s="19">
        <v>-4409.6000000000004</v>
      </c>
      <c r="S193" s="19">
        <v>0</v>
      </c>
      <c r="T193" s="3">
        <v>0</v>
      </c>
      <c r="U193" s="3">
        <v>0</v>
      </c>
      <c r="V193" s="21">
        <v>0</v>
      </c>
      <c r="W193" s="21">
        <v>0</v>
      </c>
      <c r="X193" s="3">
        <v>0</v>
      </c>
      <c r="Y193" s="21">
        <v>2907226.7</v>
      </c>
      <c r="Z193" s="154">
        <f>Levy!U193</f>
        <v>0</v>
      </c>
      <c r="AA193" s="3">
        <f>Levy!V193</f>
        <v>0</v>
      </c>
      <c r="AB193" s="3">
        <f t="shared" si="9"/>
        <v>289868.91000000003</v>
      </c>
      <c r="AC193" s="3">
        <f t="shared" si="11"/>
        <v>4775602.09</v>
      </c>
      <c r="AD193" s="3">
        <f t="shared" si="12"/>
        <v>859259</v>
      </c>
      <c r="AE193" s="3">
        <f>ROUND(MAX(0,(D193-V193)*Shift11!$B$3),2)</f>
        <v>5511468.4199999999</v>
      </c>
      <c r="AF193" s="3">
        <f t="shared" si="10"/>
        <v>5511468.4199999999</v>
      </c>
    </row>
    <row r="194" spans="1:32" x14ac:dyDescent="0.2">
      <c r="A194" s="18">
        <v>624</v>
      </c>
      <c r="B194" s="18">
        <v>1</v>
      </c>
      <c r="C194" s="3" t="s">
        <v>191</v>
      </c>
      <c r="D194" s="3">
        <f>Levy!F194</f>
        <v>16679637</v>
      </c>
      <c r="E194" s="3">
        <f>Levy!G194</f>
        <v>576881</v>
      </c>
      <c r="F194" s="3">
        <f>Levy!H194</f>
        <v>875497</v>
      </c>
      <c r="G194" s="3">
        <f>Levy!I194</f>
        <v>3528312</v>
      </c>
      <c r="H194" s="3">
        <f>Levy!J194</f>
        <v>849309</v>
      </c>
      <c r="I194" s="154">
        <v>0</v>
      </c>
      <c r="J194" s="19">
        <v>10000</v>
      </c>
      <c r="K194" s="19">
        <v>171017.1</v>
      </c>
      <c r="L194" s="19">
        <v>0</v>
      </c>
      <c r="M194" s="3">
        <v>0</v>
      </c>
      <c r="N194" s="3">
        <v>0</v>
      </c>
      <c r="O194" s="3">
        <v>0</v>
      </c>
      <c r="P194" s="19">
        <v>20618.13</v>
      </c>
      <c r="Q194" s="19">
        <v>0</v>
      </c>
      <c r="R194" s="19">
        <v>0</v>
      </c>
      <c r="S194" s="19">
        <v>0</v>
      </c>
      <c r="T194" s="3">
        <v>0</v>
      </c>
      <c r="U194" s="3">
        <v>0</v>
      </c>
      <c r="V194" s="21">
        <v>0</v>
      </c>
      <c r="W194" s="21">
        <v>0</v>
      </c>
      <c r="X194" s="3">
        <v>0</v>
      </c>
      <c r="Y194" s="21">
        <v>1582149</v>
      </c>
      <c r="Z194" s="154">
        <f>Levy!U194</f>
        <v>0</v>
      </c>
      <c r="AA194" s="3">
        <f>Levy!V194</f>
        <v>0</v>
      </c>
      <c r="AB194" s="3">
        <f t="shared" ref="AB194:AB255" si="13">SUM(I194:T194)</f>
        <v>201635.23</v>
      </c>
      <c r="AC194" s="3">
        <f t="shared" si="11"/>
        <v>4779054.7699999996</v>
      </c>
      <c r="AD194" s="3">
        <f t="shared" si="12"/>
        <v>849309</v>
      </c>
      <c r="AE194" s="3">
        <f>ROUND(MAX(0,(D194-V194)*Shift11!$B$3),2)</f>
        <v>8106303.5800000001</v>
      </c>
      <c r="AF194" s="3">
        <f t="shared" ref="AF194:AF255" si="14">MAX(AE194,Y194)</f>
        <v>8106303.5800000001</v>
      </c>
    </row>
    <row r="195" spans="1:32" x14ac:dyDescent="0.2">
      <c r="A195" s="18">
        <v>625</v>
      </c>
      <c r="B195" s="18">
        <v>1</v>
      </c>
      <c r="C195" s="3" t="s">
        <v>192</v>
      </c>
      <c r="D195" s="3">
        <f>Levy!F195</f>
        <v>26824047</v>
      </c>
      <c r="E195" s="3">
        <f>Levy!G195</f>
        <v>10284637</v>
      </c>
      <c r="F195" s="3">
        <f>Levy!H195</f>
        <v>0</v>
      </c>
      <c r="G195" s="3">
        <f>Levy!I195</f>
        <v>39093857</v>
      </c>
      <c r="H195" s="3">
        <f>Levy!J195</f>
        <v>3571570</v>
      </c>
      <c r="I195" s="154">
        <v>5575814.4000000004</v>
      </c>
      <c r="J195" s="19">
        <v>1714619</v>
      </c>
      <c r="K195" s="19">
        <v>671347.19999999995</v>
      </c>
      <c r="L195" s="19">
        <v>600000</v>
      </c>
      <c r="M195" s="3">
        <v>9794733.8699999992</v>
      </c>
      <c r="N195" s="3">
        <v>65980.639999999999</v>
      </c>
      <c r="O195" s="3">
        <v>-21520.2</v>
      </c>
      <c r="P195" s="19">
        <v>295107.7</v>
      </c>
      <c r="Q195" s="19">
        <v>0</v>
      </c>
      <c r="R195" s="19">
        <v>-1472.92</v>
      </c>
      <c r="S195" s="19">
        <v>0</v>
      </c>
      <c r="T195" s="3">
        <v>0</v>
      </c>
      <c r="U195" s="3">
        <v>0</v>
      </c>
      <c r="V195" s="21">
        <v>0</v>
      </c>
      <c r="W195" s="21">
        <v>0</v>
      </c>
      <c r="X195" s="3">
        <v>0</v>
      </c>
      <c r="Y195" s="21">
        <v>2473342.0699999998</v>
      </c>
      <c r="Z195" s="154">
        <f>Levy!U195</f>
        <v>0</v>
      </c>
      <c r="AA195" s="3">
        <f>Levy!V195</f>
        <v>0</v>
      </c>
      <c r="AB195" s="3">
        <f t="shared" si="13"/>
        <v>18694609.689999998</v>
      </c>
      <c r="AC195" s="3">
        <f t="shared" si="11"/>
        <v>30683884.309999999</v>
      </c>
      <c r="AD195" s="3">
        <f t="shared" si="12"/>
        <v>3571570</v>
      </c>
      <c r="AE195" s="3">
        <f>ROUND(MAX(0,(D195-V195)*Shift11!$B$3),2)</f>
        <v>13036486.84</v>
      </c>
      <c r="AF195" s="3">
        <f t="shared" si="14"/>
        <v>13036486.84</v>
      </c>
    </row>
    <row r="196" spans="1:32" x14ac:dyDescent="0.2">
      <c r="A196" s="18">
        <v>627</v>
      </c>
      <c r="B196" s="18">
        <v>1</v>
      </c>
      <c r="C196" s="3" t="s">
        <v>193</v>
      </c>
      <c r="D196" s="3">
        <f>Levy!F196</f>
        <v>126972</v>
      </c>
      <c r="E196" s="3">
        <f>Levy!G196</f>
        <v>14002</v>
      </c>
      <c r="F196" s="3">
        <f>Levy!H196</f>
        <v>0</v>
      </c>
      <c r="G196" s="3">
        <f>Levy!I196</f>
        <v>134012</v>
      </c>
      <c r="H196" s="3">
        <f>Levy!J196</f>
        <v>16844</v>
      </c>
      <c r="I196" s="154">
        <v>0</v>
      </c>
      <c r="J196" s="19">
        <v>1000</v>
      </c>
      <c r="K196" s="19">
        <v>12224.69</v>
      </c>
      <c r="L196" s="19">
        <v>0</v>
      </c>
      <c r="M196" s="3">
        <v>0</v>
      </c>
      <c r="N196" s="3">
        <v>0</v>
      </c>
      <c r="O196" s="3">
        <v>0</v>
      </c>
      <c r="P196" s="19">
        <v>-1521.34</v>
      </c>
      <c r="Q196" s="19">
        <v>0</v>
      </c>
      <c r="R196" s="19">
        <v>0</v>
      </c>
      <c r="S196" s="19">
        <v>0</v>
      </c>
      <c r="T196" s="3">
        <v>0</v>
      </c>
      <c r="U196" s="3">
        <v>0</v>
      </c>
      <c r="V196" s="21">
        <v>0</v>
      </c>
      <c r="W196" s="21">
        <v>0</v>
      </c>
      <c r="X196" s="3">
        <v>0</v>
      </c>
      <c r="Y196" s="21">
        <v>75830.539999999994</v>
      </c>
      <c r="Z196" s="154">
        <f>Levy!U196</f>
        <v>0</v>
      </c>
      <c r="AA196" s="3">
        <f>Levy!V196</f>
        <v>0</v>
      </c>
      <c r="AB196" s="3">
        <f t="shared" si="13"/>
        <v>11703.35</v>
      </c>
      <c r="AC196" s="3">
        <f t="shared" si="11"/>
        <v>136310.65</v>
      </c>
      <c r="AD196" s="3">
        <f t="shared" si="12"/>
        <v>16844</v>
      </c>
      <c r="AE196" s="3">
        <f>ROUND(MAX(0,(D196-V196)*Shift11!$B$3),2)</f>
        <v>61708.39</v>
      </c>
      <c r="AF196" s="3">
        <f t="shared" si="14"/>
        <v>75830.539999999994</v>
      </c>
    </row>
    <row r="197" spans="1:32" x14ac:dyDescent="0.2">
      <c r="A197" s="18">
        <v>628</v>
      </c>
      <c r="B197" s="18">
        <v>1</v>
      </c>
      <c r="C197" s="3" t="s">
        <v>194</v>
      </c>
      <c r="D197" s="3">
        <f>Levy!F197</f>
        <v>163850</v>
      </c>
      <c r="E197" s="3">
        <f>Levy!G197</f>
        <v>7571</v>
      </c>
      <c r="F197" s="3">
        <f>Levy!H197</f>
        <v>0</v>
      </c>
      <c r="G197" s="3">
        <f>Levy!I197</f>
        <v>73705</v>
      </c>
      <c r="H197" s="3">
        <f>Levy!J197</f>
        <v>34387</v>
      </c>
      <c r="I197" s="154">
        <v>0</v>
      </c>
      <c r="J197" s="19">
        <v>10000</v>
      </c>
      <c r="K197" s="19">
        <v>0</v>
      </c>
      <c r="L197" s="19">
        <v>0</v>
      </c>
      <c r="M197" s="3">
        <v>0</v>
      </c>
      <c r="N197" s="3">
        <v>0</v>
      </c>
      <c r="O197" s="3">
        <v>0</v>
      </c>
      <c r="P197" s="19">
        <v>-3786.16</v>
      </c>
      <c r="Q197" s="19">
        <v>0</v>
      </c>
      <c r="R197" s="19">
        <v>10000</v>
      </c>
      <c r="S197" s="19">
        <v>0</v>
      </c>
      <c r="T197" s="3">
        <v>0</v>
      </c>
      <c r="U197" s="3">
        <v>0</v>
      </c>
      <c r="V197" s="21">
        <v>0</v>
      </c>
      <c r="W197" s="21">
        <v>0</v>
      </c>
      <c r="X197" s="3">
        <v>5099.47</v>
      </c>
      <c r="Y197" s="21">
        <v>23405.23</v>
      </c>
      <c r="Z197" s="154">
        <f>Levy!U197</f>
        <v>0</v>
      </c>
      <c r="AA197" s="3">
        <f>Levy!V197</f>
        <v>0</v>
      </c>
      <c r="AB197" s="3">
        <f t="shared" si="13"/>
        <v>16213.84</v>
      </c>
      <c r="AC197" s="3">
        <f t="shared" si="11"/>
        <v>59962.69</v>
      </c>
      <c r="AD197" s="3">
        <f t="shared" si="12"/>
        <v>34387</v>
      </c>
      <c r="AE197" s="3">
        <f>ROUND(MAX(0,(D197-V197)*Shift11!$B$3),2)</f>
        <v>79631.100000000006</v>
      </c>
      <c r="AF197" s="3">
        <f t="shared" si="14"/>
        <v>79631.100000000006</v>
      </c>
    </row>
    <row r="198" spans="1:32" x14ac:dyDescent="0.2">
      <c r="A198" s="18">
        <v>630</v>
      </c>
      <c r="B198" s="18">
        <v>1</v>
      </c>
      <c r="C198" s="3" t="s">
        <v>195</v>
      </c>
      <c r="D198" s="3">
        <f>Levy!F198</f>
        <v>305168</v>
      </c>
      <c r="E198" s="3">
        <f>Levy!G198</f>
        <v>9617</v>
      </c>
      <c r="F198" s="3">
        <f>Levy!H198</f>
        <v>0</v>
      </c>
      <c r="G198" s="3">
        <f>Levy!I198</f>
        <v>110936</v>
      </c>
      <c r="H198" s="3">
        <f>Levy!J198</f>
        <v>19348</v>
      </c>
      <c r="I198" s="154">
        <v>0</v>
      </c>
      <c r="J198" s="19">
        <v>0</v>
      </c>
      <c r="K198" s="19">
        <v>11057.51</v>
      </c>
      <c r="L198" s="19">
        <v>0</v>
      </c>
      <c r="M198" s="3">
        <v>0</v>
      </c>
      <c r="N198" s="3">
        <v>0</v>
      </c>
      <c r="O198" s="3">
        <v>0</v>
      </c>
      <c r="P198" s="19">
        <v>84.83</v>
      </c>
      <c r="Q198" s="19">
        <v>-84.83</v>
      </c>
      <c r="R198" s="19">
        <v>0</v>
      </c>
      <c r="S198" s="19">
        <v>0</v>
      </c>
      <c r="T198" s="3">
        <v>0</v>
      </c>
      <c r="U198" s="3">
        <v>0</v>
      </c>
      <c r="V198" s="21">
        <v>0</v>
      </c>
      <c r="W198" s="21">
        <v>0</v>
      </c>
      <c r="X198" s="3">
        <v>0</v>
      </c>
      <c r="Y198" s="21">
        <v>15914.47</v>
      </c>
      <c r="Z198" s="154">
        <f>Levy!U198</f>
        <v>0</v>
      </c>
      <c r="AA198" s="3">
        <f>Levy!V198</f>
        <v>0</v>
      </c>
      <c r="AB198" s="3">
        <f t="shared" si="13"/>
        <v>11057.51</v>
      </c>
      <c r="AC198" s="3">
        <f t="shared" si="11"/>
        <v>109495.49</v>
      </c>
      <c r="AD198" s="3">
        <f t="shared" si="12"/>
        <v>19348</v>
      </c>
      <c r="AE198" s="3">
        <f>ROUND(MAX(0,(D198-V198)*Shift11!$B$3),2)</f>
        <v>148311.65</v>
      </c>
      <c r="AF198" s="3">
        <f t="shared" si="14"/>
        <v>148311.65</v>
      </c>
    </row>
    <row r="199" spans="1:32" x14ac:dyDescent="0.2">
      <c r="A199" s="18">
        <v>635</v>
      </c>
      <c r="B199" s="18">
        <v>1</v>
      </c>
      <c r="C199" s="3" t="s">
        <v>196</v>
      </c>
      <c r="D199" s="3">
        <f>Levy!F199</f>
        <v>99728</v>
      </c>
      <c r="E199" s="3">
        <f>Levy!G199</f>
        <v>2229</v>
      </c>
      <c r="F199" s="3">
        <f>Levy!H199</f>
        <v>0</v>
      </c>
      <c r="G199" s="3">
        <f>Levy!I199</f>
        <v>53206</v>
      </c>
      <c r="H199" s="3">
        <f>Levy!J199</f>
        <v>12794</v>
      </c>
      <c r="I199" s="154">
        <v>0</v>
      </c>
      <c r="J199" s="19">
        <v>0</v>
      </c>
      <c r="K199" s="19">
        <v>0</v>
      </c>
      <c r="L199" s="19">
        <v>0</v>
      </c>
      <c r="M199" s="3">
        <v>0</v>
      </c>
      <c r="N199" s="3">
        <v>0</v>
      </c>
      <c r="O199" s="3">
        <v>0</v>
      </c>
      <c r="P199" s="19">
        <v>0</v>
      </c>
      <c r="Q199" s="19">
        <v>0</v>
      </c>
      <c r="R199" s="19">
        <v>0</v>
      </c>
      <c r="S199" s="19">
        <v>0</v>
      </c>
      <c r="T199" s="3">
        <v>0</v>
      </c>
      <c r="U199" s="3">
        <v>0</v>
      </c>
      <c r="V199" s="21">
        <v>0</v>
      </c>
      <c r="W199" s="21">
        <v>0</v>
      </c>
      <c r="X199" s="3">
        <v>0</v>
      </c>
      <c r="Y199" s="21">
        <v>34554.870000000003</v>
      </c>
      <c r="Z199" s="154">
        <f>Levy!U199</f>
        <v>0</v>
      </c>
      <c r="AA199" s="3">
        <f>Levy!V199</f>
        <v>0</v>
      </c>
      <c r="AB199" s="3">
        <f t="shared" si="13"/>
        <v>0</v>
      </c>
      <c r="AC199" s="3">
        <f t="shared" si="11"/>
        <v>55435</v>
      </c>
      <c r="AD199" s="3">
        <f t="shared" si="12"/>
        <v>12794</v>
      </c>
      <c r="AE199" s="3">
        <f>ROUND(MAX(0,(D199-V199)*Shift11!$B$3),2)</f>
        <v>48467.81</v>
      </c>
      <c r="AF199" s="3">
        <f t="shared" si="14"/>
        <v>48467.81</v>
      </c>
    </row>
    <row r="200" spans="1:32" x14ac:dyDescent="0.2">
      <c r="A200" s="18">
        <v>640</v>
      </c>
      <c r="B200" s="18">
        <v>1</v>
      </c>
      <c r="C200" s="3" t="s">
        <v>197</v>
      </c>
      <c r="D200" s="3">
        <f>Levy!F200</f>
        <v>216121</v>
      </c>
      <c r="E200" s="3">
        <f>Levy!G200</f>
        <v>21143</v>
      </c>
      <c r="F200" s="3">
        <f>Levy!H200</f>
        <v>0</v>
      </c>
      <c r="G200" s="3">
        <f>Levy!I200</f>
        <v>227717</v>
      </c>
      <c r="H200" s="3">
        <f>Levy!J200</f>
        <v>41929</v>
      </c>
      <c r="I200" s="154">
        <v>0</v>
      </c>
      <c r="J200" s="19">
        <v>8000</v>
      </c>
      <c r="K200" s="19">
        <v>10000</v>
      </c>
      <c r="L200" s="19">
        <v>0</v>
      </c>
      <c r="M200" s="3">
        <v>0</v>
      </c>
      <c r="N200" s="3">
        <v>0</v>
      </c>
      <c r="O200" s="3">
        <v>0</v>
      </c>
      <c r="P200" s="19">
        <v>943.15</v>
      </c>
      <c r="Q200" s="19">
        <v>0</v>
      </c>
      <c r="R200" s="19">
        <v>0</v>
      </c>
      <c r="S200" s="19">
        <v>0</v>
      </c>
      <c r="T200" s="3">
        <v>0</v>
      </c>
      <c r="U200" s="3">
        <v>0</v>
      </c>
      <c r="V200" s="21">
        <v>0</v>
      </c>
      <c r="W200" s="21">
        <v>0</v>
      </c>
      <c r="X200" s="3">
        <v>3893.65</v>
      </c>
      <c r="Y200" s="21">
        <v>21257.8</v>
      </c>
      <c r="Z200" s="154">
        <f>Levy!U200</f>
        <v>0</v>
      </c>
      <c r="AA200" s="3">
        <f>Levy!V200</f>
        <v>0</v>
      </c>
      <c r="AB200" s="3">
        <f t="shared" si="13"/>
        <v>18943.150000000001</v>
      </c>
      <c r="AC200" s="3">
        <f t="shared" ref="AC200:AC263" si="15">ROUND(MAX(E200+F200+G200-Z200-W200-X200-AB200,0),2)</f>
        <v>226023.2</v>
      </c>
      <c r="AD200" s="3">
        <f t="shared" ref="AD200:AD263" si="16">ROUND(MAX(H200-U200-AA200,0),2)</f>
        <v>41929</v>
      </c>
      <c r="AE200" s="3">
        <f>ROUND(MAX(0,(D200-V200)*Shift11!$B$3),2)</f>
        <v>105034.81</v>
      </c>
      <c r="AF200" s="3">
        <f t="shared" si="14"/>
        <v>105034.81</v>
      </c>
    </row>
    <row r="201" spans="1:32" x14ac:dyDescent="0.2">
      <c r="A201" s="18">
        <v>656</v>
      </c>
      <c r="B201" s="18">
        <v>1</v>
      </c>
      <c r="C201" s="3" t="s">
        <v>198</v>
      </c>
      <c r="D201" s="3">
        <f>Levy!F201</f>
        <v>1763027.78</v>
      </c>
      <c r="E201" s="3">
        <f>Levy!G201</f>
        <v>527838.22</v>
      </c>
      <c r="F201" s="3">
        <f>Levy!H201</f>
        <v>0</v>
      </c>
      <c r="G201" s="3">
        <f>Levy!I201</f>
        <v>1423376.14</v>
      </c>
      <c r="H201" s="3">
        <f>Levy!J201</f>
        <v>351983</v>
      </c>
      <c r="I201" s="154">
        <v>0</v>
      </c>
      <c r="J201" s="19">
        <v>20000</v>
      </c>
      <c r="K201" s="19">
        <v>53531.75</v>
      </c>
      <c r="L201" s="19">
        <v>0</v>
      </c>
      <c r="M201" s="3">
        <v>0</v>
      </c>
      <c r="N201" s="3">
        <v>0</v>
      </c>
      <c r="O201" s="3">
        <v>0</v>
      </c>
      <c r="P201" s="19">
        <v>16858.82</v>
      </c>
      <c r="Q201" s="19">
        <v>0</v>
      </c>
      <c r="R201" s="19">
        <v>0</v>
      </c>
      <c r="S201" s="19">
        <v>0</v>
      </c>
      <c r="T201" s="3">
        <v>0</v>
      </c>
      <c r="U201" s="3">
        <v>0</v>
      </c>
      <c r="V201" s="21">
        <v>0</v>
      </c>
      <c r="W201" s="21">
        <v>0</v>
      </c>
      <c r="X201" s="3">
        <v>0</v>
      </c>
      <c r="Y201" s="21">
        <v>329972.17</v>
      </c>
      <c r="Z201" s="154">
        <f>Levy!U201</f>
        <v>0</v>
      </c>
      <c r="AA201" s="3">
        <f>Levy!V201</f>
        <v>0</v>
      </c>
      <c r="AB201" s="3">
        <f t="shared" si="13"/>
        <v>90390.57</v>
      </c>
      <c r="AC201" s="3">
        <f t="shared" si="15"/>
        <v>1860823.79</v>
      </c>
      <c r="AD201" s="3">
        <f t="shared" si="16"/>
        <v>351983</v>
      </c>
      <c r="AE201" s="3">
        <f>ROUND(MAX(0,(D201-V201)*Shift11!$B$3),2)</f>
        <v>856831.5</v>
      </c>
      <c r="AF201" s="3">
        <f t="shared" si="14"/>
        <v>856831.5</v>
      </c>
    </row>
    <row r="202" spans="1:32" x14ac:dyDescent="0.2">
      <c r="A202" s="18">
        <v>659</v>
      </c>
      <c r="B202" s="18">
        <v>1</v>
      </c>
      <c r="C202" s="3" t="s">
        <v>199</v>
      </c>
      <c r="D202" s="3">
        <f>Levy!F202</f>
        <v>5182962.16</v>
      </c>
      <c r="E202" s="3">
        <f>Levy!G202</f>
        <v>436763.82</v>
      </c>
      <c r="F202" s="3">
        <f>Levy!H202</f>
        <v>752447.22</v>
      </c>
      <c r="G202" s="3">
        <f>Levy!I202</f>
        <v>1796060.94</v>
      </c>
      <c r="H202" s="3">
        <f>Levy!J202</f>
        <v>436395.38</v>
      </c>
      <c r="I202" s="154">
        <v>0</v>
      </c>
      <c r="J202" s="19">
        <v>19030</v>
      </c>
      <c r="K202" s="19">
        <v>16096.53</v>
      </c>
      <c r="L202" s="19">
        <v>0</v>
      </c>
      <c r="M202" s="3">
        <v>0</v>
      </c>
      <c r="N202" s="3">
        <v>0</v>
      </c>
      <c r="O202" s="3">
        <v>0</v>
      </c>
      <c r="P202" s="19">
        <v>-18988.93</v>
      </c>
      <c r="Q202" s="19">
        <v>0</v>
      </c>
      <c r="R202" s="19">
        <v>0</v>
      </c>
      <c r="S202" s="19">
        <v>0</v>
      </c>
      <c r="T202" s="3">
        <v>0</v>
      </c>
      <c r="U202" s="3">
        <v>0</v>
      </c>
      <c r="V202" s="21">
        <v>0</v>
      </c>
      <c r="W202" s="21">
        <v>0</v>
      </c>
      <c r="X202" s="3">
        <v>0</v>
      </c>
      <c r="Y202" s="21">
        <v>374465.93</v>
      </c>
      <c r="Z202" s="154">
        <f>Levy!U202</f>
        <v>0</v>
      </c>
      <c r="AA202" s="3">
        <f>Levy!V202</f>
        <v>0</v>
      </c>
      <c r="AB202" s="3">
        <f t="shared" si="13"/>
        <v>16137.599999999999</v>
      </c>
      <c r="AC202" s="3">
        <f t="shared" si="15"/>
        <v>2969134.38</v>
      </c>
      <c r="AD202" s="3">
        <f t="shared" si="16"/>
        <v>436395.38</v>
      </c>
      <c r="AE202" s="3">
        <f>ROUND(MAX(0,(D202-V202)*Shift11!$B$3),2)</f>
        <v>2518919.61</v>
      </c>
      <c r="AF202" s="3">
        <f t="shared" si="14"/>
        <v>2518919.61</v>
      </c>
    </row>
    <row r="203" spans="1:32" x14ac:dyDescent="0.2">
      <c r="A203" s="18">
        <v>671</v>
      </c>
      <c r="B203" s="18">
        <v>1</v>
      </c>
      <c r="C203" s="3" t="s">
        <v>200</v>
      </c>
      <c r="D203" s="3">
        <f>Levy!F203</f>
        <v>170321.05</v>
      </c>
      <c r="E203" s="3">
        <f>Levy!G203</f>
        <v>19587.810000000001</v>
      </c>
      <c r="F203" s="3">
        <f>Levy!H203</f>
        <v>0</v>
      </c>
      <c r="G203" s="3">
        <f>Levy!I203</f>
        <v>143966.17000000001</v>
      </c>
      <c r="H203" s="3">
        <f>Levy!J203</f>
        <v>26545.15</v>
      </c>
      <c r="I203" s="154">
        <v>0</v>
      </c>
      <c r="J203" s="19">
        <v>0</v>
      </c>
      <c r="K203" s="19">
        <v>10147.59</v>
      </c>
      <c r="L203" s="19">
        <v>0</v>
      </c>
      <c r="M203" s="3">
        <v>0</v>
      </c>
      <c r="N203" s="3">
        <v>0</v>
      </c>
      <c r="O203" s="3">
        <v>0</v>
      </c>
      <c r="P203" s="19">
        <v>0</v>
      </c>
      <c r="Q203" s="19">
        <v>0</v>
      </c>
      <c r="R203" s="19">
        <v>-7509.17</v>
      </c>
      <c r="S203" s="19">
        <v>0</v>
      </c>
      <c r="T203" s="3">
        <v>0</v>
      </c>
      <c r="U203" s="3">
        <v>0</v>
      </c>
      <c r="V203" s="21">
        <v>0</v>
      </c>
      <c r="W203" s="21">
        <v>0</v>
      </c>
      <c r="X203" s="3">
        <v>0</v>
      </c>
      <c r="Y203" s="21">
        <v>64894.85</v>
      </c>
      <c r="Z203" s="154">
        <f>Levy!U203</f>
        <v>0</v>
      </c>
      <c r="AA203" s="3">
        <f>Levy!V203</f>
        <v>0</v>
      </c>
      <c r="AB203" s="3">
        <f t="shared" si="13"/>
        <v>2638.42</v>
      </c>
      <c r="AC203" s="3">
        <f t="shared" si="15"/>
        <v>160915.56</v>
      </c>
      <c r="AD203" s="3">
        <f t="shared" si="16"/>
        <v>26545.15</v>
      </c>
      <c r="AE203" s="3">
        <f>ROUND(MAX(0,(D203-V203)*Shift11!$B$3),2)</f>
        <v>82776.03</v>
      </c>
      <c r="AF203" s="3">
        <f t="shared" si="14"/>
        <v>82776.03</v>
      </c>
    </row>
    <row r="204" spans="1:32" x14ac:dyDescent="0.2">
      <c r="A204" s="18">
        <v>676</v>
      </c>
      <c r="B204" s="18">
        <v>1</v>
      </c>
      <c r="C204" s="3" t="s">
        <v>201</v>
      </c>
      <c r="D204" s="3">
        <f>Levy!F204</f>
        <v>150636</v>
      </c>
      <c r="E204" s="3">
        <f>Levy!G204</f>
        <v>8855</v>
      </c>
      <c r="F204" s="3">
        <f>Levy!H204</f>
        <v>40397</v>
      </c>
      <c r="G204" s="3">
        <f>Levy!I204</f>
        <v>61392</v>
      </c>
      <c r="H204" s="3">
        <f>Levy!J204</f>
        <v>11117</v>
      </c>
      <c r="I204" s="154">
        <v>0</v>
      </c>
      <c r="J204" s="19">
        <v>1372.86</v>
      </c>
      <c r="K204" s="19">
        <v>10000</v>
      </c>
      <c r="L204" s="19">
        <v>0</v>
      </c>
      <c r="M204" s="3">
        <v>0</v>
      </c>
      <c r="N204" s="3">
        <v>0</v>
      </c>
      <c r="O204" s="3">
        <v>0</v>
      </c>
      <c r="P204" s="19">
        <v>864.52</v>
      </c>
      <c r="Q204" s="19">
        <v>0</v>
      </c>
      <c r="R204" s="19">
        <v>0</v>
      </c>
      <c r="S204" s="19">
        <v>0</v>
      </c>
      <c r="T204" s="3">
        <v>0</v>
      </c>
      <c r="U204" s="3">
        <v>0</v>
      </c>
      <c r="V204" s="21">
        <v>0</v>
      </c>
      <c r="W204" s="21">
        <v>0</v>
      </c>
      <c r="X204" s="3">
        <v>0</v>
      </c>
      <c r="Y204" s="21">
        <v>82150</v>
      </c>
      <c r="Z204" s="154">
        <f>Levy!U204</f>
        <v>0</v>
      </c>
      <c r="AA204" s="3">
        <f>Levy!V204</f>
        <v>0</v>
      </c>
      <c r="AB204" s="3">
        <f t="shared" si="13"/>
        <v>12237.380000000001</v>
      </c>
      <c r="AC204" s="3">
        <f t="shared" si="15"/>
        <v>98406.62</v>
      </c>
      <c r="AD204" s="3">
        <f t="shared" si="16"/>
        <v>11117</v>
      </c>
      <c r="AE204" s="3">
        <f>ROUND(MAX(0,(D204-V204)*Shift11!$B$3),2)</f>
        <v>73209.100000000006</v>
      </c>
      <c r="AF204" s="3">
        <f t="shared" si="14"/>
        <v>82150</v>
      </c>
    </row>
    <row r="205" spans="1:32" x14ac:dyDescent="0.2">
      <c r="A205" s="18">
        <v>682</v>
      </c>
      <c r="B205" s="18">
        <v>1</v>
      </c>
      <c r="C205" s="3" t="s">
        <v>202</v>
      </c>
      <c r="D205" s="3">
        <f>Levy!F205</f>
        <v>303954</v>
      </c>
      <c r="E205" s="3">
        <f>Levy!G205</f>
        <v>66352</v>
      </c>
      <c r="F205" s="3">
        <f>Levy!H205</f>
        <v>0</v>
      </c>
      <c r="G205" s="3">
        <f>Levy!I205</f>
        <v>407280</v>
      </c>
      <c r="H205" s="3">
        <f>Levy!J205</f>
        <v>87814</v>
      </c>
      <c r="I205" s="154">
        <v>0</v>
      </c>
      <c r="J205" s="19">
        <v>11445</v>
      </c>
      <c r="K205" s="19">
        <v>24808.799999999999</v>
      </c>
      <c r="L205" s="19">
        <v>0</v>
      </c>
      <c r="M205" s="3">
        <v>0</v>
      </c>
      <c r="N205" s="3">
        <v>0</v>
      </c>
      <c r="O205" s="3">
        <v>0</v>
      </c>
      <c r="P205" s="19">
        <v>-4106.12</v>
      </c>
      <c r="Q205" s="19">
        <v>0</v>
      </c>
      <c r="R205" s="19">
        <v>252.54</v>
      </c>
      <c r="S205" s="19">
        <v>0</v>
      </c>
      <c r="T205" s="3">
        <v>0</v>
      </c>
      <c r="U205" s="3">
        <v>0</v>
      </c>
      <c r="V205" s="21">
        <v>0</v>
      </c>
      <c r="W205" s="21">
        <v>0</v>
      </c>
      <c r="X205" s="3">
        <v>17470.36</v>
      </c>
      <c r="Y205" s="21">
        <v>45551.1</v>
      </c>
      <c r="Z205" s="154">
        <f>Levy!U205</f>
        <v>0</v>
      </c>
      <c r="AA205" s="3">
        <f>Levy!V205</f>
        <v>0</v>
      </c>
      <c r="AB205" s="3">
        <f t="shared" si="13"/>
        <v>32400.220000000005</v>
      </c>
      <c r="AC205" s="3">
        <f t="shared" si="15"/>
        <v>423761.42</v>
      </c>
      <c r="AD205" s="3">
        <f t="shared" si="16"/>
        <v>87814</v>
      </c>
      <c r="AE205" s="3">
        <f>ROUND(MAX(0,(D205-V205)*Shift11!$B$3),2)</f>
        <v>147721.64000000001</v>
      </c>
      <c r="AF205" s="3">
        <f t="shared" si="14"/>
        <v>147721.64000000001</v>
      </c>
    </row>
    <row r="206" spans="1:32" x14ac:dyDescent="0.2">
      <c r="A206" s="18">
        <v>690</v>
      </c>
      <c r="B206" s="18">
        <v>1</v>
      </c>
      <c r="C206" s="3" t="s">
        <v>203</v>
      </c>
      <c r="D206" s="3">
        <f>Levy!F206</f>
        <v>325571</v>
      </c>
      <c r="E206" s="3">
        <f>Levy!G206</f>
        <v>64323</v>
      </c>
      <c r="F206" s="3">
        <f>Levy!H206</f>
        <v>0</v>
      </c>
      <c r="G206" s="3">
        <f>Levy!I206</f>
        <v>509119</v>
      </c>
      <c r="H206" s="3">
        <f>Levy!J206</f>
        <v>79043</v>
      </c>
      <c r="I206" s="154">
        <v>0</v>
      </c>
      <c r="J206" s="19">
        <v>50000</v>
      </c>
      <c r="K206" s="19">
        <v>24256</v>
      </c>
      <c r="L206" s="19">
        <v>0</v>
      </c>
      <c r="M206" s="3">
        <v>0</v>
      </c>
      <c r="N206" s="3">
        <v>0</v>
      </c>
      <c r="O206" s="3">
        <v>0</v>
      </c>
      <c r="P206" s="19">
        <v>3398.55</v>
      </c>
      <c r="Q206" s="19">
        <v>0</v>
      </c>
      <c r="R206" s="19">
        <v>442.4</v>
      </c>
      <c r="S206" s="19">
        <v>0</v>
      </c>
      <c r="T206" s="3">
        <v>0</v>
      </c>
      <c r="U206" s="3">
        <v>0</v>
      </c>
      <c r="V206" s="21">
        <v>0</v>
      </c>
      <c r="W206" s="21">
        <v>0</v>
      </c>
      <c r="X206" s="3">
        <v>0</v>
      </c>
      <c r="Y206" s="21">
        <v>36984.730000000003</v>
      </c>
      <c r="Z206" s="154">
        <f>Levy!U206</f>
        <v>0</v>
      </c>
      <c r="AA206" s="3">
        <f>Levy!V206</f>
        <v>0</v>
      </c>
      <c r="AB206" s="3">
        <f t="shared" si="13"/>
        <v>78096.95</v>
      </c>
      <c r="AC206" s="3">
        <f t="shared" si="15"/>
        <v>495345.05</v>
      </c>
      <c r="AD206" s="3">
        <f t="shared" si="16"/>
        <v>79043</v>
      </c>
      <c r="AE206" s="3">
        <f>ROUND(MAX(0,(D206-V206)*Shift11!$B$3),2)</f>
        <v>158227.51</v>
      </c>
      <c r="AF206" s="3">
        <f t="shared" si="14"/>
        <v>158227.51</v>
      </c>
    </row>
    <row r="207" spans="1:32" x14ac:dyDescent="0.2">
      <c r="A207" s="18">
        <v>695</v>
      </c>
      <c r="B207" s="18">
        <v>1</v>
      </c>
      <c r="C207" s="3" t="s">
        <v>204</v>
      </c>
      <c r="D207" s="3">
        <f>Levy!F207</f>
        <v>388713.11</v>
      </c>
      <c r="E207" s="3">
        <f>Levy!G207</f>
        <v>33318.480000000003</v>
      </c>
      <c r="F207" s="3">
        <f>Levy!H207</f>
        <v>0</v>
      </c>
      <c r="G207" s="3">
        <f>Levy!I207</f>
        <v>4666.6400000000003</v>
      </c>
      <c r="H207" s="3">
        <f>Levy!J207</f>
        <v>0</v>
      </c>
      <c r="I207" s="154">
        <v>0</v>
      </c>
      <c r="J207" s="19">
        <v>10000</v>
      </c>
      <c r="K207" s="19">
        <v>12416.8</v>
      </c>
      <c r="L207" s="19">
        <v>139793.85999999999</v>
      </c>
      <c r="M207" s="3">
        <v>0</v>
      </c>
      <c r="N207" s="3">
        <v>0</v>
      </c>
      <c r="O207" s="3">
        <v>0</v>
      </c>
      <c r="P207" s="19">
        <v>1712.77</v>
      </c>
      <c r="Q207" s="19">
        <v>0</v>
      </c>
      <c r="R207" s="19">
        <v>-342.4</v>
      </c>
      <c r="S207" s="19">
        <v>706.58</v>
      </c>
      <c r="T207" s="3">
        <v>0</v>
      </c>
      <c r="U207" s="3">
        <v>0</v>
      </c>
      <c r="V207" s="21">
        <v>0</v>
      </c>
      <c r="W207" s="21">
        <v>0</v>
      </c>
      <c r="X207" s="3">
        <v>8880.85</v>
      </c>
      <c r="Y207" s="21">
        <v>27688.080000000002</v>
      </c>
      <c r="Z207" s="154">
        <f>Levy!U207</f>
        <v>0</v>
      </c>
      <c r="AA207" s="3">
        <f>Levy!V207</f>
        <v>0</v>
      </c>
      <c r="AB207" s="3">
        <f t="shared" si="13"/>
        <v>164287.60999999996</v>
      </c>
      <c r="AC207" s="3">
        <f t="shared" si="15"/>
        <v>0</v>
      </c>
      <c r="AD207" s="3">
        <f t="shared" si="16"/>
        <v>0</v>
      </c>
      <c r="AE207" s="3">
        <f>ROUND(MAX(0,(D207-V207)*Shift11!$B$3),2)</f>
        <v>188914.57</v>
      </c>
      <c r="AF207" s="3">
        <f t="shared" si="14"/>
        <v>188914.57</v>
      </c>
    </row>
    <row r="208" spans="1:32" x14ac:dyDescent="0.2">
      <c r="A208" s="18">
        <v>696</v>
      </c>
      <c r="B208" s="18">
        <v>1</v>
      </c>
      <c r="C208" s="3" t="s">
        <v>205</v>
      </c>
      <c r="D208" s="3">
        <f>Levy!F208</f>
        <v>351805.89</v>
      </c>
      <c r="E208" s="3">
        <f>Levy!G208</f>
        <v>61732.32</v>
      </c>
      <c r="F208" s="3">
        <f>Levy!H208</f>
        <v>0</v>
      </c>
      <c r="G208" s="3">
        <f>Levy!I208</f>
        <v>946962.81</v>
      </c>
      <c r="H208" s="3">
        <f>Levy!J208</f>
        <v>22585.17</v>
      </c>
      <c r="I208" s="154">
        <v>0</v>
      </c>
      <c r="J208" s="19">
        <v>29000</v>
      </c>
      <c r="K208" s="19">
        <v>0</v>
      </c>
      <c r="L208" s="19">
        <v>155802.62</v>
      </c>
      <c r="M208" s="3">
        <v>0</v>
      </c>
      <c r="N208" s="3">
        <v>0</v>
      </c>
      <c r="O208" s="3">
        <v>0</v>
      </c>
      <c r="P208" s="19">
        <v>6898.58</v>
      </c>
      <c r="Q208" s="19">
        <v>0</v>
      </c>
      <c r="R208" s="19">
        <v>0</v>
      </c>
      <c r="S208" s="19">
        <v>63241</v>
      </c>
      <c r="T208" s="3">
        <v>0</v>
      </c>
      <c r="U208" s="3">
        <v>0</v>
      </c>
      <c r="V208" s="21">
        <v>0</v>
      </c>
      <c r="W208" s="21">
        <v>0</v>
      </c>
      <c r="X208" s="3">
        <v>2504.4899999999998</v>
      </c>
      <c r="Y208" s="21">
        <v>61464.47</v>
      </c>
      <c r="Z208" s="154">
        <f>Levy!U208</f>
        <v>0</v>
      </c>
      <c r="AA208" s="3">
        <f>Levy!V208</f>
        <v>0</v>
      </c>
      <c r="AB208" s="3">
        <f t="shared" si="13"/>
        <v>254942.19999999998</v>
      </c>
      <c r="AC208" s="3">
        <f t="shared" si="15"/>
        <v>751248.44</v>
      </c>
      <c r="AD208" s="3">
        <f t="shared" si="16"/>
        <v>22585.17</v>
      </c>
      <c r="AE208" s="3">
        <f>ROUND(MAX(0,(D208-V208)*Shift11!$B$3),2)</f>
        <v>170977.66</v>
      </c>
      <c r="AF208" s="3">
        <f t="shared" si="14"/>
        <v>170977.66</v>
      </c>
    </row>
    <row r="209" spans="1:32" x14ac:dyDescent="0.2">
      <c r="A209" s="18">
        <v>698</v>
      </c>
      <c r="B209" s="18">
        <v>1</v>
      </c>
      <c r="C209" s="3" t="s">
        <v>206</v>
      </c>
      <c r="D209" s="3">
        <f>Levy!F209</f>
        <v>0</v>
      </c>
      <c r="E209" s="3">
        <f>Levy!G209</f>
        <v>40050.769999999997</v>
      </c>
      <c r="F209" s="3">
        <f>Levy!H209</f>
        <v>0</v>
      </c>
      <c r="G209" s="3">
        <f>Levy!I209</f>
        <v>174998.66</v>
      </c>
      <c r="H209" s="3">
        <f>Levy!J209</f>
        <v>22365.62</v>
      </c>
      <c r="I209" s="154">
        <v>0</v>
      </c>
      <c r="J209" s="19">
        <v>15000</v>
      </c>
      <c r="K209" s="19">
        <v>10000</v>
      </c>
      <c r="L209" s="19">
        <v>0</v>
      </c>
      <c r="M209" s="3">
        <v>0</v>
      </c>
      <c r="N209" s="3">
        <v>0</v>
      </c>
      <c r="O209" s="3">
        <v>0</v>
      </c>
      <c r="P209" s="19">
        <v>2482.5</v>
      </c>
      <c r="Q209" s="19">
        <v>0</v>
      </c>
      <c r="R209" s="19">
        <v>0</v>
      </c>
      <c r="S209" s="19">
        <v>0</v>
      </c>
      <c r="T209" s="3">
        <v>0</v>
      </c>
      <c r="U209" s="3">
        <v>0</v>
      </c>
      <c r="V209" s="21">
        <v>0</v>
      </c>
      <c r="W209" s="21">
        <v>0</v>
      </c>
      <c r="X209" s="3">
        <v>5557.25</v>
      </c>
      <c r="Y209" s="21">
        <v>14891.46</v>
      </c>
      <c r="Z209" s="154">
        <f>Levy!U209</f>
        <v>0</v>
      </c>
      <c r="AA209" s="3">
        <f>Levy!V209</f>
        <v>0</v>
      </c>
      <c r="AB209" s="3">
        <f t="shared" si="13"/>
        <v>27482.5</v>
      </c>
      <c r="AC209" s="3">
        <f t="shared" si="15"/>
        <v>182009.68</v>
      </c>
      <c r="AD209" s="3">
        <f t="shared" si="16"/>
        <v>22365.62</v>
      </c>
      <c r="AE209" s="3">
        <f>ROUND(MAX(0,(D209-V209)*Shift11!$B$3),2)</f>
        <v>0</v>
      </c>
      <c r="AF209" s="3">
        <f t="shared" si="14"/>
        <v>14891.46</v>
      </c>
    </row>
    <row r="210" spans="1:32" x14ac:dyDescent="0.2">
      <c r="A210" s="18">
        <v>700</v>
      </c>
      <c r="B210" s="18">
        <v>1</v>
      </c>
      <c r="C210" s="3" t="s">
        <v>207</v>
      </c>
      <c r="D210" s="3">
        <f>Levy!F210</f>
        <v>2006.8</v>
      </c>
      <c r="E210" s="3">
        <f>Levy!G210</f>
        <v>414331.79</v>
      </c>
      <c r="F210" s="3">
        <f>Levy!H210</f>
        <v>0</v>
      </c>
      <c r="G210" s="3">
        <f>Levy!I210</f>
        <v>877648.45</v>
      </c>
      <c r="H210" s="3">
        <f>Levy!J210</f>
        <v>136086.60999999999</v>
      </c>
      <c r="I210" s="154">
        <v>0</v>
      </c>
      <c r="J210" s="19">
        <v>15000</v>
      </c>
      <c r="K210" s="19">
        <v>10000</v>
      </c>
      <c r="L210" s="19">
        <v>0</v>
      </c>
      <c r="M210" s="3">
        <v>0</v>
      </c>
      <c r="N210" s="3">
        <v>0</v>
      </c>
      <c r="O210" s="3">
        <v>0</v>
      </c>
      <c r="P210" s="19">
        <v>-1937.18</v>
      </c>
      <c r="Q210" s="19">
        <v>0</v>
      </c>
      <c r="R210" s="19">
        <v>0</v>
      </c>
      <c r="S210" s="19">
        <v>0</v>
      </c>
      <c r="T210" s="3">
        <v>0</v>
      </c>
      <c r="U210" s="3">
        <v>0</v>
      </c>
      <c r="V210" s="21">
        <v>0</v>
      </c>
      <c r="W210" s="21">
        <v>0</v>
      </c>
      <c r="X210" s="3">
        <v>0</v>
      </c>
      <c r="Y210" s="21">
        <v>83202.59</v>
      </c>
      <c r="Z210" s="154">
        <f>Levy!U210</f>
        <v>0</v>
      </c>
      <c r="AA210" s="3">
        <f>Levy!V210</f>
        <v>0</v>
      </c>
      <c r="AB210" s="3">
        <f t="shared" si="13"/>
        <v>23062.82</v>
      </c>
      <c r="AC210" s="3">
        <f t="shared" si="15"/>
        <v>1268917.42</v>
      </c>
      <c r="AD210" s="3">
        <f t="shared" si="16"/>
        <v>136086.60999999999</v>
      </c>
      <c r="AE210" s="3">
        <f>ROUND(MAX(0,(D210-V210)*Shift11!$B$3),2)</f>
        <v>975.3</v>
      </c>
      <c r="AF210" s="3">
        <f t="shared" si="14"/>
        <v>83202.59</v>
      </c>
    </row>
    <row r="211" spans="1:32" x14ac:dyDescent="0.2">
      <c r="A211" s="18">
        <v>701</v>
      </c>
      <c r="B211" s="18">
        <v>1</v>
      </c>
      <c r="C211" s="3" t="s">
        <v>208</v>
      </c>
      <c r="D211" s="3">
        <f>Levy!F211</f>
        <v>1261439.58</v>
      </c>
      <c r="E211" s="3">
        <f>Levy!G211</f>
        <v>193614.1</v>
      </c>
      <c r="F211" s="3">
        <f>Levy!H211</f>
        <v>0</v>
      </c>
      <c r="G211" s="3">
        <f>Levy!I211</f>
        <v>390153.3</v>
      </c>
      <c r="H211" s="3">
        <f>Levy!J211</f>
        <v>0</v>
      </c>
      <c r="I211" s="154">
        <v>0</v>
      </c>
      <c r="J211" s="19">
        <v>25000</v>
      </c>
      <c r="K211" s="19">
        <v>26694.2</v>
      </c>
      <c r="L211" s="19">
        <v>478252.6</v>
      </c>
      <c r="M211" s="3">
        <v>0</v>
      </c>
      <c r="N211" s="3">
        <v>0</v>
      </c>
      <c r="O211" s="3">
        <v>0</v>
      </c>
      <c r="P211" s="19">
        <v>-5151.18</v>
      </c>
      <c r="Q211" s="19">
        <v>0</v>
      </c>
      <c r="R211" s="19">
        <v>0</v>
      </c>
      <c r="S211" s="19">
        <v>0</v>
      </c>
      <c r="T211" s="3">
        <v>0</v>
      </c>
      <c r="U211" s="3">
        <v>0</v>
      </c>
      <c r="V211" s="21">
        <v>0</v>
      </c>
      <c r="W211" s="21">
        <v>0</v>
      </c>
      <c r="X211" s="3">
        <v>59276.87</v>
      </c>
      <c r="Y211" s="21">
        <v>109071.21</v>
      </c>
      <c r="Z211" s="154">
        <f>Levy!U211</f>
        <v>0</v>
      </c>
      <c r="AA211" s="3">
        <f>Levy!V211</f>
        <v>0</v>
      </c>
      <c r="AB211" s="3">
        <f t="shared" si="13"/>
        <v>524795.61999999988</v>
      </c>
      <c r="AC211" s="3">
        <f t="shared" si="15"/>
        <v>0</v>
      </c>
      <c r="AD211" s="3">
        <f t="shared" si="16"/>
        <v>0</v>
      </c>
      <c r="AE211" s="3">
        <f>ROUND(MAX(0,(D211-V211)*Shift11!$B$3),2)</f>
        <v>613059.64</v>
      </c>
      <c r="AF211" s="3">
        <f t="shared" si="14"/>
        <v>613059.64</v>
      </c>
    </row>
    <row r="212" spans="1:32" x14ac:dyDescent="0.2">
      <c r="A212" s="18">
        <v>704</v>
      </c>
      <c r="B212" s="18">
        <v>1</v>
      </c>
      <c r="C212" s="3" t="s">
        <v>209</v>
      </c>
      <c r="D212" s="3">
        <f>Levy!F212</f>
        <v>1918.46</v>
      </c>
      <c r="E212" s="3">
        <f>Levy!G212</f>
        <v>359177.97</v>
      </c>
      <c r="F212" s="3">
        <f>Levy!H212</f>
        <v>0</v>
      </c>
      <c r="G212" s="3">
        <f>Levy!I212</f>
        <v>820956.87</v>
      </c>
      <c r="H212" s="3">
        <f>Levy!J212</f>
        <v>143306.4</v>
      </c>
      <c r="I212" s="154">
        <v>0</v>
      </c>
      <c r="J212" s="19">
        <v>10000</v>
      </c>
      <c r="K212" s="19">
        <v>21283.72</v>
      </c>
      <c r="L212" s="19">
        <v>0</v>
      </c>
      <c r="M212" s="3">
        <v>0</v>
      </c>
      <c r="N212" s="3">
        <v>0</v>
      </c>
      <c r="O212" s="3">
        <v>0</v>
      </c>
      <c r="P212" s="19">
        <v>-2264.0500000000002</v>
      </c>
      <c r="Q212" s="19">
        <v>0</v>
      </c>
      <c r="R212" s="19">
        <v>0</v>
      </c>
      <c r="S212" s="19">
        <v>0</v>
      </c>
      <c r="T212" s="3">
        <v>0</v>
      </c>
      <c r="U212" s="3">
        <v>0</v>
      </c>
      <c r="V212" s="21">
        <v>0</v>
      </c>
      <c r="W212" s="21">
        <v>0</v>
      </c>
      <c r="X212" s="3">
        <v>0</v>
      </c>
      <c r="Y212" s="21">
        <v>96036.52</v>
      </c>
      <c r="Z212" s="154">
        <f>Levy!U212</f>
        <v>0</v>
      </c>
      <c r="AA212" s="3">
        <f>Levy!V212</f>
        <v>0</v>
      </c>
      <c r="AB212" s="3">
        <f t="shared" si="13"/>
        <v>29019.670000000002</v>
      </c>
      <c r="AC212" s="3">
        <f t="shared" si="15"/>
        <v>1151115.17</v>
      </c>
      <c r="AD212" s="3">
        <f t="shared" si="16"/>
        <v>143306.4</v>
      </c>
      <c r="AE212" s="3">
        <f>ROUND(MAX(0,(D212-V212)*Shift11!$B$3),2)</f>
        <v>932.37</v>
      </c>
      <c r="AF212" s="3">
        <f t="shared" si="14"/>
        <v>96036.52</v>
      </c>
    </row>
    <row r="213" spans="1:32" x14ac:dyDescent="0.2">
      <c r="A213" s="18">
        <v>706</v>
      </c>
      <c r="B213" s="18">
        <v>1</v>
      </c>
      <c r="C213" s="3" t="s">
        <v>210</v>
      </c>
      <c r="D213" s="3">
        <f>Levy!F213</f>
        <v>873053.6</v>
      </c>
      <c r="E213" s="3">
        <f>Levy!G213</f>
        <v>133983.17000000001</v>
      </c>
      <c r="F213" s="3">
        <f>Levy!H213</f>
        <v>0</v>
      </c>
      <c r="G213" s="3">
        <f>Levy!I213</f>
        <v>520006.13</v>
      </c>
      <c r="H213" s="3">
        <f>Levy!J213</f>
        <v>0</v>
      </c>
      <c r="I213" s="154">
        <v>0</v>
      </c>
      <c r="J213" s="19">
        <v>12000</v>
      </c>
      <c r="K213" s="19">
        <v>34941.81</v>
      </c>
      <c r="L213" s="19">
        <v>554796</v>
      </c>
      <c r="M213" s="3">
        <v>0</v>
      </c>
      <c r="N213" s="3">
        <v>0</v>
      </c>
      <c r="O213" s="3">
        <v>0</v>
      </c>
      <c r="P213" s="19">
        <v>10452.85</v>
      </c>
      <c r="Q213" s="19">
        <v>0</v>
      </c>
      <c r="R213" s="19">
        <v>0</v>
      </c>
      <c r="S213" s="19">
        <v>-28904.16</v>
      </c>
      <c r="T213" s="3">
        <v>0</v>
      </c>
      <c r="U213" s="3">
        <v>0</v>
      </c>
      <c r="V213" s="21">
        <v>0</v>
      </c>
      <c r="W213" s="21">
        <v>0</v>
      </c>
      <c r="X213" s="3">
        <v>46429.98</v>
      </c>
      <c r="Y213" s="21">
        <v>66181.42</v>
      </c>
      <c r="Z213" s="154">
        <f>Levy!U213</f>
        <v>0</v>
      </c>
      <c r="AA213" s="3">
        <f>Levy!V213</f>
        <v>0</v>
      </c>
      <c r="AB213" s="3">
        <f t="shared" si="13"/>
        <v>583286.5</v>
      </c>
      <c r="AC213" s="3">
        <f t="shared" si="15"/>
        <v>24272.82</v>
      </c>
      <c r="AD213" s="3">
        <f t="shared" si="16"/>
        <v>0</v>
      </c>
      <c r="AE213" s="3">
        <f>ROUND(MAX(0,(D213-V213)*Shift11!$B$3),2)</f>
        <v>424304.05</v>
      </c>
      <c r="AF213" s="3">
        <f t="shared" si="14"/>
        <v>424304.05</v>
      </c>
    </row>
    <row r="214" spans="1:32" x14ac:dyDescent="0.2">
      <c r="A214" s="18">
        <v>707</v>
      </c>
      <c r="B214" s="18">
        <v>1</v>
      </c>
      <c r="C214" s="3" t="s">
        <v>211</v>
      </c>
      <c r="D214" s="3">
        <f>Levy!F214</f>
        <v>26.79</v>
      </c>
      <c r="E214" s="3">
        <f>Levy!G214</f>
        <v>9.77</v>
      </c>
      <c r="F214" s="3">
        <f>Levy!H214</f>
        <v>0</v>
      </c>
      <c r="G214" s="3">
        <f>Levy!I214</f>
        <v>20377.36</v>
      </c>
      <c r="H214" s="3">
        <f>Levy!J214</f>
        <v>1699.78</v>
      </c>
      <c r="I214" s="154">
        <v>0</v>
      </c>
      <c r="J214" s="19">
        <v>0</v>
      </c>
      <c r="K214" s="19">
        <v>0</v>
      </c>
      <c r="L214" s="19">
        <v>0</v>
      </c>
      <c r="M214" s="3">
        <v>0</v>
      </c>
      <c r="N214" s="3">
        <v>0</v>
      </c>
      <c r="O214" s="3">
        <v>0</v>
      </c>
      <c r="P214" s="19">
        <v>1824.41</v>
      </c>
      <c r="Q214" s="19">
        <v>0</v>
      </c>
      <c r="R214" s="19">
        <v>0</v>
      </c>
      <c r="S214" s="19">
        <v>0</v>
      </c>
      <c r="T214" s="3">
        <v>0</v>
      </c>
      <c r="U214" s="3">
        <v>0</v>
      </c>
      <c r="V214" s="21">
        <v>0</v>
      </c>
      <c r="W214" s="21">
        <v>0</v>
      </c>
      <c r="X214" s="3">
        <v>0</v>
      </c>
      <c r="Y214" s="21">
        <v>38.729999999999997</v>
      </c>
      <c r="Z214" s="154">
        <f>Levy!U214</f>
        <v>0</v>
      </c>
      <c r="AA214" s="3">
        <f>Levy!V214</f>
        <v>0</v>
      </c>
      <c r="AB214" s="3">
        <f t="shared" si="13"/>
        <v>1824.41</v>
      </c>
      <c r="AC214" s="3">
        <f t="shared" si="15"/>
        <v>18562.72</v>
      </c>
      <c r="AD214" s="3">
        <f t="shared" si="16"/>
        <v>1699.78</v>
      </c>
      <c r="AE214" s="3">
        <f>ROUND(MAX(0,(D214-V214)*Shift11!$B$3),2)</f>
        <v>13.02</v>
      </c>
      <c r="AF214" s="3">
        <f t="shared" si="14"/>
        <v>38.729999999999997</v>
      </c>
    </row>
    <row r="215" spans="1:32" x14ac:dyDescent="0.2">
      <c r="A215" s="18">
        <v>709</v>
      </c>
      <c r="B215" s="18">
        <v>1</v>
      </c>
      <c r="C215" s="3" t="s">
        <v>212</v>
      </c>
      <c r="D215" s="3">
        <f>Levy!F215</f>
        <v>4865721.28</v>
      </c>
      <c r="E215" s="3">
        <f>Levy!G215</f>
        <v>949922.28</v>
      </c>
      <c r="F215" s="3">
        <f>Levy!H215</f>
        <v>0</v>
      </c>
      <c r="G215" s="3">
        <f>Levy!I215</f>
        <v>4440550.54</v>
      </c>
      <c r="H215" s="3">
        <f>Levy!J215</f>
        <v>1067533.57</v>
      </c>
      <c r="I215" s="154">
        <v>626566.1</v>
      </c>
      <c r="J215" s="19">
        <v>385533.34</v>
      </c>
      <c r="K215" s="19">
        <v>262185.24</v>
      </c>
      <c r="L215" s="19">
        <v>0</v>
      </c>
      <c r="M215" s="3">
        <v>0</v>
      </c>
      <c r="N215" s="3">
        <v>-1238.29</v>
      </c>
      <c r="O215" s="3">
        <v>0</v>
      </c>
      <c r="P215" s="19">
        <v>-4886.91</v>
      </c>
      <c r="Q215" s="19">
        <v>0</v>
      </c>
      <c r="R215" s="19">
        <v>0</v>
      </c>
      <c r="S215" s="19">
        <v>74.64</v>
      </c>
      <c r="T215" s="3">
        <v>0</v>
      </c>
      <c r="U215" s="3">
        <v>0</v>
      </c>
      <c r="V215" s="21">
        <v>0</v>
      </c>
      <c r="W215" s="21">
        <v>0</v>
      </c>
      <c r="X215" s="3">
        <v>0</v>
      </c>
      <c r="Y215" s="21">
        <v>563244.99</v>
      </c>
      <c r="Z215" s="154">
        <f>Levy!U215</f>
        <v>0</v>
      </c>
      <c r="AA215" s="3">
        <f>Levy!V215</f>
        <v>0</v>
      </c>
      <c r="AB215" s="3">
        <f t="shared" si="13"/>
        <v>1268234.1199999999</v>
      </c>
      <c r="AC215" s="3">
        <f t="shared" si="15"/>
        <v>4122238.7</v>
      </c>
      <c r="AD215" s="3">
        <f t="shared" si="16"/>
        <v>1067533.57</v>
      </c>
      <c r="AE215" s="3">
        <f>ROUND(MAX(0,(D215-V215)*Shift11!$B$3),2)</f>
        <v>2364740.54</v>
      </c>
      <c r="AF215" s="3">
        <f t="shared" si="14"/>
        <v>2364740.54</v>
      </c>
    </row>
    <row r="216" spans="1:32" x14ac:dyDescent="0.2">
      <c r="A216" s="18">
        <v>712</v>
      </c>
      <c r="B216" s="18">
        <v>1</v>
      </c>
      <c r="C216" s="3" t="s">
        <v>213</v>
      </c>
      <c r="D216" s="3">
        <f>Levy!F216</f>
        <v>297132.87</v>
      </c>
      <c r="E216" s="3">
        <f>Levy!G216</f>
        <v>56927.68</v>
      </c>
      <c r="F216" s="3">
        <f>Levy!H216</f>
        <v>0</v>
      </c>
      <c r="G216" s="3">
        <f>Levy!I216</f>
        <v>0</v>
      </c>
      <c r="H216" s="3">
        <f>Levy!J216</f>
        <v>0</v>
      </c>
      <c r="I216" s="154">
        <v>0</v>
      </c>
      <c r="J216" s="19">
        <v>10000</v>
      </c>
      <c r="K216" s="19">
        <v>17446.849999999999</v>
      </c>
      <c r="L216" s="19">
        <v>37458</v>
      </c>
      <c r="M216" s="3">
        <v>0</v>
      </c>
      <c r="N216" s="3">
        <v>0</v>
      </c>
      <c r="O216" s="3">
        <v>0</v>
      </c>
      <c r="P216" s="19">
        <v>-1569.68</v>
      </c>
      <c r="Q216" s="19">
        <v>0</v>
      </c>
      <c r="R216" s="19">
        <v>0</v>
      </c>
      <c r="S216" s="19">
        <v>-942</v>
      </c>
      <c r="T216" s="3">
        <v>0</v>
      </c>
      <c r="U216" s="3">
        <v>0</v>
      </c>
      <c r="V216" s="21">
        <v>0</v>
      </c>
      <c r="W216" s="21">
        <v>0</v>
      </c>
      <c r="X216" s="3">
        <v>21715.31</v>
      </c>
      <c r="Y216" s="21">
        <v>26674.799999999999</v>
      </c>
      <c r="Z216" s="154">
        <f>Levy!U216</f>
        <v>0</v>
      </c>
      <c r="AA216" s="3">
        <f>Levy!V216</f>
        <v>0</v>
      </c>
      <c r="AB216" s="3">
        <f t="shared" si="13"/>
        <v>62393.17</v>
      </c>
      <c r="AC216" s="3">
        <f t="shared" si="15"/>
        <v>0</v>
      </c>
      <c r="AD216" s="3">
        <f t="shared" si="16"/>
        <v>0</v>
      </c>
      <c r="AE216" s="3">
        <f>ROUND(MAX(0,(D216-V216)*Shift11!$B$3),2)</f>
        <v>144406.57</v>
      </c>
      <c r="AF216" s="3">
        <f t="shared" si="14"/>
        <v>144406.57</v>
      </c>
    </row>
    <row r="217" spans="1:32" x14ac:dyDescent="0.2">
      <c r="A217" s="18">
        <v>716</v>
      </c>
      <c r="B217" s="18">
        <v>1</v>
      </c>
      <c r="C217" s="3" t="s">
        <v>214</v>
      </c>
      <c r="D217" s="3">
        <f>Levy!F217</f>
        <v>457001.91</v>
      </c>
      <c r="E217" s="3">
        <f>Levy!G217</f>
        <v>252900.08</v>
      </c>
      <c r="F217" s="3">
        <f>Levy!H217</f>
        <v>0</v>
      </c>
      <c r="G217" s="3">
        <f>Levy!I217</f>
        <v>427222.58</v>
      </c>
      <c r="H217" s="3">
        <f>Levy!J217</f>
        <v>134992.59</v>
      </c>
      <c r="I217" s="154">
        <v>0</v>
      </c>
      <c r="J217" s="19">
        <v>5000</v>
      </c>
      <c r="K217" s="19">
        <v>28757.599999999999</v>
      </c>
      <c r="L217" s="19">
        <v>0</v>
      </c>
      <c r="M217" s="3">
        <v>0</v>
      </c>
      <c r="N217" s="3">
        <v>0</v>
      </c>
      <c r="O217" s="3">
        <v>0</v>
      </c>
      <c r="P217" s="19">
        <v>-2862.88</v>
      </c>
      <c r="Q217" s="19">
        <v>0</v>
      </c>
      <c r="R217" s="19">
        <v>-1607.2</v>
      </c>
      <c r="S217" s="19">
        <v>0</v>
      </c>
      <c r="T217" s="3">
        <v>0</v>
      </c>
      <c r="U217" s="3">
        <v>0</v>
      </c>
      <c r="V217" s="21">
        <v>0</v>
      </c>
      <c r="W217" s="21">
        <v>0</v>
      </c>
      <c r="X217" s="3">
        <v>0</v>
      </c>
      <c r="Y217" s="21">
        <v>63260.97</v>
      </c>
      <c r="Z217" s="154">
        <f>Levy!U217</f>
        <v>0</v>
      </c>
      <c r="AA217" s="3">
        <f>Levy!V217</f>
        <v>0</v>
      </c>
      <c r="AB217" s="3">
        <f t="shared" si="13"/>
        <v>29287.519999999997</v>
      </c>
      <c r="AC217" s="3">
        <f t="shared" si="15"/>
        <v>650835.14</v>
      </c>
      <c r="AD217" s="3">
        <f t="shared" si="16"/>
        <v>134992.59</v>
      </c>
      <c r="AE217" s="3">
        <f>ROUND(MAX(0,(D217-V217)*Shift11!$B$3),2)</f>
        <v>222102.93</v>
      </c>
      <c r="AF217" s="3">
        <f t="shared" si="14"/>
        <v>222102.93</v>
      </c>
    </row>
    <row r="218" spans="1:32" x14ac:dyDescent="0.2">
      <c r="A218" s="18">
        <v>717</v>
      </c>
      <c r="B218" s="18">
        <v>1</v>
      </c>
      <c r="C218" s="3" t="s">
        <v>215</v>
      </c>
      <c r="D218" s="3">
        <f>Levy!F218</f>
        <v>1068589.57</v>
      </c>
      <c r="E218" s="3">
        <f>Levy!G218</f>
        <v>299371.84999999998</v>
      </c>
      <c r="F218" s="3">
        <f>Levy!H218</f>
        <v>0</v>
      </c>
      <c r="G218" s="3">
        <f>Levy!I218</f>
        <v>466183.95</v>
      </c>
      <c r="H218" s="3">
        <f>Levy!J218</f>
        <v>130676.12</v>
      </c>
      <c r="I218" s="154">
        <v>0</v>
      </c>
      <c r="J218" s="19">
        <v>15000</v>
      </c>
      <c r="K218" s="19">
        <v>24162.27</v>
      </c>
      <c r="L218" s="19">
        <v>0</v>
      </c>
      <c r="M218" s="3">
        <v>0</v>
      </c>
      <c r="N218" s="3">
        <v>0</v>
      </c>
      <c r="O218" s="3">
        <v>0</v>
      </c>
      <c r="P218" s="19">
        <v>-9630.0300000000007</v>
      </c>
      <c r="Q218" s="19">
        <v>0</v>
      </c>
      <c r="R218" s="19">
        <v>0</v>
      </c>
      <c r="S218" s="19">
        <v>0</v>
      </c>
      <c r="T218" s="3">
        <v>0</v>
      </c>
      <c r="U218" s="3">
        <v>0</v>
      </c>
      <c r="V218" s="21">
        <v>0</v>
      </c>
      <c r="W218" s="21">
        <v>0</v>
      </c>
      <c r="X218" s="3">
        <v>14022.14</v>
      </c>
      <c r="Y218" s="21">
        <v>55047.71</v>
      </c>
      <c r="Z218" s="154">
        <f>Levy!U218</f>
        <v>0</v>
      </c>
      <c r="AA218" s="3">
        <f>Levy!V218</f>
        <v>0</v>
      </c>
      <c r="AB218" s="3">
        <f t="shared" si="13"/>
        <v>29532.240000000005</v>
      </c>
      <c r="AC218" s="3">
        <f t="shared" si="15"/>
        <v>722001.42</v>
      </c>
      <c r="AD218" s="3">
        <f t="shared" si="16"/>
        <v>130676.12</v>
      </c>
      <c r="AE218" s="3">
        <f>ROUND(MAX(0,(D218-V218)*Shift11!$B$3),2)</f>
        <v>519334.53</v>
      </c>
      <c r="AF218" s="3">
        <f t="shared" si="14"/>
        <v>519334.53</v>
      </c>
    </row>
    <row r="219" spans="1:32" x14ac:dyDescent="0.2">
      <c r="A219" s="18">
        <v>719</v>
      </c>
      <c r="B219" s="18">
        <v>1</v>
      </c>
      <c r="C219" s="3" t="s">
        <v>216</v>
      </c>
      <c r="D219" s="3">
        <f>Levy!F219</f>
        <v>8169962.96</v>
      </c>
      <c r="E219" s="3">
        <f>Levy!G219</f>
        <v>854972.59</v>
      </c>
      <c r="F219" s="3">
        <f>Levy!H219</f>
        <v>0</v>
      </c>
      <c r="G219" s="3">
        <f>Levy!I219</f>
        <v>2866787.44</v>
      </c>
      <c r="H219" s="3">
        <f>Levy!J219</f>
        <v>631542.88</v>
      </c>
      <c r="I219" s="154">
        <v>0</v>
      </c>
      <c r="J219" s="19">
        <v>200000</v>
      </c>
      <c r="K219" s="19">
        <v>104504.23</v>
      </c>
      <c r="L219" s="19">
        <v>0</v>
      </c>
      <c r="M219" s="3">
        <v>0</v>
      </c>
      <c r="N219" s="3">
        <v>0</v>
      </c>
      <c r="O219" s="3">
        <v>0</v>
      </c>
      <c r="P219" s="19">
        <v>13079.26</v>
      </c>
      <c r="Q219" s="19">
        <v>0</v>
      </c>
      <c r="R219" s="19">
        <v>-5255.48</v>
      </c>
      <c r="S219" s="19">
        <v>0</v>
      </c>
      <c r="T219" s="3">
        <v>0</v>
      </c>
      <c r="U219" s="3">
        <v>0</v>
      </c>
      <c r="V219" s="21">
        <v>0</v>
      </c>
      <c r="W219" s="21">
        <v>0</v>
      </c>
      <c r="X219" s="3">
        <v>0</v>
      </c>
      <c r="Y219" s="21">
        <v>893301.55</v>
      </c>
      <c r="Z219" s="154">
        <f>Levy!U219</f>
        <v>0</v>
      </c>
      <c r="AA219" s="3">
        <f>Levy!V219</f>
        <v>0</v>
      </c>
      <c r="AB219" s="3">
        <f t="shared" si="13"/>
        <v>312328.01</v>
      </c>
      <c r="AC219" s="3">
        <f t="shared" si="15"/>
        <v>3409432.02</v>
      </c>
      <c r="AD219" s="3">
        <f t="shared" si="16"/>
        <v>631542.88</v>
      </c>
      <c r="AE219" s="3">
        <f>ROUND(MAX(0,(D219-V219)*Shift11!$B$3),2)</f>
        <v>3970602</v>
      </c>
      <c r="AF219" s="3">
        <f t="shared" si="14"/>
        <v>3970602</v>
      </c>
    </row>
    <row r="220" spans="1:32" x14ac:dyDescent="0.2">
      <c r="A220" s="18">
        <v>720</v>
      </c>
      <c r="B220" s="18">
        <v>1</v>
      </c>
      <c r="C220" s="3" t="s">
        <v>217</v>
      </c>
      <c r="D220" s="3">
        <f>Levy!F220</f>
        <v>4760430.25</v>
      </c>
      <c r="E220" s="3">
        <f>Levy!G220</f>
        <v>1370197.58</v>
      </c>
      <c r="F220" s="3">
        <f>Levy!H220</f>
        <v>0</v>
      </c>
      <c r="G220" s="3">
        <f>Levy!I220</f>
        <v>1469727.42</v>
      </c>
      <c r="H220" s="3">
        <f>Levy!J220</f>
        <v>478006.72</v>
      </c>
      <c r="I220" s="154">
        <v>0</v>
      </c>
      <c r="J220" s="19">
        <v>32500</v>
      </c>
      <c r="K220" s="19">
        <v>80599.240000000005</v>
      </c>
      <c r="L220" s="19">
        <v>0</v>
      </c>
      <c r="M220" s="3">
        <v>0</v>
      </c>
      <c r="N220" s="3">
        <v>0</v>
      </c>
      <c r="O220" s="3">
        <v>0</v>
      </c>
      <c r="P220" s="19">
        <v>-8296.31</v>
      </c>
      <c r="Q220" s="19">
        <v>0</v>
      </c>
      <c r="R220" s="19">
        <v>-1283.46</v>
      </c>
      <c r="S220" s="19">
        <v>0</v>
      </c>
      <c r="T220" s="3">
        <v>0</v>
      </c>
      <c r="U220" s="3">
        <v>0</v>
      </c>
      <c r="V220" s="21">
        <v>0</v>
      </c>
      <c r="W220" s="21">
        <v>0</v>
      </c>
      <c r="X220" s="3">
        <v>5134.3100000000004</v>
      </c>
      <c r="Y220" s="21">
        <v>747920.6</v>
      </c>
      <c r="Z220" s="154">
        <f>Levy!U220</f>
        <v>0</v>
      </c>
      <c r="AA220" s="3">
        <f>Levy!V220</f>
        <v>0</v>
      </c>
      <c r="AB220" s="3">
        <f t="shared" si="13"/>
        <v>103519.47</v>
      </c>
      <c r="AC220" s="3">
        <f t="shared" si="15"/>
        <v>2731271.22</v>
      </c>
      <c r="AD220" s="3">
        <f t="shared" si="16"/>
        <v>478006.72</v>
      </c>
      <c r="AE220" s="3">
        <f>ROUND(MAX(0,(D220-V220)*Shift11!$B$3),2)</f>
        <v>2313569.1</v>
      </c>
      <c r="AF220" s="3">
        <f t="shared" si="14"/>
        <v>2313569.1</v>
      </c>
    </row>
    <row r="221" spans="1:32" x14ac:dyDescent="0.2">
      <c r="A221" s="18">
        <v>721</v>
      </c>
      <c r="B221" s="18">
        <v>1</v>
      </c>
      <c r="C221" s="3" t="s">
        <v>218</v>
      </c>
      <c r="D221" s="3">
        <f>Levy!F221</f>
        <v>2907810.91</v>
      </c>
      <c r="E221" s="3">
        <f>Levy!G221</f>
        <v>592889.68000000005</v>
      </c>
      <c r="F221" s="3">
        <f>Levy!H221</f>
        <v>0</v>
      </c>
      <c r="G221" s="3">
        <f>Levy!I221</f>
        <v>1258375.3400000001</v>
      </c>
      <c r="H221" s="3">
        <f>Levy!J221</f>
        <v>218669.95</v>
      </c>
      <c r="I221" s="154">
        <v>0</v>
      </c>
      <c r="J221" s="19">
        <v>35000</v>
      </c>
      <c r="K221" s="19">
        <v>54981.85</v>
      </c>
      <c r="L221" s="19">
        <v>0</v>
      </c>
      <c r="M221" s="3">
        <v>0</v>
      </c>
      <c r="N221" s="3">
        <v>0</v>
      </c>
      <c r="O221" s="3">
        <v>0</v>
      </c>
      <c r="P221" s="19">
        <v>8737.25</v>
      </c>
      <c r="Q221" s="19">
        <v>0</v>
      </c>
      <c r="R221" s="19">
        <v>14449.77</v>
      </c>
      <c r="S221" s="19">
        <v>0</v>
      </c>
      <c r="T221" s="3">
        <v>0</v>
      </c>
      <c r="U221" s="3">
        <v>0</v>
      </c>
      <c r="V221" s="21">
        <v>0</v>
      </c>
      <c r="W221" s="21">
        <v>0</v>
      </c>
      <c r="X221" s="3">
        <v>0</v>
      </c>
      <c r="Y221" s="21">
        <v>161681.19</v>
      </c>
      <c r="Z221" s="154">
        <f>Levy!U221</f>
        <v>0</v>
      </c>
      <c r="AA221" s="3">
        <f>Levy!V221</f>
        <v>0</v>
      </c>
      <c r="AB221" s="3">
        <f t="shared" si="13"/>
        <v>113168.87000000001</v>
      </c>
      <c r="AC221" s="3">
        <f t="shared" si="15"/>
        <v>1738096.15</v>
      </c>
      <c r="AD221" s="3">
        <f t="shared" si="16"/>
        <v>218669.95</v>
      </c>
      <c r="AE221" s="3">
        <f>ROUND(MAX(0,(D221-V221)*Shift11!$B$3),2)</f>
        <v>1413196.1</v>
      </c>
      <c r="AF221" s="3">
        <f t="shared" si="14"/>
        <v>1413196.1</v>
      </c>
    </row>
    <row r="222" spans="1:32" x14ac:dyDescent="0.2">
      <c r="A222" s="18">
        <v>726</v>
      </c>
      <c r="B222" s="18">
        <v>1</v>
      </c>
      <c r="C222" s="3" t="s">
        <v>219</v>
      </c>
      <c r="D222" s="3">
        <f>Levy!F222</f>
        <v>2220791.9900000002</v>
      </c>
      <c r="E222" s="3">
        <f>Levy!G222</f>
        <v>325209.74</v>
      </c>
      <c r="F222" s="3">
        <f>Levy!H222</f>
        <v>412139</v>
      </c>
      <c r="G222" s="3">
        <f>Levy!I222</f>
        <v>1216081.9199999999</v>
      </c>
      <c r="H222" s="3">
        <f>Levy!J222</f>
        <v>193254.51</v>
      </c>
      <c r="I222" s="154">
        <v>0</v>
      </c>
      <c r="J222" s="19">
        <v>45083.82</v>
      </c>
      <c r="K222" s="19">
        <v>28850.52</v>
      </c>
      <c r="L222" s="19">
        <v>0</v>
      </c>
      <c r="M222" s="3">
        <v>0</v>
      </c>
      <c r="N222" s="3">
        <v>0</v>
      </c>
      <c r="O222" s="3">
        <v>0</v>
      </c>
      <c r="P222" s="19">
        <v>8253.59</v>
      </c>
      <c r="Q222" s="19">
        <v>-12787.62</v>
      </c>
      <c r="R222" s="19">
        <v>0</v>
      </c>
      <c r="S222" s="19">
        <v>0</v>
      </c>
      <c r="T222" s="3">
        <v>0</v>
      </c>
      <c r="U222" s="3">
        <v>0</v>
      </c>
      <c r="V222" s="21">
        <v>0</v>
      </c>
      <c r="W222" s="21">
        <v>0</v>
      </c>
      <c r="X222" s="3">
        <v>0</v>
      </c>
      <c r="Y222" s="21">
        <v>783519.3</v>
      </c>
      <c r="Z222" s="154">
        <f>Levy!U222</f>
        <v>0</v>
      </c>
      <c r="AA222" s="3">
        <f>Levy!V222</f>
        <v>0</v>
      </c>
      <c r="AB222" s="3">
        <f t="shared" si="13"/>
        <v>69400.31</v>
      </c>
      <c r="AC222" s="3">
        <f t="shared" si="15"/>
        <v>1884030.35</v>
      </c>
      <c r="AD222" s="3">
        <f t="shared" si="16"/>
        <v>193254.51</v>
      </c>
      <c r="AE222" s="3">
        <f>ROUND(MAX(0,(D222-V222)*Shift11!$B$3),2)</f>
        <v>1079304.9099999999</v>
      </c>
      <c r="AF222" s="3">
        <f t="shared" si="14"/>
        <v>1079304.9099999999</v>
      </c>
    </row>
    <row r="223" spans="1:32" x14ac:dyDescent="0.2">
      <c r="A223" s="18">
        <v>727</v>
      </c>
      <c r="B223" s="18">
        <v>1</v>
      </c>
      <c r="C223" s="3" t="s">
        <v>220</v>
      </c>
      <c r="D223" s="3">
        <f>Levy!F223</f>
        <v>1393881.97</v>
      </c>
      <c r="E223" s="3">
        <f>Levy!G223</f>
        <v>317308.93</v>
      </c>
      <c r="F223" s="3">
        <f>Levy!H223</f>
        <v>0</v>
      </c>
      <c r="G223" s="3">
        <f>Levy!I223</f>
        <v>838434.93</v>
      </c>
      <c r="H223" s="3">
        <f>Levy!J223</f>
        <v>250130.88</v>
      </c>
      <c r="I223" s="154">
        <v>0</v>
      </c>
      <c r="J223" s="19">
        <v>65000</v>
      </c>
      <c r="K223" s="19">
        <v>33742.03</v>
      </c>
      <c r="L223" s="19">
        <v>0</v>
      </c>
      <c r="M223" s="3">
        <v>0</v>
      </c>
      <c r="N223" s="3">
        <v>0</v>
      </c>
      <c r="O223" s="3">
        <v>0</v>
      </c>
      <c r="P223" s="19">
        <v>-472.34</v>
      </c>
      <c r="Q223" s="19">
        <v>0</v>
      </c>
      <c r="R223" s="19">
        <v>-1228.3499999999999</v>
      </c>
      <c r="S223" s="19">
        <v>0</v>
      </c>
      <c r="T223" s="3">
        <v>0</v>
      </c>
      <c r="U223" s="3">
        <v>0</v>
      </c>
      <c r="V223" s="21">
        <v>0</v>
      </c>
      <c r="W223" s="21">
        <v>0</v>
      </c>
      <c r="X223" s="3">
        <v>0</v>
      </c>
      <c r="Y223" s="21">
        <v>115044.4</v>
      </c>
      <c r="Z223" s="154">
        <f>Levy!U223</f>
        <v>0</v>
      </c>
      <c r="AA223" s="3">
        <f>Levy!V223</f>
        <v>0</v>
      </c>
      <c r="AB223" s="3">
        <f t="shared" si="13"/>
        <v>97041.34</v>
      </c>
      <c r="AC223" s="3">
        <f t="shared" si="15"/>
        <v>1058702.52</v>
      </c>
      <c r="AD223" s="3">
        <f t="shared" si="16"/>
        <v>250130.88</v>
      </c>
      <c r="AE223" s="3">
        <f>ROUND(MAX(0,(D223-V223)*Shift11!$B$3),2)</f>
        <v>677426.64</v>
      </c>
      <c r="AF223" s="3">
        <f t="shared" si="14"/>
        <v>677426.64</v>
      </c>
    </row>
    <row r="224" spans="1:32" x14ac:dyDescent="0.2">
      <c r="A224" s="18">
        <v>728</v>
      </c>
      <c r="B224" s="18">
        <v>1</v>
      </c>
      <c r="C224" s="3" t="s">
        <v>221</v>
      </c>
      <c r="D224" s="3">
        <f>Levy!F224</f>
        <v>9464360.0600000005</v>
      </c>
      <c r="E224" s="3">
        <f>Levy!G224</f>
        <v>1292986.96</v>
      </c>
      <c r="F224" s="3">
        <f>Levy!H224</f>
        <v>0</v>
      </c>
      <c r="G224" s="3">
        <f>Levy!I224</f>
        <v>6967708.7400000002</v>
      </c>
      <c r="H224" s="3">
        <f>Levy!J224</f>
        <v>862292.22</v>
      </c>
      <c r="I224" s="154">
        <v>0</v>
      </c>
      <c r="J224" s="19">
        <v>235000</v>
      </c>
      <c r="K224" s="19">
        <v>149787</v>
      </c>
      <c r="L224" s="19">
        <v>0</v>
      </c>
      <c r="M224" s="3">
        <v>0</v>
      </c>
      <c r="N224" s="3">
        <v>0</v>
      </c>
      <c r="O224" s="3">
        <v>0</v>
      </c>
      <c r="P224" s="19">
        <v>60385.67</v>
      </c>
      <c r="Q224" s="19">
        <v>0</v>
      </c>
      <c r="R224" s="19">
        <v>0</v>
      </c>
      <c r="S224" s="19">
        <v>0</v>
      </c>
      <c r="T224" s="3">
        <v>0</v>
      </c>
      <c r="U224" s="3">
        <v>0</v>
      </c>
      <c r="V224" s="21">
        <v>0</v>
      </c>
      <c r="W224" s="21">
        <v>0</v>
      </c>
      <c r="X224" s="3">
        <v>118407.02</v>
      </c>
      <c r="Y224" s="21">
        <v>1478546.91</v>
      </c>
      <c r="Z224" s="154">
        <f>Levy!U224</f>
        <v>0</v>
      </c>
      <c r="AA224" s="3">
        <f>Levy!V224</f>
        <v>0</v>
      </c>
      <c r="AB224" s="3">
        <f t="shared" si="13"/>
        <v>445172.67</v>
      </c>
      <c r="AC224" s="3">
        <f t="shared" si="15"/>
        <v>7697116.0099999998</v>
      </c>
      <c r="AD224" s="3">
        <f t="shared" si="16"/>
        <v>862292.22</v>
      </c>
      <c r="AE224" s="3">
        <f>ROUND(MAX(0,(D224-V224)*Shift11!$B$3),2)</f>
        <v>4599678.99</v>
      </c>
      <c r="AF224" s="3">
        <f t="shared" si="14"/>
        <v>4599678.99</v>
      </c>
    </row>
    <row r="225" spans="1:32" x14ac:dyDescent="0.2">
      <c r="A225" s="18">
        <v>738</v>
      </c>
      <c r="B225" s="18">
        <v>1</v>
      </c>
      <c r="C225" s="3" t="s">
        <v>222</v>
      </c>
      <c r="D225" s="3">
        <f>Levy!F225</f>
        <v>322089.59999999998</v>
      </c>
      <c r="E225" s="3">
        <f>Levy!G225</f>
        <v>72670.990000000005</v>
      </c>
      <c r="F225" s="3">
        <f>Levy!H225</f>
        <v>0</v>
      </c>
      <c r="G225" s="3">
        <f>Levy!I225</f>
        <v>36557.040000000001</v>
      </c>
      <c r="H225" s="3">
        <f>Levy!J225</f>
        <v>58197.91</v>
      </c>
      <c r="I225" s="154">
        <v>0</v>
      </c>
      <c r="J225" s="19">
        <v>5000</v>
      </c>
      <c r="K225" s="19">
        <v>22375.33</v>
      </c>
      <c r="L225" s="19">
        <v>0</v>
      </c>
      <c r="M225" s="3">
        <v>0</v>
      </c>
      <c r="N225" s="3">
        <v>0</v>
      </c>
      <c r="O225" s="3">
        <v>0</v>
      </c>
      <c r="P225" s="19">
        <v>-4893.32</v>
      </c>
      <c r="Q225" s="19">
        <v>0</v>
      </c>
      <c r="R225" s="19">
        <v>0</v>
      </c>
      <c r="S225" s="19">
        <v>0</v>
      </c>
      <c r="T225" s="3">
        <v>0</v>
      </c>
      <c r="U225" s="3">
        <v>0</v>
      </c>
      <c r="V225" s="21">
        <v>0</v>
      </c>
      <c r="W225" s="21">
        <v>0</v>
      </c>
      <c r="X225" s="3">
        <v>0</v>
      </c>
      <c r="Y225" s="21">
        <v>34772.33</v>
      </c>
      <c r="Z225" s="154">
        <f>Levy!U225</f>
        <v>0</v>
      </c>
      <c r="AA225" s="3">
        <f>Levy!V225</f>
        <v>0</v>
      </c>
      <c r="AB225" s="3">
        <f t="shared" si="13"/>
        <v>22482.010000000002</v>
      </c>
      <c r="AC225" s="3">
        <f t="shared" si="15"/>
        <v>86746.02</v>
      </c>
      <c r="AD225" s="3">
        <f t="shared" si="16"/>
        <v>58197.91</v>
      </c>
      <c r="AE225" s="3">
        <f>ROUND(MAX(0,(D225-V225)*Shift11!$B$3),2)</f>
        <v>156535.54999999999</v>
      </c>
      <c r="AF225" s="3">
        <f t="shared" si="14"/>
        <v>156535.54999999999</v>
      </c>
    </row>
    <row r="226" spans="1:32" x14ac:dyDescent="0.2">
      <c r="A226" s="18">
        <v>739</v>
      </c>
      <c r="B226" s="18">
        <v>1</v>
      </c>
      <c r="C226" s="3" t="s">
        <v>223</v>
      </c>
      <c r="D226" s="3">
        <f>Levy!F226</f>
        <v>655710.47</v>
      </c>
      <c r="E226" s="3">
        <f>Levy!G226</f>
        <v>68110.64</v>
      </c>
      <c r="F226" s="3">
        <f>Levy!H226</f>
        <v>0</v>
      </c>
      <c r="G226" s="3">
        <f>Levy!I226</f>
        <v>277231.25</v>
      </c>
      <c r="H226" s="3">
        <f>Levy!J226</f>
        <v>65659.429999999993</v>
      </c>
      <c r="I226" s="154">
        <v>0</v>
      </c>
      <c r="J226" s="19">
        <v>10000</v>
      </c>
      <c r="K226" s="19">
        <v>15500.8</v>
      </c>
      <c r="L226" s="19">
        <v>0</v>
      </c>
      <c r="M226" s="3">
        <v>0</v>
      </c>
      <c r="N226" s="3">
        <v>0</v>
      </c>
      <c r="O226" s="3">
        <v>0</v>
      </c>
      <c r="P226" s="19">
        <v>-18965.900000000001</v>
      </c>
      <c r="Q226" s="19">
        <v>0</v>
      </c>
      <c r="R226" s="19">
        <v>623.20000000000005</v>
      </c>
      <c r="S226" s="19">
        <v>0</v>
      </c>
      <c r="T226" s="3">
        <v>0</v>
      </c>
      <c r="U226" s="3">
        <v>0</v>
      </c>
      <c r="V226" s="21">
        <v>0</v>
      </c>
      <c r="W226" s="21">
        <v>0</v>
      </c>
      <c r="X226" s="3">
        <v>0</v>
      </c>
      <c r="Y226" s="21">
        <v>43638.03</v>
      </c>
      <c r="Z226" s="154">
        <f>Levy!U226</f>
        <v>0</v>
      </c>
      <c r="AA226" s="3">
        <f>Levy!V226</f>
        <v>0</v>
      </c>
      <c r="AB226" s="3">
        <f t="shared" si="13"/>
        <v>7158.0999999999976</v>
      </c>
      <c r="AC226" s="3">
        <f t="shared" si="15"/>
        <v>338183.79</v>
      </c>
      <c r="AD226" s="3">
        <f t="shared" si="16"/>
        <v>65659.429999999993</v>
      </c>
      <c r="AE226" s="3">
        <f>ROUND(MAX(0,(D226-V226)*Shift11!$B$3),2)</f>
        <v>318675.28999999998</v>
      </c>
      <c r="AF226" s="3">
        <f t="shared" si="14"/>
        <v>318675.28999999998</v>
      </c>
    </row>
    <row r="227" spans="1:32" x14ac:dyDescent="0.2">
      <c r="A227" s="18">
        <v>740</v>
      </c>
      <c r="B227" s="18">
        <v>1</v>
      </c>
      <c r="C227" s="3" t="s">
        <v>224</v>
      </c>
      <c r="D227" s="3">
        <f>Levy!F227</f>
        <v>717766.95</v>
      </c>
      <c r="E227" s="3">
        <f>Levy!G227</f>
        <v>107679.05</v>
      </c>
      <c r="F227" s="3">
        <f>Levy!H227</f>
        <v>0</v>
      </c>
      <c r="G227" s="3">
        <f>Levy!I227</f>
        <v>490704.65</v>
      </c>
      <c r="H227" s="3">
        <f>Levy!J227</f>
        <v>101703.89</v>
      </c>
      <c r="I227" s="154">
        <v>0</v>
      </c>
      <c r="J227" s="19">
        <v>20000</v>
      </c>
      <c r="K227" s="19">
        <v>30156</v>
      </c>
      <c r="L227" s="19">
        <v>0</v>
      </c>
      <c r="M227" s="3">
        <v>0</v>
      </c>
      <c r="N227" s="3">
        <v>0</v>
      </c>
      <c r="O227" s="3">
        <v>0</v>
      </c>
      <c r="P227" s="19">
        <v>-9115.58</v>
      </c>
      <c r="Q227" s="19">
        <v>0</v>
      </c>
      <c r="R227" s="19">
        <v>0</v>
      </c>
      <c r="S227" s="19">
        <v>0</v>
      </c>
      <c r="T227" s="3">
        <v>0</v>
      </c>
      <c r="U227" s="3">
        <v>0</v>
      </c>
      <c r="V227" s="21">
        <v>0</v>
      </c>
      <c r="W227" s="21">
        <v>0</v>
      </c>
      <c r="X227" s="3">
        <v>0</v>
      </c>
      <c r="Y227" s="21">
        <v>52270.81</v>
      </c>
      <c r="Z227" s="154">
        <f>Levy!U227</f>
        <v>0</v>
      </c>
      <c r="AA227" s="3">
        <f>Levy!V227</f>
        <v>0</v>
      </c>
      <c r="AB227" s="3">
        <f t="shared" si="13"/>
        <v>41040.42</v>
      </c>
      <c r="AC227" s="3">
        <f t="shared" si="15"/>
        <v>557343.28</v>
      </c>
      <c r="AD227" s="3">
        <f t="shared" si="16"/>
        <v>101703.89</v>
      </c>
      <c r="AE227" s="3">
        <f>ROUND(MAX(0,(D227-V227)*Shift11!$B$3),2)</f>
        <v>348834.74</v>
      </c>
      <c r="AF227" s="3">
        <f t="shared" si="14"/>
        <v>348834.74</v>
      </c>
    </row>
    <row r="228" spans="1:32" x14ac:dyDescent="0.2">
      <c r="A228" s="18">
        <v>741</v>
      </c>
      <c r="B228" s="18">
        <v>1</v>
      </c>
      <c r="C228" s="3" t="s">
        <v>225</v>
      </c>
      <c r="D228" s="3">
        <f>Levy!F228</f>
        <v>382623.37</v>
      </c>
      <c r="E228" s="3">
        <f>Levy!G228</f>
        <v>115727.16</v>
      </c>
      <c r="F228" s="3">
        <f>Levy!H228</f>
        <v>0</v>
      </c>
      <c r="G228" s="3">
        <f>Levy!I228</f>
        <v>373043.37</v>
      </c>
      <c r="H228" s="3">
        <f>Levy!J228</f>
        <v>79999.16</v>
      </c>
      <c r="I228" s="154">
        <v>0</v>
      </c>
      <c r="J228" s="19">
        <v>10000</v>
      </c>
      <c r="K228" s="19">
        <v>23914.080000000002</v>
      </c>
      <c r="L228" s="19">
        <v>0</v>
      </c>
      <c r="M228" s="3">
        <v>0</v>
      </c>
      <c r="N228" s="3">
        <v>0</v>
      </c>
      <c r="O228" s="3">
        <v>0</v>
      </c>
      <c r="P228" s="19">
        <v>-7207.81</v>
      </c>
      <c r="Q228" s="19">
        <v>0</v>
      </c>
      <c r="R228" s="19">
        <v>0</v>
      </c>
      <c r="S228" s="19">
        <v>0</v>
      </c>
      <c r="T228" s="3">
        <v>0</v>
      </c>
      <c r="U228" s="3">
        <v>0</v>
      </c>
      <c r="V228" s="21">
        <v>0</v>
      </c>
      <c r="W228" s="21">
        <v>0</v>
      </c>
      <c r="X228" s="3">
        <v>14724.96</v>
      </c>
      <c r="Y228" s="21">
        <v>50390.3</v>
      </c>
      <c r="Z228" s="154">
        <f>Levy!U228</f>
        <v>0</v>
      </c>
      <c r="AA228" s="3">
        <f>Levy!V228</f>
        <v>0</v>
      </c>
      <c r="AB228" s="3">
        <f t="shared" si="13"/>
        <v>26706.27</v>
      </c>
      <c r="AC228" s="3">
        <f t="shared" si="15"/>
        <v>447339.3</v>
      </c>
      <c r="AD228" s="3">
        <f t="shared" si="16"/>
        <v>79999.16</v>
      </c>
      <c r="AE228" s="3">
        <f>ROUND(MAX(0,(D228-V228)*Shift11!$B$3),2)</f>
        <v>185954.96</v>
      </c>
      <c r="AF228" s="3">
        <f t="shared" si="14"/>
        <v>185954.96</v>
      </c>
    </row>
    <row r="229" spans="1:32" x14ac:dyDescent="0.2">
      <c r="A229" s="18">
        <v>742</v>
      </c>
      <c r="B229" s="18">
        <v>1</v>
      </c>
      <c r="C229" s="3" t="s">
        <v>226</v>
      </c>
      <c r="D229" s="3">
        <f>Levy!F229</f>
        <v>5918517.75</v>
      </c>
      <c r="E229" s="3">
        <f>Levy!G229</f>
        <v>1157466.76</v>
      </c>
      <c r="F229" s="3">
        <f>Levy!H229</f>
        <v>0</v>
      </c>
      <c r="G229" s="3">
        <f>Levy!I229</f>
        <v>6710295.0300000003</v>
      </c>
      <c r="H229" s="3">
        <f>Levy!J229</f>
        <v>1279899.1599999999</v>
      </c>
      <c r="I229" s="154">
        <v>0</v>
      </c>
      <c r="J229" s="19">
        <v>128000</v>
      </c>
      <c r="K229" s="19">
        <v>194676.8</v>
      </c>
      <c r="L229" s="19">
        <v>4001.7</v>
      </c>
      <c r="M229" s="3">
        <v>0</v>
      </c>
      <c r="N229" s="3">
        <v>0</v>
      </c>
      <c r="O229" s="3">
        <v>0</v>
      </c>
      <c r="P229" s="19">
        <v>-21987.45</v>
      </c>
      <c r="Q229" s="19">
        <v>0</v>
      </c>
      <c r="R229" s="19">
        <v>-6042.02</v>
      </c>
      <c r="S229" s="19">
        <v>671.7</v>
      </c>
      <c r="T229" s="3">
        <v>0</v>
      </c>
      <c r="U229" s="3">
        <v>0</v>
      </c>
      <c r="V229" s="21">
        <v>0</v>
      </c>
      <c r="W229" s="21">
        <v>0</v>
      </c>
      <c r="X229" s="3">
        <v>0</v>
      </c>
      <c r="Y229" s="21">
        <v>1164341.68</v>
      </c>
      <c r="Z229" s="154">
        <f>Levy!U229</f>
        <v>0</v>
      </c>
      <c r="AA229" s="3">
        <f>Levy!V229</f>
        <v>0</v>
      </c>
      <c r="AB229" s="3">
        <f t="shared" si="13"/>
        <v>299320.73</v>
      </c>
      <c r="AC229" s="3">
        <f t="shared" si="15"/>
        <v>7568441.0599999996</v>
      </c>
      <c r="AD229" s="3">
        <f t="shared" si="16"/>
        <v>1279899.1599999999</v>
      </c>
      <c r="AE229" s="3">
        <f>ROUND(MAX(0,(D229-V229)*Shift11!$B$3),2)</f>
        <v>2876399.63</v>
      </c>
      <c r="AF229" s="3">
        <f t="shared" si="14"/>
        <v>2876399.63</v>
      </c>
    </row>
    <row r="230" spans="1:32" x14ac:dyDescent="0.2">
      <c r="A230" s="18">
        <v>743</v>
      </c>
      <c r="B230" s="18">
        <v>1</v>
      </c>
      <c r="C230" s="3" t="s">
        <v>227</v>
      </c>
      <c r="D230" s="3">
        <f>Levy!F230</f>
        <v>1076386.1299999999</v>
      </c>
      <c r="E230" s="3">
        <f>Levy!G230</f>
        <v>90756.91</v>
      </c>
      <c r="F230" s="3">
        <f>Levy!H230</f>
        <v>0</v>
      </c>
      <c r="G230" s="3">
        <f>Levy!I230</f>
        <v>199394.79</v>
      </c>
      <c r="H230" s="3">
        <f>Levy!J230</f>
        <v>87080.34</v>
      </c>
      <c r="I230" s="154">
        <v>0</v>
      </c>
      <c r="J230" s="19">
        <v>20000</v>
      </c>
      <c r="K230" s="19">
        <v>28432.77</v>
      </c>
      <c r="L230" s="19">
        <v>0</v>
      </c>
      <c r="M230" s="3">
        <v>0</v>
      </c>
      <c r="N230" s="3">
        <v>0</v>
      </c>
      <c r="O230" s="3">
        <v>0</v>
      </c>
      <c r="P230" s="19">
        <v>-11603.36</v>
      </c>
      <c r="Q230" s="19">
        <v>0</v>
      </c>
      <c r="R230" s="19">
        <v>0</v>
      </c>
      <c r="S230" s="19">
        <v>0</v>
      </c>
      <c r="T230" s="3">
        <v>0</v>
      </c>
      <c r="U230" s="3">
        <v>0</v>
      </c>
      <c r="V230" s="21">
        <v>0</v>
      </c>
      <c r="W230" s="21">
        <v>0</v>
      </c>
      <c r="X230" s="3">
        <v>0</v>
      </c>
      <c r="Y230" s="21">
        <v>35407.78</v>
      </c>
      <c r="Z230" s="154">
        <f>Levy!U230</f>
        <v>0</v>
      </c>
      <c r="AA230" s="3">
        <f>Levy!V230</f>
        <v>0</v>
      </c>
      <c r="AB230" s="3">
        <f t="shared" si="13"/>
        <v>36829.410000000003</v>
      </c>
      <c r="AC230" s="3">
        <f t="shared" si="15"/>
        <v>253322.29</v>
      </c>
      <c r="AD230" s="3">
        <f t="shared" si="16"/>
        <v>87080.34</v>
      </c>
      <c r="AE230" s="3">
        <f>ROUND(MAX(0,(D230-V230)*Shift11!$B$3),2)</f>
        <v>523123.66</v>
      </c>
      <c r="AF230" s="3">
        <f t="shared" si="14"/>
        <v>523123.66</v>
      </c>
    </row>
    <row r="231" spans="1:32" x14ac:dyDescent="0.2">
      <c r="A231" s="18">
        <v>745</v>
      </c>
      <c r="B231" s="18">
        <v>1</v>
      </c>
      <c r="C231" s="3" t="s">
        <v>228</v>
      </c>
      <c r="D231" s="3">
        <f>Levy!F231</f>
        <v>542906.17000000004</v>
      </c>
      <c r="E231" s="3">
        <f>Levy!G231</f>
        <v>194911.23</v>
      </c>
      <c r="F231" s="3">
        <f>Levy!H231</f>
        <v>0</v>
      </c>
      <c r="G231" s="3">
        <f>Levy!I231</f>
        <v>304429.40000000002</v>
      </c>
      <c r="H231" s="3">
        <f>Levy!J231</f>
        <v>100325.94</v>
      </c>
      <c r="I231" s="154">
        <v>0</v>
      </c>
      <c r="J231" s="19">
        <v>348.38</v>
      </c>
      <c r="K231" s="19">
        <v>35480.19</v>
      </c>
      <c r="L231" s="19">
        <v>0</v>
      </c>
      <c r="M231" s="3">
        <v>0</v>
      </c>
      <c r="N231" s="3">
        <v>0</v>
      </c>
      <c r="O231" s="3">
        <v>0</v>
      </c>
      <c r="P231" s="19">
        <v>-335.56</v>
      </c>
      <c r="Q231" s="19">
        <v>0</v>
      </c>
      <c r="R231" s="19">
        <v>0</v>
      </c>
      <c r="S231" s="19">
        <v>0</v>
      </c>
      <c r="T231" s="3">
        <v>0</v>
      </c>
      <c r="U231" s="3">
        <v>0</v>
      </c>
      <c r="V231" s="21">
        <v>0</v>
      </c>
      <c r="W231" s="21">
        <v>0</v>
      </c>
      <c r="X231" s="3">
        <v>0</v>
      </c>
      <c r="Y231" s="21">
        <v>60324.53</v>
      </c>
      <c r="Z231" s="154">
        <f>Levy!U231</f>
        <v>0</v>
      </c>
      <c r="AA231" s="3">
        <f>Levy!V231</f>
        <v>0</v>
      </c>
      <c r="AB231" s="3">
        <f t="shared" si="13"/>
        <v>35493.01</v>
      </c>
      <c r="AC231" s="3">
        <f t="shared" si="15"/>
        <v>463847.62</v>
      </c>
      <c r="AD231" s="3">
        <f t="shared" si="16"/>
        <v>100325.94</v>
      </c>
      <c r="AE231" s="3">
        <f>ROUND(MAX(0,(D231-V231)*Shift11!$B$3),2)</f>
        <v>263852.40000000002</v>
      </c>
      <c r="AF231" s="3">
        <f t="shared" si="14"/>
        <v>263852.40000000002</v>
      </c>
    </row>
    <row r="232" spans="1:32" x14ac:dyDescent="0.2">
      <c r="A232" s="18">
        <v>748</v>
      </c>
      <c r="B232" s="18">
        <v>1</v>
      </c>
      <c r="C232" s="3" t="s">
        <v>229</v>
      </c>
      <c r="D232" s="3">
        <f>Levy!F232</f>
        <v>844054.69</v>
      </c>
      <c r="E232" s="3">
        <f>Levy!G232</f>
        <v>338449.11</v>
      </c>
      <c r="F232" s="3">
        <f>Levy!H232</f>
        <v>0</v>
      </c>
      <c r="G232" s="3">
        <f>Levy!I232</f>
        <v>902444.13</v>
      </c>
      <c r="H232" s="3">
        <f>Levy!J232</f>
        <v>172882.32</v>
      </c>
      <c r="I232" s="154">
        <v>0</v>
      </c>
      <c r="J232" s="19">
        <v>95000</v>
      </c>
      <c r="K232" s="19">
        <v>59817.599999999999</v>
      </c>
      <c r="L232" s="19">
        <v>0</v>
      </c>
      <c r="M232" s="3">
        <v>0</v>
      </c>
      <c r="N232" s="3">
        <v>0</v>
      </c>
      <c r="O232" s="3">
        <v>0</v>
      </c>
      <c r="P232" s="19">
        <v>19969.45</v>
      </c>
      <c r="Q232" s="19">
        <v>0</v>
      </c>
      <c r="R232" s="19">
        <v>-1136.55</v>
      </c>
      <c r="S232" s="19">
        <v>0</v>
      </c>
      <c r="T232" s="3">
        <v>0</v>
      </c>
      <c r="U232" s="3">
        <v>0</v>
      </c>
      <c r="V232" s="21">
        <v>0</v>
      </c>
      <c r="W232" s="21">
        <v>0</v>
      </c>
      <c r="X232" s="3">
        <v>0</v>
      </c>
      <c r="Y232" s="21">
        <v>92655.9</v>
      </c>
      <c r="Z232" s="154">
        <f>Levy!U232</f>
        <v>0</v>
      </c>
      <c r="AA232" s="3">
        <f>Levy!V232</f>
        <v>0</v>
      </c>
      <c r="AB232" s="3">
        <f t="shared" si="13"/>
        <v>173650.50000000003</v>
      </c>
      <c r="AC232" s="3">
        <f t="shared" si="15"/>
        <v>1067242.74</v>
      </c>
      <c r="AD232" s="3">
        <f t="shared" si="16"/>
        <v>172882.32</v>
      </c>
      <c r="AE232" s="3">
        <f>ROUND(MAX(0,(D232-V232)*Shift11!$B$3),2)</f>
        <v>410210.58</v>
      </c>
      <c r="AF232" s="3">
        <f t="shared" si="14"/>
        <v>410210.58</v>
      </c>
    </row>
    <row r="233" spans="1:32" x14ac:dyDescent="0.2">
      <c r="A233" s="18">
        <v>750</v>
      </c>
      <c r="B233" s="18">
        <v>1</v>
      </c>
      <c r="C233" s="3" t="s">
        <v>230</v>
      </c>
      <c r="D233" s="3">
        <f>Levy!F233</f>
        <v>1092816.6399999999</v>
      </c>
      <c r="E233" s="3">
        <f>Levy!G233</f>
        <v>290034.73</v>
      </c>
      <c r="F233" s="3">
        <f>Levy!H233</f>
        <v>0</v>
      </c>
      <c r="G233" s="3">
        <f>Levy!I233</f>
        <v>728977.76</v>
      </c>
      <c r="H233" s="3">
        <f>Levy!J233</f>
        <v>145504.10999999999</v>
      </c>
      <c r="I233" s="154">
        <v>0</v>
      </c>
      <c r="J233" s="19">
        <v>20000</v>
      </c>
      <c r="K233" s="19">
        <v>23006.18</v>
      </c>
      <c r="L233" s="19">
        <v>0</v>
      </c>
      <c r="M233" s="3">
        <v>0</v>
      </c>
      <c r="N233" s="3">
        <v>0</v>
      </c>
      <c r="O233" s="3">
        <v>0</v>
      </c>
      <c r="P233" s="19">
        <v>-26527.83</v>
      </c>
      <c r="Q233" s="19">
        <v>0</v>
      </c>
      <c r="R233" s="19">
        <v>-23.22</v>
      </c>
      <c r="S233" s="19">
        <v>0</v>
      </c>
      <c r="T233" s="3">
        <v>0</v>
      </c>
      <c r="U233" s="3">
        <v>0</v>
      </c>
      <c r="V233" s="21">
        <v>0</v>
      </c>
      <c r="W233" s="21">
        <v>0</v>
      </c>
      <c r="X233" s="3">
        <v>0</v>
      </c>
      <c r="Y233" s="21">
        <v>110156.45</v>
      </c>
      <c r="Z233" s="154">
        <f>Levy!U233</f>
        <v>0</v>
      </c>
      <c r="AA233" s="3">
        <f>Levy!V233</f>
        <v>0</v>
      </c>
      <c r="AB233" s="3">
        <f t="shared" si="13"/>
        <v>16455.129999999997</v>
      </c>
      <c r="AC233" s="3">
        <f t="shared" si="15"/>
        <v>1002557.36</v>
      </c>
      <c r="AD233" s="3">
        <f t="shared" si="16"/>
        <v>145504.10999999999</v>
      </c>
      <c r="AE233" s="3">
        <f>ROUND(MAX(0,(D233-V233)*Shift11!$B$3),2)</f>
        <v>531108.89</v>
      </c>
      <c r="AF233" s="3">
        <f t="shared" si="14"/>
        <v>531108.89</v>
      </c>
    </row>
    <row r="234" spans="1:32" x14ac:dyDescent="0.2">
      <c r="A234" s="18">
        <v>756</v>
      </c>
      <c r="B234" s="18">
        <v>1</v>
      </c>
      <c r="C234" s="3" t="s">
        <v>231</v>
      </c>
      <c r="D234" s="3">
        <f>Levy!F234</f>
        <v>327474.61</v>
      </c>
      <c r="E234" s="3">
        <f>Levy!G234</f>
        <v>43335.76</v>
      </c>
      <c r="F234" s="3">
        <f>Levy!H234</f>
        <v>0</v>
      </c>
      <c r="G234" s="3">
        <f>Levy!I234</f>
        <v>329344.51</v>
      </c>
      <c r="H234" s="3">
        <f>Levy!J234</f>
        <v>44955.7</v>
      </c>
      <c r="I234" s="154">
        <v>0</v>
      </c>
      <c r="J234" s="19">
        <v>10000</v>
      </c>
      <c r="K234" s="19">
        <v>15323.4</v>
      </c>
      <c r="L234" s="19">
        <v>0</v>
      </c>
      <c r="M234" s="3">
        <v>0</v>
      </c>
      <c r="N234" s="3">
        <v>0</v>
      </c>
      <c r="O234" s="3">
        <v>0</v>
      </c>
      <c r="P234" s="19">
        <v>-620.29999999999995</v>
      </c>
      <c r="Q234" s="19">
        <v>0</v>
      </c>
      <c r="R234" s="19">
        <v>0</v>
      </c>
      <c r="S234" s="19">
        <v>0</v>
      </c>
      <c r="T234" s="3">
        <v>0</v>
      </c>
      <c r="U234" s="3">
        <v>0</v>
      </c>
      <c r="V234" s="21">
        <v>0</v>
      </c>
      <c r="W234" s="21">
        <v>0</v>
      </c>
      <c r="X234" s="3">
        <v>0</v>
      </c>
      <c r="Y234" s="21">
        <v>49372.4</v>
      </c>
      <c r="Z234" s="154">
        <f>Levy!U234</f>
        <v>0</v>
      </c>
      <c r="AA234" s="3">
        <f>Levy!V234</f>
        <v>0</v>
      </c>
      <c r="AB234" s="3">
        <f t="shared" si="13"/>
        <v>24703.100000000002</v>
      </c>
      <c r="AC234" s="3">
        <f t="shared" si="15"/>
        <v>347977.17</v>
      </c>
      <c r="AD234" s="3">
        <f t="shared" si="16"/>
        <v>44955.7</v>
      </c>
      <c r="AE234" s="3">
        <f>ROUND(MAX(0,(D234-V234)*Shift11!$B$3),2)</f>
        <v>159152.66</v>
      </c>
      <c r="AF234" s="3">
        <f t="shared" si="14"/>
        <v>159152.66</v>
      </c>
    </row>
    <row r="235" spans="1:32" x14ac:dyDescent="0.2">
      <c r="A235" s="18">
        <v>761</v>
      </c>
      <c r="B235" s="18">
        <v>1</v>
      </c>
      <c r="C235" s="3" t="s">
        <v>232</v>
      </c>
      <c r="D235" s="3">
        <f>Levy!F235</f>
        <v>2958406.61</v>
      </c>
      <c r="E235" s="3">
        <f>Levy!G235</f>
        <v>576759.61</v>
      </c>
      <c r="F235" s="3">
        <f>Levy!H235</f>
        <v>0</v>
      </c>
      <c r="G235" s="3">
        <f>Levy!I235</f>
        <v>1590187.89</v>
      </c>
      <c r="H235" s="3">
        <f>Levy!J235</f>
        <v>310227.33</v>
      </c>
      <c r="I235" s="154">
        <v>0</v>
      </c>
      <c r="J235" s="19">
        <v>50000</v>
      </c>
      <c r="K235" s="19">
        <v>99094.399999999994</v>
      </c>
      <c r="L235" s="19">
        <v>0</v>
      </c>
      <c r="M235" s="3">
        <v>0</v>
      </c>
      <c r="N235" s="3">
        <v>0</v>
      </c>
      <c r="O235" s="3">
        <v>0</v>
      </c>
      <c r="P235" s="19">
        <v>2335.23</v>
      </c>
      <c r="Q235" s="19">
        <v>0</v>
      </c>
      <c r="R235" s="19">
        <v>-381.49</v>
      </c>
      <c r="S235" s="19">
        <v>0</v>
      </c>
      <c r="T235" s="3">
        <v>0</v>
      </c>
      <c r="U235" s="3">
        <v>0</v>
      </c>
      <c r="V235" s="21">
        <v>0</v>
      </c>
      <c r="W235" s="21">
        <v>0</v>
      </c>
      <c r="X235" s="3">
        <v>0</v>
      </c>
      <c r="Y235" s="21">
        <v>339315.37</v>
      </c>
      <c r="Z235" s="154">
        <f>Levy!U235</f>
        <v>0</v>
      </c>
      <c r="AA235" s="3">
        <f>Levy!V235</f>
        <v>0</v>
      </c>
      <c r="AB235" s="3">
        <f t="shared" si="13"/>
        <v>151048.14000000001</v>
      </c>
      <c r="AC235" s="3">
        <f t="shared" si="15"/>
        <v>2015899.36</v>
      </c>
      <c r="AD235" s="3">
        <f t="shared" si="16"/>
        <v>310227.33</v>
      </c>
      <c r="AE235" s="3">
        <f>ROUND(MAX(0,(D235-V235)*Shift11!$B$3),2)</f>
        <v>1437785.61</v>
      </c>
      <c r="AF235" s="3">
        <f t="shared" si="14"/>
        <v>1437785.61</v>
      </c>
    </row>
    <row r="236" spans="1:32" x14ac:dyDescent="0.2">
      <c r="A236" s="18">
        <v>763</v>
      </c>
      <c r="B236" s="18">
        <v>1</v>
      </c>
      <c r="C236" s="3" t="s">
        <v>233</v>
      </c>
      <c r="D236" s="3">
        <f>Levy!F236</f>
        <v>0</v>
      </c>
      <c r="E236" s="3">
        <f>Levy!G236</f>
        <v>82365.22</v>
      </c>
      <c r="F236" s="3">
        <f>Levy!H236</f>
        <v>0</v>
      </c>
      <c r="G236" s="3">
        <f>Levy!I236</f>
        <v>181645.84</v>
      </c>
      <c r="H236" s="3">
        <f>Levy!J236</f>
        <v>34707.129999999997</v>
      </c>
      <c r="I236" s="154">
        <v>0</v>
      </c>
      <c r="J236" s="19">
        <v>25000</v>
      </c>
      <c r="K236" s="19">
        <v>10000</v>
      </c>
      <c r="L236" s="19">
        <v>0</v>
      </c>
      <c r="M236" s="3">
        <v>0</v>
      </c>
      <c r="N236" s="3">
        <v>0</v>
      </c>
      <c r="O236" s="3">
        <v>0</v>
      </c>
      <c r="P236" s="19">
        <v>734.83</v>
      </c>
      <c r="Q236" s="19">
        <v>0</v>
      </c>
      <c r="R236" s="19">
        <v>0</v>
      </c>
      <c r="S236" s="19">
        <v>0</v>
      </c>
      <c r="T236" s="3">
        <v>0</v>
      </c>
      <c r="U236" s="3">
        <v>0</v>
      </c>
      <c r="V236" s="21">
        <v>0</v>
      </c>
      <c r="W236" s="21">
        <v>0</v>
      </c>
      <c r="X236" s="3">
        <v>2287.08</v>
      </c>
      <c r="Y236" s="21">
        <v>82496.66</v>
      </c>
      <c r="Z236" s="154">
        <f>Levy!U236</f>
        <v>0</v>
      </c>
      <c r="AA236" s="3">
        <f>Levy!V236</f>
        <v>0</v>
      </c>
      <c r="AB236" s="3">
        <f t="shared" si="13"/>
        <v>35734.83</v>
      </c>
      <c r="AC236" s="3">
        <f t="shared" si="15"/>
        <v>225989.15</v>
      </c>
      <c r="AD236" s="3">
        <f t="shared" si="16"/>
        <v>34707.129999999997</v>
      </c>
      <c r="AE236" s="3">
        <f>ROUND(MAX(0,(D236-V236)*Shift11!$B$3),2)</f>
        <v>0</v>
      </c>
      <c r="AF236" s="3">
        <f t="shared" si="14"/>
        <v>82496.66</v>
      </c>
    </row>
    <row r="237" spans="1:32" x14ac:dyDescent="0.2">
      <c r="A237" s="18">
        <v>768</v>
      </c>
      <c r="B237" s="18">
        <v>1</v>
      </c>
      <c r="C237" s="3" t="s">
        <v>234</v>
      </c>
      <c r="D237" s="3">
        <f>Levy!F237</f>
        <v>147309.46</v>
      </c>
      <c r="E237" s="3">
        <f>Levy!G237</f>
        <v>13225.89</v>
      </c>
      <c r="F237" s="3">
        <f>Levy!H237</f>
        <v>0</v>
      </c>
      <c r="G237" s="3">
        <f>Levy!I237</f>
        <v>66950.03</v>
      </c>
      <c r="H237" s="3">
        <f>Levy!J237</f>
        <v>14465.11</v>
      </c>
      <c r="I237" s="154">
        <v>0</v>
      </c>
      <c r="J237" s="19">
        <v>500</v>
      </c>
      <c r="K237" s="19">
        <v>10000</v>
      </c>
      <c r="L237" s="19">
        <v>0</v>
      </c>
      <c r="M237" s="3">
        <v>0</v>
      </c>
      <c r="N237" s="3">
        <v>0</v>
      </c>
      <c r="O237" s="3">
        <v>0</v>
      </c>
      <c r="P237" s="19">
        <v>827.91</v>
      </c>
      <c r="Q237" s="19">
        <v>0</v>
      </c>
      <c r="R237" s="19">
        <v>0</v>
      </c>
      <c r="S237" s="19">
        <v>0</v>
      </c>
      <c r="T237" s="3">
        <v>0</v>
      </c>
      <c r="U237" s="3">
        <v>0</v>
      </c>
      <c r="V237" s="21">
        <v>0</v>
      </c>
      <c r="W237" s="21">
        <v>0</v>
      </c>
      <c r="X237" s="3">
        <v>0</v>
      </c>
      <c r="Y237" s="21">
        <v>16918.64</v>
      </c>
      <c r="Z237" s="154">
        <f>Levy!U237</f>
        <v>0</v>
      </c>
      <c r="AA237" s="3">
        <f>Levy!V237</f>
        <v>0</v>
      </c>
      <c r="AB237" s="3">
        <f t="shared" si="13"/>
        <v>11327.91</v>
      </c>
      <c r="AC237" s="3">
        <f t="shared" si="15"/>
        <v>68848.009999999995</v>
      </c>
      <c r="AD237" s="3">
        <f t="shared" si="16"/>
        <v>14465.11</v>
      </c>
      <c r="AE237" s="3">
        <f>ROUND(MAX(0,(D237-V237)*Shift11!$B$3),2)</f>
        <v>71592.399999999994</v>
      </c>
      <c r="AF237" s="3">
        <f t="shared" si="14"/>
        <v>71592.399999999994</v>
      </c>
    </row>
    <row r="238" spans="1:32" x14ac:dyDescent="0.2">
      <c r="A238" s="18">
        <v>769</v>
      </c>
      <c r="B238" s="18">
        <v>1</v>
      </c>
      <c r="C238" s="3" t="s">
        <v>235</v>
      </c>
      <c r="D238" s="3">
        <f>Levy!F238</f>
        <v>623091.11</v>
      </c>
      <c r="E238" s="3">
        <f>Levy!G238</f>
        <v>75294.09</v>
      </c>
      <c r="F238" s="3">
        <f>Levy!H238</f>
        <v>0</v>
      </c>
      <c r="G238" s="3">
        <f>Levy!I238</f>
        <v>186623.82</v>
      </c>
      <c r="H238" s="3">
        <f>Levy!J238</f>
        <v>92363.17</v>
      </c>
      <c r="I238" s="154">
        <v>0</v>
      </c>
      <c r="J238" s="19">
        <v>10000</v>
      </c>
      <c r="K238" s="19">
        <v>11562.12</v>
      </c>
      <c r="L238" s="19">
        <v>0</v>
      </c>
      <c r="M238" s="3">
        <v>0</v>
      </c>
      <c r="N238" s="3">
        <v>0</v>
      </c>
      <c r="O238" s="3">
        <v>0</v>
      </c>
      <c r="P238" s="19">
        <v>-6576.94</v>
      </c>
      <c r="Q238" s="19">
        <v>0</v>
      </c>
      <c r="R238" s="19">
        <v>-313.60000000000002</v>
      </c>
      <c r="S238" s="19">
        <v>0</v>
      </c>
      <c r="T238" s="3">
        <v>0</v>
      </c>
      <c r="U238" s="3">
        <v>0</v>
      </c>
      <c r="V238" s="21">
        <v>0</v>
      </c>
      <c r="W238" s="21">
        <v>0</v>
      </c>
      <c r="X238" s="3">
        <v>0</v>
      </c>
      <c r="Y238" s="21">
        <v>161645.93</v>
      </c>
      <c r="Z238" s="154">
        <f>Levy!U238</f>
        <v>0</v>
      </c>
      <c r="AA238" s="3">
        <f>Levy!V238</f>
        <v>0</v>
      </c>
      <c r="AB238" s="3">
        <f t="shared" si="13"/>
        <v>14671.580000000004</v>
      </c>
      <c r="AC238" s="3">
        <f t="shared" si="15"/>
        <v>247246.33</v>
      </c>
      <c r="AD238" s="3">
        <f t="shared" si="16"/>
        <v>92363.17</v>
      </c>
      <c r="AE238" s="3">
        <f>ROUND(MAX(0,(D238-V238)*Shift11!$B$3),2)</f>
        <v>302822.28000000003</v>
      </c>
      <c r="AF238" s="3">
        <f t="shared" si="14"/>
        <v>302822.28000000003</v>
      </c>
    </row>
    <row r="239" spans="1:32" x14ac:dyDescent="0.2">
      <c r="A239" s="18">
        <v>771</v>
      </c>
      <c r="B239" s="18">
        <v>1</v>
      </c>
      <c r="C239" s="3" t="s">
        <v>236</v>
      </c>
      <c r="D239" s="3">
        <f>Levy!F239</f>
        <v>340806.54</v>
      </c>
      <c r="E239" s="3">
        <f>Levy!G239</f>
        <v>4456.04</v>
      </c>
      <c r="F239" s="3">
        <f>Levy!H239</f>
        <v>0</v>
      </c>
      <c r="G239" s="3">
        <f>Levy!I239</f>
        <v>62578.74</v>
      </c>
      <c r="H239" s="3">
        <f>Levy!J239</f>
        <v>24858.41</v>
      </c>
      <c r="I239" s="154">
        <v>0</v>
      </c>
      <c r="J239" s="19">
        <v>10000</v>
      </c>
      <c r="K239" s="19">
        <v>10000</v>
      </c>
      <c r="L239" s="19">
        <v>0</v>
      </c>
      <c r="M239" s="3">
        <v>0</v>
      </c>
      <c r="N239" s="3">
        <v>0</v>
      </c>
      <c r="O239" s="3">
        <v>0</v>
      </c>
      <c r="P239" s="19">
        <v>-5500</v>
      </c>
      <c r="Q239" s="19">
        <v>0</v>
      </c>
      <c r="R239" s="19">
        <v>0</v>
      </c>
      <c r="S239" s="19">
        <v>0</v>
      </c>
      <c r="T239" s="3">
        <v>0</v>
      </c>
      <c r="U239" s="3">
        <v>0</v>
      </c>
      <c r="V239" s="21">
        <v>0</v>
      </c>
      <c r="W239" s="21">
        <v>0</v>
      </c>
      <c r="X239" s="3">
        <v>0</v>
      </c>
      <c r="Y239" s="21">
        <v>91489.25</v>
      </c>
      <c r="Z239" s="154">
        <f>Levy!U239</f>
        <v>0</v>
      </c>
      <c r="AA239" s="3">
        <f>Levy!V239</f>
        <v>0</v>
      </c>
      <c r="AB239" s="3">
        <f t="shared" si="13"/>
        <v>14500</v>
      </c>
      <c r="AC239" s="3">
        <f t="shared" si="15"/>
        <v>52534.78</v>
      </c>
      <c r="AD239" s="3">
        <f t="shared" si="16"/>
        <v>24858.41</v>
      </c>
      <c r="AE239" s="3">
        <f>ROUND(MAX(0,(D239-V239)*Shift11!$B$3),2)</f>
        <v>165631.98000000001</v>
      </c>
      <c r="AF239" s="3">
        <f t="shared" si="14"/>
        <v>165631.98000000001</v>
      </c>
    </row>
    <row r="240" spans="1:32" x14ac:dyDescent="0.2">
      <c r="A240" s="18">
        <v>775</v>
      </c>
      <c r="B240" s="18">
        <v>1</v>
      </c>
      <c r="C240" s="3" t="s">
        <v>237</v>
      </c>
      <c r="D240" s="3">
        <f>Levy!F240</f>
        <v>228517.61</v>
      </c>
      <c r="E240" s="3">
        <f>Levy!G240</f>
        <v>29102.95</v>
      </c>
      <c r="F240" s="3">
        <f>Levy!H240</f>
        <v>0</v>
      </c>
      <c r="G240" s="3">
        <f>Levy!I240</f>
        <v>311277.27</v>
      </c>
      <c r="H240" s="3">
        <f>Levy!J240</f>
        <v>43173.32</v>
      </c>
      <c r="I240" s="154">
        <v>0</v>
      </c>
      <c r="J240" s="19">
        <v>4418</v>
      </c>
      <c r="K240" s="19">
        <v>12266.4</v>
      </c>
      <c r="L240" s="19">
        <v>0</v>
      </c>
      <c r="M240" s="3">
        <v>0</v>
      </c>
      <c r="N240" s="3">
        <v>0</v>
      </c>
      <c r="O240" s="3">
        <v>0</v>
      </c>
      <c r="P240" s="19">
        <v>3686.44</v>
      </c>
      <c r="Q240" s="19">
        <v>0</v>
      </c>
      <c r="R240" s="19">
        <v>355.2</v>
      </c>
      <c r="S240" s="19">
        <v>0</v>
      </c>
      <c r="T240" s="3">
        <v>0</v>
      </c>
      <c r="U240" s="3">
        <v>0</v>
      </c>
      <c r="V240" s="21">
        <v>0</v>
      </c>
      <c r="W240" s="21">
        <v>0</v>
      </c>
      <c r="X240" s="3">
        <v>2763.8</v>
      </c>
      <c r="Y240" s="21">
        <v>70853.63</v>
      </c>
      <c r="Z240" s="154">
        <f>Levy!U240</f>
        <v>0</v>
      </c>
      <c r="AA240" s="3">
        <f>Levy!V240</f>
        <v>0</v>
      </c>
      <c r="AB240" s="3">
        <f t="shared" si="13"/>
        <v>20726.04</v>
      </c>
      <c r="AC240" s="3">
        <f t="shared" si="15"/>
        <v>316890.38</v>
      </c>
      <c r="AD240" s="3">
        <f t="shared" si="16"/>
        <v>43173.32</v>
      </c>
      <c r="AE240" s="3">
        <f>ROUND(MAX(0,(D240-V240)*Shift11!$B$3),2)</f>
        <v>111059.56</v>
      </c>
      <c r="AF240" s="3">
        <f t="shared" si="14"/>
        <v>111059.56</v>
      </c>
    </row>
    <row r="241" spans="1:32" x14ac:dyDescent="0.2">
      <c r="A241" s="18">
        <v>777</v>
      </c>
      <c r="B241" s="18">
        <v>1</v>
      </c>
      <c r="C241" s="3" t="s">
        <v>238</v>
      </c>
      <c r="D241" s="3">
        <f>Levy!F241</f>
        <v>323361.59999999998</v>
      </c>
      <c r="E241" s="3">
        <f>Levy!G241</f>
        <v>63508.47</v>
      </c>
      <c r="F241" s="3">
        <f>Levy!H241</f>
        <v>0</v>
      </c>
      <c r="G241" s="3">
        <f>Levy!I241</f>
        <v>388428.39</v>
      </c>
      <c r="H241" s="3">
        <f>Levy!J241</f>
        <v>75138.44</v>
      </c>
      <c r="I241" s="154">
        <v>0</v>
      </c>
      <c r="J241" s="19">
        <v>4500</v>
      </c>
      <c r="K241" s="19">
        <v>28001.02</v>
      </c>
      <c r="L241" s="19">
        <v>0</v>
      </c>
      <c r="M241" s="3">
        <v>0</v>
      </c>
      <c r="N241" s="3">
        <v>0</v>
      </c>
      <c r="O241" s="3">
        <v>0</v>
      </c>
      <c r="P241" s="19">
        <v>8231.1</v>
      </c>
      <c r="Q241" s="19">
        <v>0</v>
      </c>
      <c r="R241" s="19">
        <v>0</v>
      </c>
      <c r="S241" s="19">
        <v>0</v>
      </c>
      <c r="T241" s="3">
        <v>0</v>
      </c>
      <c r="U241" s="3">
        <v>0</v>
      </c>
      <c r="V241" s="21">
        <v>0</v>
      </c>
      <c r="W241" s="21">
        <v>0</v>
      </c>
      <c r="X241" s="3">
        <v>0</v>
      </c>
      <c r="Y241" s="21">
        <v>57663.73</v>
      </c>
      <c r="Z241" s="154">
        <f>Levy!U241</f>
        <v>0</v>
      </c>
      <c r="AA241" s="3">
        <f>Levy!V241</f>
        <v>0</v>
      </c>
      <c r="AB241" s="3">
        <f t="shared" si="13"/>
        <v>40732.120000000003</v>
      </c>
      <c r="AC241" s="3">
        <f t="shared" si="15"/>
        <v>411204.74</v>
      </c>
      <c r="AD241" s="3">
        <f t="shared" si="16"/>
        <v>75138.44</v>
      </c>
      <c r="AE241" s="3">
        <f>ROUND(MAX(0,(D241-V241)*Shift11!$B$3),2)</f>
        <v>157153.74</v>
      </c>
      <c r="AF241" s="3">
        <f t="shared" si="14"/>
        <v>157153.74</v>
      </c>
    </row>
    <row r="242" spans="1:32" x14ac:dyDescent="0.2">
      <c r="A242" s="18">
        <v>786</v>
      </c>
      <c r="B242" s="18">
        <v>1</v>
      </c>
      <c r="C242" s="3" t="s">
        <v>239</v>
      </c>
      <c r="D242" s="3">
        <f>Levy!F242</f>
        <v>97769</v>
      </c>
      <c r="E242" s="3">
        <f>Levy!G242</f>
        <v>25693</v>
      </c>
      <c r="F242" s="3">
        <f>Levy!H242</f>
        <v>0</v>
      </c>
      <c r="G242" s="3">
        <f>Levy!I242</f>
        <v>135857</v>
      </c>
      <c r="H242" s="3">
        <f>Levy!J242</f>
        <v>48519</v>
      </c>
      <c r="I242" s="154">
        <v>0</v>
      </c>
      <c r="J242" s="19">
        <v>3300</v>
      </c>
      <c r="K242" s="19">
        <v>10995.26</v>
      </c>
      <c r="L242" s="19">
        <v>0</v>
      </c>
      <c r="M242" s="3">
        <v>0</v>
      </c>
      <c r="N242" s="3">
        <v>0</v>
      </c>
      <c r="O242" s="3">
        <v>0</v>
      </c>
      <c r="P242" s="19">
        <v>0</v>
      </c>
      <c r="Q242" s="19">
        <v>-3300</v>
      </c>
      <c r="R242" s="19">
        <v>0</v>
      </c>
      <c r="S242" s="19">
        <v>0</v>
      </c>
      <c r="T242" s="3">
        <v>0</v>
      </c>
      <c r="U242" s="3">
        <v>0</v>
      </c>
      <c r="V242" s="21">
        <v>0</v>
      </c>
      <c r="W242" s="21">
        <v>0</v>
      </c>
      <c r="X242" s="3">
        <v>0</v>
      </c>
      <c r="Y242" s="21">
        <v>9085.75</v>
      </c>
      <c r="Z242" s="154">
        <f>Levy!U242</f>
        <v>0</v>
      </c>
      <c r="AA242" s="3">
        <f>Levy!V242</f>
        <v>0</v>
      </c>
      <c r="AB242" s="3">
        <f t="shared" si="13"/>
        <v>10995.26</v>
      </c>
      <c r="AC242" s="3">
        <f t="shared" si="15"/>
        <v>150554.74</v>
      </c>
      <c r="AD242" s="3">
        <f t="shared" si="16"/>
        <v>48519</v>
      </c>
      <c r="AE242" s="3">
        <f>ROUND(MAX(0,(D242-V242)*Shift11!$B$3),2)</f>
        <v>47515.73</v>
      </c>
      <c r="AF242" s="3">
        <f t="shared" si="14"/>
        <v>47515.73</v>
      </c>
    </row>
    <row r="243" spans="1:32" x14ac:dyDescent="0.2">
      <c r="A243" s="18">
        <v>787</v>
      </c>
      <c r="B243" s="18">
        <v>1</v>
      </c>
      <c r="C243" s="3" t="s">
        <v>240</v>
      </c>
      <c r="D243" s="3">
        <f>Levy!F243</f>
        <v>26985</v>
      </c>
      <c r="E243" s="3">
        <f>Levy!G243</f>
        <v>40590</v>
      </c>
      <c r="F243" s="3">
        <f>Levy!H243</f>
        <v>0</v>
      </c>
      <c r="G243" s="3">
        <f>Levy!I243</f>
        <v>128026</v>
      </c>
      <c r="H243" s="3">
        <f>Levy!J243</f>
        <v>25090</v>
      </c>
      <c r="I243" s="154">
        <v>0</v>
      </c>
      <c r="J243" s="19">
        <v>0</v>
      </c>
      <c r="K243" s="19">
        <v>21563.35</v>
      </c>
      <c r="L243" s="19">
        <v>0</v>
      </c>
      <c r="M243" s="3">
        <v>0</v>
      </c>
      <c r="N243" s="3">
        <v>0</v>
      </c>
      <c r="O243" s="3">
        <v>0</v>
      </c>
      <c r="P243" s="19">
        <v>0</v>
      </c>
      <c r="Q243" s="19">
        <v>0</v>
      </c>
      <c r="R243" s="19">
        <v>0</v>
      </c>
      <c r="S243" s="19">
        <v>0</v>
      </c>
      <c r="T243" s="3">
        <v>0</v>
      </c>
      <c r="U243" s="3">
        <v>0</v>
      </c>
      <c r="V243" s="21">
        <v>0</v>
      </c>
      <c r="W243" s="21">
        <v>0</v>
      </c>
      <c r="X243" s="3">
        <v>0</v>
      </c>
      <c r="Y243" s="21">
        <v>16243.15</v>
      </c>
      <c r="Z243" s="154">
        <f>Levy!U243</f>
        <v>0</v>
      </c>
      <c r="AA243" s="3">
        <f>Levy!V243</f>
        <v>0</v>
      </c>
      <c r="AB243" s="3">
        <f t="shared" si="13"/>
        <v>21563.35</v>
      </c>
      <c r="AC243" s="3">
        <f t="shared" si="15"/>
        <v>147052.65</v>
      </c>
      <c r="AD243" s="3">
        <f t="shared" si="16"/>
        <v>25090</v>
      </c>
      <c r="AE243" s="3">
        <f>ROUND(MAX(0,(D243-V243)*Shift11!$B$3),2)</f>
        <v>13114.71</v>
      </c>
      <c r="AF243" s="3">
        <f t="shared" si="14"/>
        <v>16243.15</v>
      </c>
    </row>
    <row r="244" spans="1:32" x14ac:dyDescent="0.2">
      <c r="A244" s="18">
        <v>801</v>
      </c>
      <c r="B244" s="18">
        <v>1</v>
      </c>
      <c r="C244" s="3" t="s">
        <v>241</v>
      </c>
      <c r="D244" s="3">
        <f>Levy!F244</f>
        <v>74707.91</v>
      </c>
      <c r="E244" s="3">
        <f>Levy!G244</f>
        <v>2109.75</v>
      </c>
      <c r="F244" s="3">
        <f>Levy!H244</f>
        <v>0</v>
      </c>
      <c r="G244" s="3">
        <f>Levy!I244</f>
        <v>40694.97</v>
      </c>
      <c r="H244" s="3">
        <f>Levy!J244</f>
        <v>13296.15</v>
      </c>
      <c r="I244" s="154">
        <v>0</v>
      </c>
      <c r="J244" s="19">
        <v>0</v>
      </c>
      <c r="K244" s="19">
        <v>0</v>
      </c>
      <c r="L244" s="19">
        <v>0</v>
      </c>
      <c r="M244" s="3">
        <v>0</v>
      </c>
      <c r="N244" s="3">
        <v>0</v>
      </c>
      <c r="O244" s="3">
        <v>0</v>
      </c>
      <c r="P244" s="19">
        <v>16.79</v>
      </c>
      <c r="Q244" s="19">
        <v>-16.79</v>
      </c>
      <c r="R244" s="19">
        <v>0</v>
      </c>
      <c r="S244" s="19">
        <v>0</v>
      </c>
      <c r="T244" s="3">
        <v>0</v>
      </c>
      <c r="U244" s="3">
        <v>0</v>
      </c>
      <c r="V244" s="21">
        <v>0</v>
      </c>
      <c r="W244" s="21">
        <v>0</v>
      </c>
      <c r="X244" s="3">
        <v>1041.8699999999999</v>
      </c>
      <c r="Y244" s="21">
        <v>38455.82</v>
      </c>
      <c r="Z244" s="154">
        <f>Levy!U244</f>
        <v>0</v>
      </c>
      <c r="AA244" s="3">
        <f>Levy!V244</f>
        <v>0</v>
      </c>
      <c r="AB244" s="3">
        <f t="shared" si="13"/>
        <v>0</v>
      </c>
      <c r="AC244" s="3">
        <f t="shared" si="15"/>
        <v>41762.85</v>
      </c>
      <c r="AD244" s="3">
        <f t="shared" si="16"/>
        <v>13296.15</v>
      </c>
      <c r="AE244" s="3">
        <f>ROUND(MAX(0,(D244-V244)*Shift11!$B$3),2)</f>
        <v>36308.04</v>
      </c>
      <c r="AF244" s="3">
        <f t="shared" si="14"/>
        <v>38455.82</v>
      </c>
    </row>
    <row r="245" spans="1:32" x14ac:dyDescent="0.2">
      <c r="A245" s="18">
        <v>803</v>
      </c>
      <c r="B245" s="18">
        <v>1</v>
      </c>
      <c r="C245" s="3" t="s">
        <v>242</v>
      </c>
      <c r="D245" s="3">
        <f>Levy!F245</f>
        <v>179745.43</v>
      </c>
      <c r="E245" s="3">
        <f>Levy!G245</f>
        <v>20876.41</v>
      </c>
      <c r="F245" s="3">
        <f>Levy!H245</f>
        <v>0</v>
      </c>
      <c r="G245" s="3">
        <f>Levy!I245</f>
        <v>159194.19</v>
      </c>
      <c r="H245" s="3">
        <f>Levy!J245</f>
        <v>31631.439999999999</v>
      </c>
      <c r="I245" s="154">
        <v>0</v>
      </c>
      <c r="J245" s="19">
        <v>5600</v>
      </c>
      <c r="K245" s="19">
        <v>10000</v>
      </c>
      <c r="L245" s="19">
        <v>0</v>
      </c>
      <c r="M245" s="3">
        <v>0</v>
      </c>
      <c r="N245" s="3">
        <v>0</v>
      </c>
      <c r="O245" s="3">
        <v>0</v>
      </c>
      <c r="P245" s="19">
        <v>-442.22</v>
      </c>
      <c r="Q245" s="19">
        <v>0</v>
      </c>
      <c r="R245" s="19">
        <v>0</v>
      </c>
      <c r="S245" s="19">
        <v>0</v>
      </c>
      <c r="T245" s="3">
        <v>0</v>
      </c>
      <c r="U245" s="3">
        <v>0</v>
      </c>
      <c r="V245" s="21">
        <v>0</v>
      </c>
      <c r="W245" s="21">
        <v>0</v>
      </c>
      <c r="X245" s="3">
        <v>0</v>
      </c>
      <c r="Y245" s="21">
        <v>87665.33</v>
      </c>
      <c r="Z245" s="154">
        <f>Levy!U245</f>
        <v>0</v>
      </c>
      <c r="AA245" s="3">
        <f>Levy!V245</f>
        <v>0</v>
      </c>
      <c r="AB245" s="3">
        <f t="shared" si="13"/>
        <v>15157.78</v>
      </c>
      <c r="AC245" s="3">
        <f t="shared" si="15"/>
        <v>164912.82</v>
      </c>
      <c r="AD245" s="3">
        <f t="shared" si="16"/>
        <v>31631.439999999999</v>
      </c>
      <c r="AE245" s="3">
        <f>ROUND(MAX(0,(D245-V245)*Shift11!$B$3),2)</f>
        <v>87356.28</v>
      </c>
      <c r="AF245" s="3">
        <f t="shared" si="14"/>
        <v>87665.33</v>
      </c>
    </row>
    <row r="246" spans="1:32" x14ac:dyDescent="0.2">
      <c r="A246" s="18">
        <v>811</v>
      </c>
      <c r="B246" s="18">
        <v>1</v>
      </c>
      <c r="C246" s="3" t="s">
        <v>243</v>
      </c>
      <c r="D246" s="3">
        <f>Levy!F246</f>
        <v>883564</v>
      </c>
      <c r="E246" s="3">
        <f>Levy!G246</f>
        <v>62557</v>
      </c>
      <c r="F246" s="3">
        <f>Levy!H246</f>
        <v>0</v>
      </c>
      <c r="G246" s="3">
        <f>Levy!I246</f>
        <v>249421</v>
      </c>
      <c r="H246" s="3">
        <f>Levy!J246</f>
        <v>72273</v>
      </c>
      <c r="I246" s="154">
        <v>0</v>
      </c>
      <c r="J246" s="19">
        <v>759.36</v>
      </c>
      <c r="K246" s="19">
        <v>16925.86</v>
      </c>
      <c r="L246" s="19">
        <v>0</v>
      </c>
      <c r="M246" s="3">
        <v>0</v>
      </c>
      <c r="N246" s="3">
        <v>0</v>
      </c>
      <c r="O246" s="3">
        <v>0</v>
      </c>
      <c r="P246" s="19">
        <v>810.56</v>
      </c>
      <c r="Q246" s="19">
        <v>0</v>
      </c>
      <c r="R246" s="19">
        <v>0</v>
      </c>
      <c r="S246" s="19">
        <v>0</v>
      </c>
      <c r="T246" s="3">
        <v>0</v>
      </c>
      <c r="U246" s="3">
        <v>0</v>
      </c>
      <c r="V246" s="21">
        <v>0</v>
      </c>
      <c r="W246" s="21">
        <v>0</v>
      </c>
      <c r="X246" s="3">
        <v>0</v>
      </c>
      <c r="Y246" s="21">
        <v>59013.4</v>
      </c>
      <c r="Z246" s="154">
        <f>Levy!U246</f>
        <v>0</v>
      </c>
      <c r="AA246" s="3">
        <f>Levy!V246</f>
        <v>0</v>
      </c>
      <c r="AB246" s="3">
        <f t="shared" si="13"/>
        <v>18495.780000000002</v>
      </c>
      <c r="AC246" s="3">
        <f t="shared" si="15"/>
        <v>293482.21999999997</v>
      </c>
      <c r="AD246" s="3">
        <f t="shared" si="16"/>
        <v>72273</v>
      </c>
      <c r="AE246" s="3">
        <f>ROUND(MAX(0,(D246-V246)*Shift11!$B$3),2)</f>
        <v>429412.1</v>
      </c>
      <c r="AF246" s="3">
        <f t="shared" si="14"/>
        <v>429412.1</v>
      </c>
    </row>
    <row r="247" spans="1:32" x14ac:dyDescent="0.2">
      <c r="A247" s="18">
        <v>813</v>
      </c>
      <c r="B247" s="18">
        <v>1</v>
      </c>
      <c r="C247" s="3" t="s">
        <v>244</v>
      </c>
      <c r="D247" s="3">
        <f>Levy!F247</f>
        <v>1183757</v>
      </c>
      <c r="E247" s="3">
        <f>Levy!G247</f>
        <v>145171</v>
      </c>
      <c r="F247" s="3">
        <f>Levy!H247</f>
        <v>0</v>
      </c>
      <c r="G247" s="3">
        <f>Levy!I247</f>
        <v>301637</v>
      </c>
      <c r="H247" s="3">
        <f>Levy!J247</f>
        <v>115611</v>
      </c>
      <c r="I247" s="154">
        <v>0</v>
      </c>
      <c r="J247" s="19">
        <v>20000</v>
      </c>
      <c r="K247" s="19">
        <v>25929.91</v>
      </c>
      <c r="L247" s="19">
        <v>0</v>
      </c>
      <c r="M247" s="3">
        <v>0</v>
      </c>
      <c r="N247" s="3">
        <v>0</v>
      </c>
      <c r="O247" s="3">
        <v>0</v>
      </c>
      <c r="P247" s="19">
        <v>12596.98</v>
      </c>
      <c r="Q247" s="19">
        <v>-8196.77</v>
      </c>
      <c r="R247" s="19">
        <v>0</v>
      </c>
      <c r="S247" s="19">
        <v>0</v>
      </c>
      <c r="T247" s="3">
        <v>0</v>
      </c>
      <c r="U247" s="3">
        <v>0</v>
      </c>
      <c r="V247" s="21">
        <v>0</v>
      </c>
      <c r="W247" s="21">
        <v>0</v>
      </c>
      <c r="X247" s="3">
        <v>0</v>
      </c>
      <c r="Y247" s="21">
        <v>0</v>
      </c>
      <c r="Z247" s="154">
        <f>Levy!U247</f>
        <v>0</v>
      </c>
      <c r="AA247" s="3">
        <f>Levy!V247</f>
        <v>0</v>
      </c>
      <c r="AB247" s="3">
        <f t="shared" si="13"/>
        <v>50330.119999999995</v>
      </c>
      <c r="AC247" s="3">
        <f t="shared" si="15"/>
        <v>396477.88</v>
      </c>
      <c r="AD247" s="3">
        <f t="shared" si="16"/>
        <v>115611</v>
      </c>
      <c r="AE247" s="3">
        <f>ROUND(MAX(0,(D247-V247)*Shift11!$B$3),2)</f>
        <v>575305.9</v>
      </c>
      <c r="AF247" s="3">
        <f t="shared" si="14"/>
        <v>575305.9</v>
      </c>
    </row>
    <row r="248" spans="1:32" x14ac:dyDescent="0.2">
      <c r="A248" s="18">
        <v>815</v>
      </c>
      <c r="B248" s="18">
        <v>2</v>
      </c>
      <c r="C248" s="3" t="s">
        <v>245</v>
      </c>
      <c r="D248" s="3">
        <f>Levy!F248</f>
        <v>60512.36</v>
      </c>
      <c r="E248" s="3">
        <f>Levy!G248</f>
        <v>0</v>
      </c>
      <c r="F248" s="3">
        <f>Levy!H248</f>
        <v>88900</v>
      </c>
      <c r="G248" s="3">
        <f>Levy!I248</f>
        <v>0</v>
      </c>
      <c r="H248" s="3">
        <f>Levy!J248</f>
        <v>0</v>
      </c>
      <c r="I248" s="154">
        <v>0</v>
      </c>
      <c r="J248" s="19">
        <v>0</v>
      </c>
      <c r="K248" s="19">
        <v>0</v>
      </c>
      <c r="L248" s="19">
        <v>0</v>
      </c>
      <c r="M248" s="3">
        <v>0</v>
      </c>
      <c r="N248" s="3">
        <v>0</v>
      </c>
      <c r="O248" s="3">
        <v>0</v>
      </c>
      <c r="P248" s="19">
        <v>0</v>
      </c>
      <c r="Q248" s="19">
        <v>0</v>
      </c>
      <c r="R248" s="19">
        <v>0</v>
      </c>
      <c r="S248" s="19">
        <v>0</v>
      </c>
      <c r="T248" s="3">
        <v>0</v>
      </c>
      <c r="U248" s="3">
        <v>0</v>
      </c>
      <c r="V248" s="21">
        <v>38100</v>
      </c>
      <c r="W248" s="21">
        <v>88900</v>
      </c>
      <c r="X248" s="3">
        <v>0</v>
      </c>
      <c r="Y248" s="21">
        <v>0</v>
      </c>
      <c r="Z248" s="154">
        <f>Levy!U248</f>
        <v>0</v>
      </c>
      <c r="AA248" s="3">
        <f>Levy!V248</f>
        <v>0</v>
      </c>
      <c r="AB248" s="3">
        <f t="shared" si="13"/>
        <v>0</v>
      </c>
      <c r="AC248" s="3">
        <f t="shared" si="15"/>
        <v>0</v>
      </c>
      <c r="AD248" s="3">
        <f t="shared" si="16"/>
        <v>0</v>
      </c>
      <c r="AE248" s="3">
        <f>ROUND(MAX(0,(D248-V248)*Shift11!$B$3),2)</f>
        <v>10892.41</v>
      </c>
      <c r="AF248" s="3">
        <f t="shared" si="14"/>
        <v>10892.41</v>
      </c>
    </row>
    <row r="249" spans="1:32" x14ac:dyDescent="0.2">
      <c r="A249" s="18">
        <v>818</v>
      </c>
      <c r="B249" s="18">
        <v>1</v>
      </c>
      <c r="C249" s="3" t="s">
        <v>246</v>
      </c>
      <c r="D249" s="3">
        <f>Levy!F249</f>
        <v>0</v>
      </c>
      <c r="E249" s="3">
        <f>Levy!G249</f>
        <v>39378.18</v>
      </c>
      <c r="F249" s="3">
        <f>Levy!H249</f>
        <v>0</v>
      </c>
      <c r="G249" s="3">
        <f>Levy!I249</f>
        <v>98518</v>
      </c>
      <c r="H249" s="3">
        <f>Levy!J249</f>
        <v>10480</v>
      </c>
      <c r="I249" s="154">
        <v>0</v>
      </c>
      <c r="J249" s="19">
        <v>500</v>
      </c>
      <c r="K249" s="19">
        <v>10000</v>
      </c>
      <c r="L249" s="19">
        <v>0</v>
      </c>
      <c r="M249" s="3">
        <v>0</v>
      </c>
      <c r="N249" s="3">
        <v>0</v>
      </c>
      <c r="O249" s="3">
        <v>0</v>
      </c>
      <c r="P249" s="19">
        <v>-2130.9</v>
      </c>
      <c r="Q249" s="19">
        <v>0</v>
      </c>
      <c r="R249" s="19">
        <v>0</v>
      </c>
      <c r="S249" s="19">
        <v>0</v>
      </c>
      <c r="T249" s="3">
        <v>0</v>
      </c>
      <c r="U249" s="3">
        <v>0</v>
      </c>
      <c r="V249" s="21">
        <v>0</v>
      </c>
      <c r="W249" s="21">
        <v>0</v>
      </c>
      <c r="X249" s="3">
        <v>0</v>
      </c>
      <c r="Y249" s="21">
        <v>10032.65</v>
      </c>
      <c r="Z249" s="154">
        <f>Levy!U249</f>
        <v>0</v>
      </c>
      <c r="AA249" s="3">
        <f>Levy!V249</f>
        <v>0</v>
      </c>
      <c r="AB249" s="3">
        <f t="shared" si="13"/>
        <v>8369.1</v>
      </c>
      <c r="AC249" s="3">
        <f t="shared" si="15"/>
        <v>129527.08</v>
      </c>
      <c r="AD249" s="3">
        <f t="shared" si="16"/>
        <v>10480</v>
      </c>
      <c r="AE249" s="3">
        <f>ROUND(MAX(0,(D249-V249)*Shift11!$B$3),2)</f>
        <v>0</v>
      </c>
      <c r="AF249" s="3">
        <f t="shared" si="14"/>
        <v>10032.65</v>
      </c>
    </row>
    <row r="250" spans="1:32" x14ac:dyDescent="0.2">
      <c r="A250" s="18">
        <v>820</v>
      </c>
      <c r="B250" s="18">
        <v>1</v>
      </c>
      <c r="C250" s="3" t="s">
        <v>247</v>
      </c>
      <c r="D250" s="3">
        <f>Levy!F250</f>
        <v>230295</v>
      </c>
      <c r="E250" s="3">
        <f>Levy!G250</f>
        <v>25267</v>
      </c>
      <c r="F250" s="3">
        <f>Levy!H250</f>
        <v>0</v>
      </c>
      <c r="G250" s="3">
        <f>Levy!I250</f>
        <v>168173</v>
      </c>
      <c r="H250" s="3">
        <f>Levy!J250</f>
        <v>34957</v>
      </c>
      <c r="I250" s="154">
        <v>0</v>
      </c>
      <c r="J250" s="19">
        <v>11160</v>
      </c>
      <c r="K250" s="19">
        <v>20990.86</v>
      </c>
      <c r="L250" s="19">
        <v>0</v>
      </c>
      <c r="M250" s="3">
        <v>0</v>
      </c>
      <c r="N250" s="3">
        <v>0</v>
      </c>
      <c r="O250" s="3">
        <v>0</v>
      </c>
      <c r="P250" s="19">
        <v>-78.95</v>
      </c>
      <c r="Q250" s="19">
        <v>-11160</v>
      </c>
      <c r="R250" s="19">
        <v>0</v>
      </c>
      <c r="S250" s="19">
        <v>0</v>
      </c>
      <c r="T250" s="3">
        <v>0</v>
      </c>
      <c r="U250" s="3">
        <v>0</v>
      </c>
      <c r="V250" s="21">
        <v>0</v>
      </c>
      <c r="W250" s="21">
        <v>0</v>
      </c>
      <c r="X250" s="3">
        <v>0</v>
      </c>
      <c r="Y250" s="21">
        <v>16184.54</v>
      </c>
      <c r="Z250" s="154">
        <f>Levy!U250</f>
        <v>0</v>
      </c>
      <c r="AA250" s="3">
        <f>Levy!V250</f>
        <v>0</v>
      </c>
      <c r="AB250" s="3">
        <f t="shared" si="13"/>
        <v>20911.91</v>
      </c>
      <c r="AC250" s="3">
        <f t="shared" si="15"/>
        <v>172528.09</v>
      </c>
      <c r="AD250" s="3">
        <f t="shared" si="16"/>
        <v>34957</v>
      </c>
      <c r="AE250" s="3">
        <f>ROUND(MAX(0,(D250-V250)*Shift11!$B$3),2)</f>
        <v>111923.37</v>
      </c>
      <c r="AF250" s="3">
        <f t="shared" si="14"/>
        <v>111923.37</v>
      </c>
    </row>
    <row r="251" spans="1:32" x14ac:dyDescent="0.2">
      <c r="A251" s="18">
        <v>821</v>
      </c>
      <c r="B251" s="18">
        <v>1</v>
      </c>
      <c r="C251" s="3" t="s">
        <v>248</v>
      </c>
      <c r="D251" s="3">
        <f>Levy!F251</f>
        <v>0</v>
      </c>
      <c r="E251" s="3">
        <f>Levy!G251</f>
        <v>95156</v>
      </c>
      <c r="F251" s="3">
        <f>Levy!H251</f>
        <v>0</v>
      </c>
      <c r="G251" s="3">
        <f>Levy!I251</f>
        <v>520960</v>
      </c>
      <c r="H251" s="3">
        <f>Levy!J251</f>
        <v>41756</v>
      </c>
      <c r="I251" s="154">
        <v>0</v>
      </c>
      <c r="J251" s="19">
        <v>5000</v>
      </c>
      <c r="K251" s="19">
        <v>14358.89</v>
      </c>
      <c r="L251" s="19">
        <v>0</v>
      </c>
      <c r="M251" s="3">
        <v>0</v>
      </c>
      <c r="N251" s="3">
        <v>0</v>
      </c>
      <c r="O251" s="3">
        <v>0</v>
      </c>
      <c r="P251" s="19">
        <v>1305.99</v>
      </c>
      <c r="Q251" s="19">
        <v>0</v>
      </c>
      <c r="R251" s="19">
        <v>0</v>
      </c>
      <c r="S251" s="19">
        <v>0</v>
      </c>
      <c r="T251" s="3">
        <v>0</v>
      </c>
      <c r="U251" s="3">
        <v>0</v>
      </c>
      <c r="V251" s="21">
        <v>0</v>
      </c>
      <c r="W251" s="21">
        <v>0</v>
      </c>
      <c r="X251" s="3">
        <v>0</v>
      </c>
      <c r="Y251" s="21">
        <v>0</v>
      </c>
      <c r="Z251" s="154">
        <f>Levy!U251</f>
        <v>0</v>
      </c>
      <c r="AA251" s="3">
        <f>Levy!V251</f>
        <v>0</v>
      </c>
      <c r="AB251" s="3">
        <f t="shared" si="13"/>
        <v>20664.88</v>
      </c>
      <c r="AC251" s="3">
        <f t="shared" si="15"/>
        <v>595451.12</v>
      </c>
      <c r="AD251" s="3">
        <f t="shared" si="16"/>
        <v>41756</v>
      </c>
      <c r="AE251" s="3">
        <f>ROUND(MAX(0,(D251-V251)*Shift11!$B$3),2)</f>
        <v>0</v>
      </c>
      <c r="AF251" s="3">
        <f t="shared" si="14"/>
        <v>0</v>
      </c>
    </row>
    <row r="252" spans="1:32" x14ac:dyDescent="0.2">
      <c r="A252" s="18">
        <v>829</v>
      </c>
      <c r="B252" s="18">
        <v>1</v>
      </c>
      <c r="C252" s="3" t="s">
        <v>249</v>
      </c>
      <c r="D252" s="3">
        <f>Levy!F252</f>
        <v>0</v>
      </c>
      <c r="E252" s="3">
        <f>Levy!G252</f>
        <v>143632</v>
      </c>
      <c r="F252" s="3">
        <f>Levy!H252</f>
        <v>0</v>
      </c>
      <c r="G252" s="3">
        <f>Levy!I252</f>
        <v>559604</v>
      </c>
      <c r="H252" s="3">
        <f>Levy!J252</f>
        <v>172685</v>
      </c>
      <c r="I252" s="154">
        <v>0</v>
      </c>
      <c r="J252" s="19">
        <v>20000</v>
      </c>
      <c r="K252" s="19">
        <v>41201.199999999997</v>
      </c>
      <c r="L252" s="19">
        <v>0</v>
      </c>
      <c r="M252" s="3">
        <v>0</v>
      </c>
      <c r="N252" s="3">
        <v>0</v>
      </c>
      <c r="O252" s="3">
        <v>0</v>
      </c>
      <c r="P252" s="19">
        <v>9249.83</v>
      </c>
      <c r="Q252" s="19">
        <v>0</v>
      </c>
      <c r="R252" s="19">
        <v>0</v>
      </c>
      <c r="S252" s="19">
        <v>0</v>
      </c>
      <c r="T252" s="3">
        <v>0</v>
      </c>
      <c r="U252" s="3">
        <v>0</v>
      </c>
      <c r="V252" s="21">
        <v>0</v>
      </c>
      <c r="W252" s="21">
        <v>0</v>
      </c>
      <c r="X252" s="3">
        <v>0</v>
      </c>
      <c r="Y252" s="21">
        <v>96765.35</v>
      </c>
      <c r="Z252" s="154">
        <f>Levy!U252</f>
        <v>0</v>
      </c>
      <c r="AA252" s="3">
        <f>Levy!V252</f>
        <v>0</v>
      </c>
      <c r="AB252" s="3">
        <f t="shared" si="13"/>
        <v>70451.03</v>
      </c>
      <c r="AC252" s="3">
        <f t="shared" si="15"/>
        <v>632784.97</v>
      </c>
      <c r="AD252" s="3">
        <f t="shared" si="16"/>
        <v>172685</v>
      </c>
      <c r="AE252" s="3">
        <f>ROUND(MAX(0,(D252-V252)*Shift11!$B$3),2)</f>
        <v>0</v>
      </c>
      <c r="AF252" s="3">
        <f t="shared" si="14"/>
        <v>96765.35</v>
      </c>
    </row>
    <row r="253" spans="1:32" x14ac:dyDescent="0.2">
      <c r="A253" s="18">
        <v>831</v>
      </c>
      <c r="B253" s="18">
        <v>1</v>
      </c>
      <c r="C253" s="3" t="s">
        <v>250</v>
      </c>
      <c r="D253" s="3">
        <f>Levy!F253</f>
        <v>6378518</v>
      </c>
      <c r="E253" s="3">
        <f>Levy!G253</f>
        <v>1145340</v>
      </c>
      <c r="F253" s="3">
        <f>Levy!H253</f>
        <v>0</v>
      </c>
      <c r="G253" s="3">
        <f>Levy!I253</f>
        <v>2864319</v>
      </c>
      <c r="H253" s="3">
        <f>Levy!J253</f>
        <v>873508</v>
      </c>
      <c r="I253" s="154">
        <v>0</v>
      </c>
      <c r="J253" s="19">
        <v>120000</v>
      </c>
      <c r="K253" s="19">
        <v>106874.13</v>
      </c>
      <c r="L253" s="19">
        <v>0</v>
      </c>
      <c r="M253" s="3">
        <v>0</v>
      </c>
      <c r="N253" s="3">
        <v>0</v>
      </c>
      <c r="O253" s="3">
        <v>0</v>
      </c>
      <c r="P253" s="19">
        <v>40251.11</v>
      </c>
      <c r="Q253" s="19">
        <v>0</v>
      </c>
      <c r="R253" s="19">
        <v>0</v>
      </c>
      <c r="S253" s="19">
        <v>0</v>
      </c>
      <c r="T253" s="3">
        <v>0</v>
      </c>
      <c r="U253" s="3">
        <v>0</v>
      </c>
      <c r="V253" s="21">
        <v>0</v>
      </c>
      <c r="W253" s="21">
        <v>0</v>
      </c>
      <c r="X253" s="3">
        <v>0</v>
      </c>
      <c r="Y253" s="21">
        <v>393408.33</v>
      </c>
      <c r="Z253" s="154">
        <f>Levy!U253</f>
        <v>0</v>
      </c>
      <c r="AA253" s="3">
        <f>Levy!V253</f>
        <v>0</v>
      </c>
      <c r="AB253" s="3">
        <f t="shared" si="13"/>
        <v>267125.24</v>
      </c>
      <c r="AC253" s="3">
        <f t="shared" si="15"/>
        <v>3742533.76</v>
      </c>
      <c r="AD253" s="3">
        <f t="shared" si="16"/>
        <v>873508</v>
      </c>
      <c r="AE253" s="3">
        <f>ROUND(MAX(0,(D253-V253)*Shift11!$B$3),2)</f>
        <v>3099959.75</v>
      </c>
      <c r="AF253" s="3">
        <f t="shared" si="14"/>
        <v>3099959.75</v>
      </c>
    </row>
    <row r="254" spans="1:32" x14ac:dyDescent="0.2">
      <c r="A254" s="18">
        <v>832</v>
      </c>
      <c r="B254" s="18">
        <v>1</v>
      </c>
      <c r="C254" s="3" t="s">
        <v>251</v>
      </c>
      <c r="D254" s="3">
        <f>Levy!F254</f>
        <v>3409985</v>
      </c>
      <c r="E254" s="3">
        <f>Levy!G254</f>
        <v>522106</v>
      </c>
      <c r="F254" s="3">
        <f>Levy!H254</f>
        <v>664287</v>
      </c>
      <c r="G254" s="3">
        <f>Levy!I254</f>
        <v>1711560</v>
      </c>
      <c r="H254" s="3">
        <f>Levy!J254</f>
        <v>266036</v>
      </c>
      <c r="I254" s="154">
        <v>0</v>
      </c>
      <c r="J254" s="19">
        <v>50000</v>
      </c>
      <c r="K254" s="19">
        <v>61109.87</v>
      </c>
      <c r="L254" s="19">
        <v>0</v>
      </c>
      <c r="M254" s="3">
        <v>0</v>
      </c>
      <c r="N254" s="3">
        <v>0</v>
      </c>
      <c r="O254" s="3">
        <v>0</v>
      </c>
      <c r="P254" s="19">
        <v>22239.03</v>
      </c>
      <c r="Q254" s="19">
        <v>0</v>
      </c>
      <c r="R254" s="19">
        <v>-6381.16</v>
      </c>
      <c r="S254" s="19">
        <v>0</v>
      </c>
      <c r="T254" s="3">
        <v>0</v>
      </c>
      <c r="U254" s="3">
        <v>0</v>
      </c>
      <c r="V254" s="21">
        <v>0</v>
      </c>
      <c r="W254" s="21">
        <v>0</v>
      </c>
      <c r="X254" s="3">
        <v>20881.96</v>
      </c>
      <c r="Y254" s="21">
        <v>632970.1</v>
      </c>
      <c r="Z254" s="154">
        <f>Levy!U254</f>
        <v>0</v>
      </c>
      <c r="AA254" s="3">
        <f>Levy!V254</f>
        <v>0</v>
      </c>
      <c r="AB254" s="3">
        <f t="shared" si="13"/>
        <v>126967.73999999999</v>
      </c>
      <c r="AC254" s="3">
        <f t="shared" si="15"/>
        <v>2750103.3</v>
      </c>
      <c r="AD254" s="3">
        <f t="shared" si="16"/>
        <v>266036</v>
      </c>
      <c r="AE254" s="3">
        <f>ROUND(MAX(0,(D254-V254)*Shift11!$B$3),2)</f>
        <v>1657252.71</v>
      </c>
      <c r="AF254" s="3">
        <f t="shared" si="14"/>
        <v>1657252.71</v>
      </c>
    </row>
    <row r="255" spans="1:32" x14ac:dyDescent="0.2">
      <c r="A255" s="18">
        <v>833</v>
      </c>
      <c r="B255" s="18">
        <v>1</v>
      </c>
      <c r="C255" s="3" t="s">
        <v>252</v>
      </c>
      <c r="D255" s="3">
        <f>Levy!F255</f>
        <v>17603177</v>
      </c>
      <c r="E255" s="3">
        <f>Levy!G255</f>
        <v>2177436</v>
      </c>
      <c r="F255" s="3">
        <f>Levy!H255</f>
        <v>1000000</v>
      </c>
      <c r="G255" s="3">
        <f>Levy!I255</f>
        <v>6860379</v>
      </c>
      <c r="H255" s="3">
        <f>Levy!J255</f>
        <v>1368524</v>
      </c>
      <c r="I255" s="154">
        <v>0</v>
      </c>
      <c r="J255" s="19">
        <v>85000</v>
      </c>
      <c r="K255" s="19">
        <v>303984.8</v>
      </c>
      <c r="L255" s="19">
        <v>0</v>
      </c>
      <c r="M255" s="3">
        <v>0</v>
      </c>
      <c r="N255" s="3">
        <v>0</v>
      </c>
      <c r="O255" s="3">
        <v>0</v>
      </c>
      <c r="P255" s="19">
        <v>27872.560000000001</v>
      </c>
      <c r="Q255" s="19">
        <v>0</v>
      </c>
      <c r="R255" s="19">
        <v>-9220.7999999999993</v>
      </c>
      <c r="S255" s="19">
        <v>0</v>
      </c>
      <c r="T255" s="3">
        <v>0</v>
      </c>
      <c r="U255" s="3">
        <v>0</v>
      </c>
      <c r="V255" s="21">
        <v>0</v>
      </c>
      <c r="W255" s="21">
        <v>0</v>
      </c>
      <c r="X255" s="3">
        <v>55969.13</v>
      </c>
      <c r="Y255" s="21">
        <v>2822207.2</v>
      </c>
      <c r="Z255" s="154">
        <f>Levy!U255</f>
        <v>0</v>
      </c>
      <c r="AA255" s="3">
        <f>Levy!V255</f>
        <v>0</v>
      </c>
      <c r="AB255" s="3">
        <f t="shared" si="13"/>
        <v>407636.56</v>
      </c>
      <c r="AC255" s="3">
        <f t="shared" si="15"/>
        <v>9574209.3100000005</v>
      </c>
      <c r="AD255" s="3">
        <f t="shared" si="16"/>
        <v>1368524</v>
      </c>
      <c r="AE255" s="3">
        <f>ROUND(MAX(0,(D255-V255)*Shift11!$B$3),2)</f>
        <v>8555144.0199999996</v>
      </c>
      <c r="AF255" s="3">
        <f t="shared" si="14"/>
        <v>8555144.0199999996</v>
      </c>
    </row>
    <row r="256" spans="1:32" x14ac:dyDescent="0.2">
      <c r="A256" s="18">
        <v>834</v>
      </c>
      <c r="B256" s="18">
        <v>1</v>
      </c>
      <c r="C256" s="3" t="s">
        <v>253</v>
      </c>
      <c r="D256" s="3">
        <f>Levy!F256</f>
        <v>11874013</v>
      </c>
      <c r="E256" s="3">
        <f>Levy!G256</f>
        <v>1058209</v>
      </c>
      <c r="F256" s="3">
        <f>Levy!H256</f>
        <v>0</v>
      </c>
      <c r="G256" s="3">
        <f>Levy!I256</f>
        <v>6718089</v>
      </c>
      <c r="H256" s="3">
        <f>Levy!J256</f>
        <v>894731</v>
      </c>
      <c r="I256" s="154">
        <v>0</v>
      </c>
      <c r="J256" s="19">
        <v>89432.09</v>
      </c>
      <c r="K256" s="19">
        <v>154775.21</v>
      </c>
      <c r="L256" s="19">
        <v>0</v>
      </c>
      <c r="M256" s="3">
        <v>0</v>
      </c>
      <c r="N256" s="3">
        <v>0</v>
      </c>
      <c r="O256" s="3">
        <v>0</v>
      </c>
      <c r="P256" s="19">
        <v>-4375.4799999999996</v>
      </c>
      <c r="Q256" s="19">
        <v>0</v>
      </c>
      <c r="R256" s="19">
        <v>0</v>
      </c>
      <c r="S256" s="19">
        <v>0</v>
      </c>
      <c r="T256" s="3">
        <v>0</v>
      </c>
      <c r="U256" s="3">
        <v>0</v>
      </c>
      <c r="V256" s="21">
        <v>0</v>
      </c>
      <c r="W256" s="21">
        <v>0</v>
      </c>
      <c r="X256" s="3">
        <v>207626.7</v>
      </c>
      <c r="Y256" s="21">
        <v>1639817.77</v>
      </c>
      <c r="Z256" s="154">
        <f>Levy!U256</f>
        <v>0</v>
      </c>
      <c r="AA256" s="3">
        <f>Levy!V256</f>
        <v>0</v>
      </c>
      <c r="AB256" s="3">
        <f t="shared" ref="AB256:AB318" si="17">SUM(I256:T256)</f>
        <v>239831.81999999998</v>
      </c>
      <c r="AC256" s="3">
        <f t="shared" si="15"/>
        <v>7328839.4800000004</v>
      </c>
      <c r="AD256" s="3">
        <f t="shared" si="16"/>
        <v>894731</v>
      </c>
      <c r="AE256" s="3">
        <f>ROUND(MAX(0,(D256-V256)*Shift11!$B$3),2)</f>
        <v>5770770.3200000003</v>
      </c>
      <c r="AF256" s="3">
        <f t="shared" ref="AF256:AF318" si="18">MAX(AE256,Y256)</f>
        <v>5770770.3200000003</v>
      </c>
    </row>
    <row r="257" spans="1:32" x14ac:dyDescent="0.2">
      <c r="A257" s="18">
        <v>836</v>
      </c>
      <c r="B257" s="18">
        <v>1</v>
      </c>
      <c r="C257" s="3" t="s">
        <v>254</v>
      </c>
      <c r="D257" s="3">
        <f>Levy!F257</f>
        <v>135099</v>
      </c>
      <c r="E257" s="3">
        <f>Levy!G257</f>
        <v>8074</v>
      </c>
      <c r="F257" s="3">
        <f>Levy!H257</f>
        <v>0</v>
      </c>
      <c r="G257" s="3">
        <f>Levy!I257</f>
        <v>224502</v>
      </c>
      <c r="H257" s="3">
        <f>Levy!J257</f>
        <v>27797</v>
      </c>
      <c r="I257" s="154">
        <v>0</v>
      </c>
      <c r="J257" s="19">
        <v>7500</v>
      </c>
      <c r="K257" s="19">
        <v>10000</v>
      </c>
      <c r="L257" s="19">
        <v>0</v>
      </c>
      <c r="M257" s="3">
        <v>0</v>
      </c>
      <c r="N257" s="3">
        <v>0</v>
      </c>
      <c r="O257" s="3">
        <v>0</v>
      </c>
      <c r="P257" s="19">
        <v>-6849.6</v>
      </c>
      <c r="Q257" s="19">
        <v>0</v>
      </c>
      <c r="R257" s="19">
        <v>0</v>
      </c>
      <c r="S257" s="19">
        <v>0</v>
      </c>
      <c r="T257" s="3">
        <v>0</v>
      </c>
      <c r="U257" s="3">
        <v>0</v>
      </c>
      <c r="V257" s="21">
        <v>0</v>
      </c>
      <c r="W257" s="21">
        <v>0</v>
      </c>
      <c r="X257" s="3">
        <v>0</v>
      </c>
      <c r="Y257" s="21">
        <v>69875.679999999993</v>
      </c>
      <c r="Z257" s="154">
        <f>Levy!U257</f>
        <v>0</v>
      </c>
      <c r="AA257" s="3">
        <f>Levy!V257</f>
        <v>0</v>
      </c>
      <c r="AB257" s="3">
        <f t="shared" si="17"/>
        <v>10650.4</v>
      </c>
      <c r="AC257" s="3">
        <f t="shared" si="15"/>
        <v>221925.6</v>
      </c>
      <c r="AD257" s="3">
        <f t="shared" si="16"/>
        <v>27797</v>
      </c>
      <c r="AE257" s="3">
        <f>ROUND(MAX(0,(D257-V257)*Shift11!$B$3),2)</f>
        <v>65658.11</v>
      </c>
      <c r="AF257" s="3">
        <f t="shared" si="18"/>
        <v>69875.679999999993</v>
      </c>
    </row>
    <row r="258" spans="1:32" x14ac:dyDescent="0.2">
      <c r="A258" s="18">
        <v>837</v>
      </c>
      <c r="B258" s="18">
        <v>1</v>
      </c>
      <c r="C258" s="3" t="s">
        <v>255</v>
      </c>
      <c r="D258" s="3">
        <f>Levy!F258</f>
        <v>219305</v>
      </c>
      <c r="E258" s="3">
        <f>Levy!G258</f>
        <v>43002</v>
      </c>
      <c r="F258" s="3">
        <f>Levy!H258</f>
        <v>0</v>
      </c>
      <c r="G258" s="3">
        <f>Levy!I258</f>
        <v>117798</v>
      </c>
      <c r="H258" s="3">
        <f>Levy!J258</f>
        <v>47610</v>
      </c>
      <c r="I258" s="154">
        <v>0</v>
      </c>
      <c r="J258" s="19">
        <v>15000</v>
      </c>
      <c r="K258" s="19">
        <v>13235.7</v>
      </c>
      <c r="L258" s="19">
        <v>0</v>
      </c>
      <c r="M258" s="3">
        <v>0</v>
      </c>
      <c r="N258" s="3">
        <v>0</v>
      </c>
      <c r="O258" s="3">
        <v>0</v>
      </c>
      <c r="P258" s="19">
        <v>-1392.19</v>
      </c>
      <c r="Q258" s="19">
        <v>0</v>
      </c>
      <c r="R258" s="19">
        <v>0</v>
      </c>
      <c r="S258" s="19">
        <v>0</v>
      </c>
      <c r="T258" s="3">
        <v>0</v>
      </c>
      <c r="U258" s="3">
        <v>0</v>
      </c>
      <c r="V258" s="21">
        <v>0</v>
      </c>
      <c r="W258" s="21">
        <v>0</v>
      </c>
      <c r="X258" s="3">
        <v>8589.65</v>
      </c>
      <c r="Y258" s="21">
        <v>78714.820000000007</v>
      </c>
      <c r="Z258" s="154">
        <f>Levy!U258</f>
        <v>0</v>
      </c>
      <c r="AA258" s="3">
        <f>Levy!V258</f>
        <v>0</v>
      </c>
      <c r="AB258" s="3">
        <f t="shared" si="17"/>
        <v>26843.510000000002</v>
      </c>
      <c r="AC258" s="3">
        <f t="shared" si="15"/>
        <v>125366.84</v>
      </c>
      <c r="AD258" s="3">
        <f t="shared" si="16"/>
        <v>47610</v>
      </c>
      <c r="AE258" s="3">
        <f>ROUND(MAX(0,(D258-V258)*Shift11!$B$3),2)</f>
        <v>106582.23</v>
      </c>
      <c r="AF258" s="3">
        <f t="shared" si="18"/>
        <v>106582.23</v>
      </c>
    </row>
    <row r="259" spans="1:32" x14ac:dyDescent="0.2">
      <c r="A259" s="18">
        <v>840</v>
      </c>
      <c r="B259" s="18">
        <v>1</v>
      </c>
      <c r="C259" s="3" t="s">
        <v>256</v>
      </c>
      <c r="D259" s="3">
        <f>Levy!F259</f>
        <v>535284</v>
      </c>
      <c r="E259" s="3">
        <f>Levy!G259</f>
        <v>50707</v>
      </c>
      <c r="F259" s="3">
        <f>Levy!H259</f>
        <v>0</v>
      </c>
      <c r="G259" s="3">
        <f>Levy!I259</f>
        <v>518198</v>
      </c>
      <c r="H259" s="3">
        <f>Levy!J259</f>
        <v>118397</v>
      </c>
      <c r="I259" s="154">
        <v>0</v>
      </c>
      <c r="J259" s="19">
        <v>10000</v>
      </c>
      <c r="K259" s="19">
        <v>8437.57</v>
      </c>
      <c r="L259" s="19">
        <v>0</v>
      </c>
      <c r="M259" s="3">
        <v>0</v>
      </c>
      <c r="N259" s="3">
        <v>0</v>
      </c>
      <c r="O259" s="3">
        <v>0</v>
      </c>
      <c r="P259" s="19">
        <v>-3974.05</v>
      </c>
      <c r="Q259" s="19">
        <v>0</v>
      </c>
      <c r="R259" s="19">
        <v>22626.35</v>
      </c>
      <c r="S259" s="19">
        <v>0</v>
      </c>
      <c r="T259" s="3">
        <v>0</v>
      </c>
      <c r="U259" s="3">
        <v>0</v>
      </c>
      <c r="V259" s="21">
        <v>0</v>
      </c>
      <c r="W259" s="21">
        <v>0</v>
      </c>
      <c r="X259" s="3">
        <v>0</v>
      </c>
      <c r="Y259" s="21">
        <v>66890.06</v>
      </c>
      <c r="Z259" s="154">
        <f>Levy!U259</f>
        <v>0</v>
      </c>
      <c r="AA259" s="3">
        <f>Levy!V259</f>
        <v>0</v>
      </c>
      <c r="AB259" s="3">
        <f t="shared" si="17"/>
        <v>37089.869999999995</v>
      </c>
      <c r="AC259" s="3">
        <f t="shared" si="15"/>
        <v>531815.13</v>
      </c>
      <c r="AD259" s="3">
        <f t="shared" si="16"/>
        <v>118397</v>
      </c>
      <c r="AE259" s="3">
        <f>ROUND(MAX(0,(D259-V259)*Shift11!$B$3),2)</f>
        <v>260148.02</v>
      </c>
      <c r="AF259" s="3">
        <f t="shared" si="18"/>
        <v>260148.02</v>
      </c>
    </row>
    <row r="260" spans="1:32" x14ac:dyDescent="0.2">
      <c r="A260" s="18">
        <v>846</v>
      </c>
      <c r="B260" s="18">
        <v>1</v>
      </c>
      <c r="C260" s="3" t="s">
        <v>257</v>
      </c>
      <c r="D260" s="3">
        <f>Levy!F260</f>
        <v>290826.51</v>
      </c>
      <c r="E260" s="3">
        <f>Levy!G260</f>
        <v>38177.72</v>
      </c>
      <c r="F260" s="3">
        <f>Levy!H260</f>
        <v>0</v>
      </c>
      <c r="G260" s="3">
        <f>Levy!I260</f>
        <v>332603.78999999998</v>
      </c>
      <c r="H260" s="3">
        <f>Levy!J260</f>
        <v>78447.44</v>
      </c>
      <c r="I260" s="154">
        <v>0</v>
      </c>
      <c r="J260" s="19">
        <v>5000</v>
      </c>
      <c r="K260" s="19">
        <v>10000</v>
      </c>
      <c r="L260" s="19">
        <v>0</v>
      </c>
      <c r="M260" s="3">
        <v>0</v>
      </c>
      <c r="N260" s="3">
        <v>0</v>
      </c>
      <c r="O260" s="3">
        <v>0</v>
      </c>
      <c r="P260" s="19">
        <v>-5000</v>
      </c>
      <c r="Q260" s="19">
        <v>0</v>
      </c>
      <c r="R260" s="19">
        <v>0</v>
      </c>
      <c r="S260" s="19">
        <v>0</v>
      </c>
      <c r="T260" s="3">
        <v>0</v>
      </c>
      <c r="U260" s="3">
        <v>0</v>
      </c>
      <c r="V260" s="21">
        <v>0</v>
      </c>
      <c r="W260" s="21">
        <v>0</v>
      </c>
      <c r="X260" s="3">
        <v>0</v>
      </c>
      <c r="Y260" s="21">
        <v>18639.04</v>
      </c>
      <c r="Z260" s="154">
        <f>Levy!U260</f>
        <v>0</v>
      </c>
      <c r="AA260" s="3">
        <f>Levy!V260</f>
        <v>0</v>
      </c>
      <c r="AB260" s="3">
        <f t="shared" si="17"/>
        <v>10000</v>
      </c>
      <c r="AC260" s="3">
        <f t="shared" si="15"/>
        <v>360781.51</v>
      </c>
      <c r="AD260" s="3">
        <f t="shared" si="16"/>
        <v>78447.44</v>
      </c>
      <c r="AE260" s="3">
        <f>ROUND(MAX(0,(D260-V260)*Shift11!$B$3),2)</f>
        <v>141341.68</v>
      </c>
      <c r="AF260" s="3">
        <f t="shared" si="18"/>
        <v>141341.68</v>
      </c>
    </row>
    <row r="261" spans="1:32" x14ac:dyDescent="0.2">
      <c r="A261" s="18">
        <v>850</v>
      </c>
      <c r="B261" s="18">
        <v>1</v>
      </c>
      <c r="C261" s="3" t="s">
        <v>258</v>
      </c>
      <c r="D261" s="3">
        <f>Levy!F261</f>
        <v>269707.84999999998</v>
      </c>
      <c r="E261" s="3">
        <f>Levy!G261</f>
        <v>7792.2</v>
      </c>
      <c r="F261" s="3">
        <f>Levy!H261</f>
        <v>0</v>
      </c>
      <c r="G261" s="3">
        <f>Levy!I261</f>
        <v>185085.17</v>
      </c>
      <c r="H261" s="3">
        <f>Levy!J261</f>
        <v>19847.39</v>
      </c>
      <c r="I261" s="154">
        <v>0</v>
      </c>
      <c r="J261" s="19">
        <v>500</v>
      </c>
      <c r="K261" s="19">
        <v>10000</v>
      </c>
      <c r="L261" s="19">
        <v>0</v>
      </c>
      <c r="M261" s="3">
        <v>0</v>
      </c>
      <c r="N261" s="3">
        <v>0</v>
      </c>
      <c r="O261" s="3">
        <v>0</v>
      </c>
      <c r="P261" s="19">
        <v>-11376.5</v>
      </c>
      <c r="Q261" s="19">
        <v>0</v>
      </c>
      <c r="R261" s="19">
        <v>0</v>
      </c>
      <c r="S261" s="19">
        <v>0</v>
      </c>
      <c r="T261" s="3">
        <v>0</v>
      </c>
      <c r="U261" s="3">
        <v>0</v>
      </c>
      <c r="V261" s="21">
        <v>0</v>
      </c>
      <c r="W261" s="21">
        <v>0</v>
      </c>
      <c r="X261" s="3">
        <v>0</v>
      </c>
      <c r="Y261" s="21">
        <v>70534.77</v>
      </c>
      <c r="Z261" s="154">
        <f>Levy!U261</f>
        <v>0</v>
      </c>
      <c r="AA261" s="3">
        <f>Levy!V261</f>
        <v>0</v>
      </c>
      <c r="AB261" s="3">
        <f t="shared" si="17"/>
        <v>-876.5</v>
      </c>
      <c r="AC261" s="3">
        <f t="shared" si="15"/>
        <v>193753.87</v>
      </c>
      <c r="AD261" s="3">
        <f t="shared" si="16"/>
        <v>19847.39</v>
      </c>
      <c r="AE261" s="3">
        <f>ROUND(MAX(0,(D261-V261)*Shift11!$B$3),2)</f>
        <v>131078.01999999999</v>
      </c>
      <c r="AF261" s="3">
        <f t="shared" si="18"/>
        <v>131078.01999999999</v>
      </c>
    </row>
    <row r="262" spans="1:32" x14ac:dyDescent="0.2">
      <c r="A262" s="18">
        <v>852</v>
      </c>
      <c r="B262" s="18">
        <v>1</v>
      </c>
      <c r="C262" s="3" t="s">
        <v>259</v>
      </c>
      <c r="D262" s="3">
        <f>Levy!F262</f>
        <v>334875</v>
      </c>
      <c r="E262" s="3">
        <f>Levy!G262</f>
        <v>3229.06</v>
      </c>
      <c r="F262" s="3">
        <f>Levy!H262</f>
        <v>0</v>
      </c>
      <c r="G262" s="3">
        <f>Levy!I262</f>
        <v>78095.259999999995</v>
      </c>
      <c r="H262" s="3">
        <f>Levy!J262</f>
        <v>23747.63</v>
      </c>
      <c r="I262" s="154">
        <v>0</v>
      </c>
      <c r="J262" s="19">
        <v>10000</v>
      </c>
      <c r="K262" s="19">
        <v>10000</v>
      </c>
      <c r="L262" s="19">
        <v>0</v>
      </c>
      <c r="M262" s="3">
        <v>0</v>
      </c>
      <c r="N262" s="3">
        <v>0</v>
      </c>
      <c r="O262" s="3">
        <v>0</v>
      </c>
      <c r="P262" s="19">
        <v>-2928.94</v>
      </c>
      <c r="Q262" s="19">
        <v>0</v>
      </c>
      <c r="R262" s="19">
        <v>0</v>
      </c>
      <c r="S262" s="19">
        <v>0</v>
      </c>
      <c r="T262" s="3">
        <v>0</v>
      </c>
      <c r="U262" s="3">
        <v>0</v>
      </c>
      <c r="V262" s="21">
        <v>0</v>
      </c>
      <c r="W262" s="21">
        <v>0</v>
      </c>
      <c r="X262" s="3">
        <v>0</v>
      </c>
      <c r="Y262" s="21">
        <v>97310.3</v>
      </c>
      <c r="Z262" s="154">
        <f>Levy!U262</f>
        <v>0</v>
      </c>
      <c r="AA262" s="3">
        <f>Levy!V262</f>
        <v>0</v>
      </c>
      <c r="AB262" s="3">
        <f t="shared" si="17"/>
        <v>17071.060000000001</v>
      </c>
      <c r="AC262" s="3">
        <f t="shared" si="15"/>
        <v>64253.26</v>
      </c>
      <c r="AD262" s="3">
        <f t="shared" si="16"/>
        <v>23747.63</v>
      </c>
      <c r="AE262" s="3">
        <f>ROUND(MAX(0,(D262-V262)*Shift11!$B$3),2)</f>
        <v>162749.25</v>
      </c>
      <c r="AF262" s="3">
        <f t="shared" si="18"/>
        <v>162749.25</v>
      </c>
    </row>
    <row r="263" spans="1:32" x14ac:dyDescent="0.2">
      <c r="A263" s="18">
        <v>857</v>
      </c>
      <c r="B263" s="18">
        <v>1</v>
      </c>
      <c r="C263" s="3" t="s">
        <v>260</v>
      </c>
      <c r="D263" s="3">
        <f>Levy!F263</f>
        <v>428076</v>
      </c>
      <c r="E263" s="3">
        <f>Levy!G263</f>
        <v>63951</v>
      </c>
      <c r="F263" s="3">
        <f>Levy!H263</f>
        <v>0</v>
      </c>
      <c r="G263" s="3">
        <f>Levy!I263</f>
        <v>323854</v>
      </c>
      <c r="H263" s="3">
        <f>Levy!J263</f>
        <v>49500</v>
      </c>
      <c r="I263" s="154">
        <v>0</v>
      </c>
      <c r="J263" s="19">
        <v>7034</v>
      </c>
      <c r="K263" s="19">
        <v>14556.63</v>
      </c>
      <c r="L263" s="19">
        <v>0</v>
      </c>
      <c r="M263" s="3">
        <v>0</v>
      </c>
      <c r="N263" s="3">
        <v>0</v>
      </c>
      <c r="O263" s="3">
        <v>0</v>
      </c>
      <c r="P263" s="19">
        <v>687.73</v>
      </c>
      <c r="Q263" s="19">
        <v>0</v>
      </c>
      <c r="R263" s="19">
        <v>0</v>
      </c>
      <c r="S263" s="19">
        <v>0</v>
      </c>
      <c r="T263" s="3">
        <v>0</v>
      </c>
      <c r="U263" s="3">
        <v>0</v>
      </c>
      <c r="V263" s="21">
        <v>0</v>
      </c>
      <c r="W263" s="21">
        <v>0</v>
      </c>
      <c r="X263" s="3">
        <v>0</v>
      </c>
      <c r="Y263" s="21">
        <v>0</v>
      </c>
      <c r="Z263" s="154">
        <f>Levy!U263</f>
        <v>0</v>
      </c>
      <c r="AA263" s="3">
        <f>Levy!V263</f>
        <v>0</v>
      </c>
      <c r="AB263" s="3">
        <f t="shared" si="17"/>
        <v>22278.359999999997</v>
      </c>
      <c r="AC263" s="3">
        <f t="shared" si="15"/>
        <v>365526.64</v>
      </c>
      <c r="AD263" s="3">
        <f t="shared" si="16"/>
        <v>49500</v>
      </c>
      <c r="AE263" s="3">
        <f>ROUND(MAX(0,(D263-V263)*Shift11!$B$3),2)</f>
        <v>208044.94</v>
      </c>
      <c r="AF263" s="3">
        <f t="shared" si="18"/>
        <v>208044.94</v>
      </c>
    </row>
    <row r="264" spans="1:32" x14ac:dyDescent="0.2">
      <c r="A264" s="18">
        <v>858</v>
      </c>
      <c r="B264" s="18">
        <v>1</v>
      </c>
      <c r="C264" s="3" t="s">
        <v>261</v>
      </c>
      <c r="D264" s="3">
        <f>Levy!F264</f>
        <v>0</v>
      </c>
      <c r="E264" s="3">
        <f>Levy!G264</f>
        <v>112923</v>
      </c>
      <c r="F264" s="3">
        <f>Levy!H264</f>
        <v>0</v>
      </c>
      <c r="G264" s="3">
        <f>Levy!I264</f>
        <v>193071</v>
      </c>
      <c r="H264" s="3">
        <f>Levy!J264</f>
        <v>57029</v>
      </c>
      <c r="I264" s="154">
        <v>0</v>
      </c>
      <c r="J264" s="19">
        <v>6175</v>
      </c>
      <c r="K264" s="19">
        <v>15215.57</v>
      </c>
      <c r="L264" s="19">
        <v>0</v>
      </c>
      <c r="M264" s="3">
        <v>0</v>
      </c>
      <c r="N264" s="3">
        <v>0</v>
      </c>
      <c r="O264" s="3">
        <v>0</v>
      </c>
      <c r="P264" s="19">
        <v>2436.14</v>
      </c>
      <c r="Q264" s="19">
        <v>0</v>
      </c>
      <c r="R264" s="19">
        <v>0</v>
      </c>
      <c r="S264" s="19">
        <v>0</v>
      </c>
      <c r="T264" s="3">
        <v>0</v>
      </c>
      <c r="U264" s="3">
        <v>0</v>
      </c>
      <c r="V264" s="21">
        <v>0</v>
      </c>
      <c r="W264" s="21">
        <v>0</v>
      </c>
      <c r="X264" s="3">
        <v>0</v>
      </c>
      <c r="Y264" s="21">
        <v>0</v>
      </c>
      <c r="Z264" s="154">
        <f>Levy!U264</f>
        <v>0</v>
      </c>
      <c r="AA264" s="3">
        <f>Levy!V264</f>
        <v>0</v>
      </c>
      <c r="AB264" s="3">
        <f t="shared" si="17"/>
        <v>23826.71</v>
      </c>
      <c r="AC264" s="3">
        <f t="shared" ref="AC264:AC327" si="19">ROUND(MAX(E264+F264+G264-Z264-W264-X264-AB264,0),2)</f>
        <v>282167.28999999998</v>
      </c>
      <c r="AD264" s="3">
        <f t="shared" ref="AD264:AD327" si="20">ROUND(MAX(H264-U264-AA264,0),2)</f>
        <v>57029</v>
      </c>
      <c r="AE264" s="3">
        <f>ROUND(MAX(0,(D264-V264)*Shift11!$B$3),2)</f>
        <v>0</v>
      </c>
      <c r="AF264" s="3">
        <f t="shared" si="18"/>
        <v>0</v>
      </c>
    </row>
    <row r="265" spans="1:32" x14ac:dyDescent="0.2">
      <c r="A265" s="18">
        <v>861</v>
      </c>
      <c r="B265" s="18">
        <v>1</v>
      </c>
      <c r="C265" s="3" t="s">
        <v>262</v>
      </c>
      <c r="D265" s="3">
        <f>Levy!F265</f>
        <v>6677544</v>
      </c>
      <c r="E265" s="3">
        <f>Levy!G265</f>
        <v>252543</v>
      </c>
      <c r="F265" s="3">
        <f>Levy!H265</f>
        <v>0</v>
      </c>
      <c r="G265" s="3">
        <f>Levy!I265</f>
        <v>2001141</v>
      </c>
      <c r="H265" s="3">
        <f>Levy!J265</f>
        <v>477240</v>
      </c>
      <c r="I265" s="154">
        <v>0</v>
      </c>
      <c r="J265" s="19">
        <v>75000</v>
      </c>
      <c r="K265" s="19">
        <v>83452.800000000003</v>
      </c>
      <c r="L265" s="19">
        <v>0</v>
      </c>
      <c r="M265" s="3">
        <v>0</v>
      </c>
      <c r="N265" s="3">
        <v>0</v>
      </c>
      <c r="O265" s="3">
        <v>0</v>
      </c>
      <c r="P265" s="19">
        <v>1647.93</v>
      </c>
      <c r="Q265" s="19">
        <v>0</v>
      </c>
      <c r="R265" s="19">
        <v>-38032.18</v>
      </c>
      <c r="S265" s="19">
        <v>0</v>
      </c>
      <c r="T265" s="3">
        <v>0</v>
      </c>
      <c r="U265" s="3">
        <v>0</v>
      </c>
      <c r="V265" s="21">
        <v>0</v>
      </c>
      <c r="W265" s="21">
        <v>0</v>
      </c>
      <c r="X265" s="3">
        <v>0</v>
      </c>
      <c r="Y265" s="21">
        <v>163275.60999999999</v>
      </c>
      <c r="Z265" s="154">
        <f>Levy!U265</f>
        <v>0</v>
      </c>
      <c r="AA265" s="3">
        <f>Levy!V265</f>
        <v>0</v>
      </c>
      <c r="AB265" s="3">
        <f t="shared" si="17"/>
        <v>122068.54999999999</v>
      </c>
      <c r="AC265" s="3">
        <f t="shared" si="19"/>
        <v>2131615.4500000002</v>
      </c>
      <c r="AD265" s="3">
        <f t="shared" si="20"/>
        <v>477240</v>
      </c>
      <c r="AE265" s="3">
        <f>ROUND(MAX(0,(D265-V265)*Shift11!$B$3),2)</f>
        <v>3245286.38</v>
      </c>
      <c r="AF265" s="3">
        <f t="shared" si="18"/>
        <v>3245286.38</v>
      </c>
    </row>
    <row r="266" spans="1:32" x14ac:dyDescent="0.2">
      <c r="A266" s="18">
        <v>876</v>
      </c>
      <c r="B266" s="18">
        <v>1</v>
      </c>
      <c r="C266" s="3" t="s">
        <v>263</v>
      </c>
      <c r="D266" s="3">
        <f>Levy!F266</f>
        <v>1120044.97</v>
      </c>
      <c r="E266" s="3">
        <f>Levy!G266</f>
        <v>230342.66</v>
      </c>
      <c r="F266" s="3">
        <f>Levy!H266</f>
        <v>0</v>
      </c>
      <c r="G266" s="3">
        <f>Levy!I266</f>
        <v>1027165.35</v>
      </c>
      <c r="H266" s="3">
        <f>Levy!J266</f>
        <v>163319.82</v>
      </c>
      <c r="I266" s="154">
        <v>0</v>
      </c>
      <c r="J266" s="19">
        <v>10000</v>
      </c>
      <c r="K266" s="19">
        <v>38012.800000000003</v>
      </c>
      <c r="L266" s="19">
        <v>0</v>
      </c>
      <c r="M266" s="3">
        <v>0</v>
      </c>
      <c r="N266" s="3">
        <v>0</v>
      </c>
      <c r="O266" s="3">
        <v>0</v>
      </c>
      <c r="P266" s="19">
        <v>-4236.71</v>
      </c>
      <c r="Q266" s="19">
        <v>0</v>
      </c>
      <c r="R266" s="19">
        <v>-1532</v>
      </c>
      <c r="S266" s="19">
        <v>0</v>
      </c>
      <c r="T266" s="3">
        <v>0</v>
      </c>
      <c r="U266" s="3">
        <v>0</v>
      </c>
      <c r="V266" s="21">
        <v>0</v>
      </c>
      <c r="W266" s="21">
        <v>0</v>
      </c>
      <c r="X266" s="3">
        <v>63681.05</v>
      </c>
      <c r="Y266" s="21">
        <v>207538.92</v>
      </c>
      <c r="Z266" s="154">
        <f>Levy!U266</f>
        <v>0</v>
      </c>
      <c r="AA266" s="3">
        <f>Levy!V266</f>
        <v>0</v>
      </c>
      <c r="AB266" s="3">
        <f t="shared" si="17"/>
        <v>42244.090000000004</v>
      </c>
      <c r="AC266" s="3">
        <f t="shared" si="19"/>
        <v>1151582.8700000001</v>
      </c>
      <c r="AD266" s="3">
        <f t="shared" si="20"/>
        <v>163319.82</v>
      </c>
      <c r="AE266" s="3">
        <f>ROUND(MAX(0,(D266-V266)*Shift11!$B$3),2)</f>
        <v>544341.86</v>
      </c>
      <c r="AF266" s="3">
        <f t="shared" si="18"/>
        <v>544341.86</v>
      </c>
    </row>
    <row r="267" spans="1:32" x14ac:dyDescent="0.2">
      <c r="A267" s="18">
        <v>877</v>
      </c>
      <c r="B267" s="18">
        <v>1</v>
      </c>
      <c r="C267" s="3" t="s">
        <v>264</v>
      </c>
      <c r="D267" s="3">
        <f>Levy!F267</f>
        <v>2867136.77</v>
      </c>
      <c r="E267" s="3">
        <f>Levy!G267</f>
        <v>708105.63</v>
      </c>
      <c r="F267" s="3">
        <f>Levy!H267</f>
        <v>0</v>
      </c>
      <c r="G267" s="3">
        <f>Levy!I267</f>
        <v>2005389.12</v>
      </c>
      <c r="H267" s="3">
        <f>Levy!J267</f>
        <v>590417.34</v>
      </c>
      <c r="I267" s="154">
        <v>0</v>
      </c>
      <c r="J267" s="19">
        <v>106000</v>
      </c>
      <c r="K267" s="19">
        <v>103763.89</v>
      </c>
      <c r="L267" s="19">
        <v>0</v>
      </c>
      <c r="M267" s="3">
        <v>0</v>
      </c>
      <c r="N267" s="3">
        <v>0</v>
      </c>
      <c r="O267" s="3">
        <v>0</v>
      </c>
      <c r="P267" s="19">
        <v>21897.55</v>
      </c>
      <c r="Q267" s="19">
        <v>0</v>
      </c>
      <c r="R267" s="19">
        <v>-1422.04</v>
      </c>
      <c r="S267" s="19">
        <v>0</v>
      </c>
      <c r="T267" s="3">
        <v>0</v>
      </c>
      <c r="U267" s="3">
        <v>0</v>
      </c>
      <c r="V267" s="21">
        <v>0</v>
      </c>
      <c r="W267" s="21">
        <v>0</v>
      </c>
      <c r="X267" s="3">
        <v>0</v>
      </c>
      <c r="Y267" s="21">
        <v>442510.09</v>
      </c>
      <c r="Z267" s="154">
        <f>Levy!U267</f>
        <v>0</v>
      </c>
      <c r="AA267" s="3">
        <f>Levy!V267</f>
        <v>0</v>
      </c>
      <c r="AB267" s="3">
        <f t="shared" si="17"/>
        <v>230239.4</v>
      </c>
      <c r="AC267" s="3">
        <f t="shared" si="19"/>
        <v>2483255.35</v>
      </c>
      <c r="AD267" s="3">
        <f t="shared" si="20"/>
        <v>590417.34</v>
      </c>
      <c r="AE267" s="3">
        <f>ROUND(MAX(0,(D267-V267)*Shift11!$B$3),2)</f>
        <v>1393428.47</v>
      </c>
      <c r="AF267" s="3">
        <f t="shared" si="18"/>
        <v>1393428.47</v>
      </c>
    </row>
    <row r="268" spans="1:32" x14ac:dyDescent="0.2">
      <c r="A268" s="18">
        <v>879</v>
      </c>
      <c r="B268" s="18">
        <v>1</v>
      </c>
      <c r="C268" s="3" t="s">
        <v>265</v>
      </c>
      <c r="D268" s="3">
        <f>Levy!F268</f>
        <v>1114458.28</v>
      </c>
      <c r="E268" s="3">
        <f>Levy!G268</f>
        <v>280685.57</v>
      </c>
      <c r="F268" s="3">
        <f>Levy!H268</f>
        <v>0</v>
      </c>
      <c r="G268" s="3">
        <f>Levy!I268</f>
        <v>931143.19</v>
      </c>
      <c r="H268" s="3">
        <f>Levy!J268</f>
        <v>250250.32</v>
      </c>
      <c r="I268" s="154">
        <v>0</v>
      </c>
      <c r="J268" s="19">
        <v>15000</v>
      </c>
      <c r="K268" s="19">
        <v>46320.41</v>
      </c>
      <c r="L268" s="19">
        <v>0</v>
      </c>
      <c r="M268" s="3">
        <v>0</v>
      </c>
      <c r="N268" s="3">
        <v>0</v>
      </c>
      <c r="O268" s="3">
        <v>0</v>
      </c>
      <c r="P268" s="19">
        <v>-8635.26</v>
      </c>
      <c r="Q268" s="19">
        <v>0</v>
      </c>
      <c r="R268" s="19">
        <v>448.8</v>
      </c>
      <c r="S268" s="19">
        <v>0</v>
      </c>
      <c r="T268" s="3">
        <v>0</v>
      </c>
      <c r="U268" s="3">
        <v>0</v>
      </c>
      <c r="V268" s="21">
        <v>0</v>
      </c>
      <c r="W268" s="21">
        <v>0</v>
      </c>
      <c r="X268" s="3">
        <v>0</v>
      </c>
      <c r="Y268" s="21">
        <v>117957.42</v>
      </c>
      <c r="Z268" s="154">
        <f>Levy!U268</f>
        <v>0</v>
      </c>
      <c r="AA268" s="3">
        <f>Levy!V268</f>
        <v>0</v>
      </c>
      <c r="AB268" s="3">
        <f t="shared" si="17"/>
        <v>53133.950000000004</v>
      </c>
      <c r="AC268" s="3">
        <f t="shared" si="19"/>
        <v>1158694.81</v>
      </c>
      <c r="AD268" s="3">
        <f t="shared" si="20"/>
        <v>250250.32</v>
      </c>
      <c r="AE268" s="3">
        <f>ROUND(MAX(0,(D268-V268)*Shift11!$B$3),2)</f>
        <v>541626.72</v>
      </c>
      <c r="AF268" s="3">
        <f t="shared" si="18"/>
        <v>541626.72</v>
      </c>
    </row>
    <row r="269" spans="1:32" x14ac:dyDescent="0.2">
      <c r="A269" s="18">
        <v>881</v>
      </c>
      <c r="B269" s="18">
        <v>1</v>
      </c>
      <c r="C269" s="3" t="s">
        <v>266</v>
      </c>
      <c r="D269" s="3">
        <f>Levy!F269</f>
        <v>656172.14</v>
      </c>
      <c r="E269" s="3">
        <f>Levy!G269</f>
        <v>114041.98</v>
      </c>
      <c r="F269" s="3">
        <f>Levy!H269</f>
        <v>0</v>
      </c>
      <c r="G269" s="3">
        <f>Levy!I269</f>
        <v>250427.95</v>
      </c>
      <c r="H269" s="3">
        <f>Levy!J269</f>
        <v>70696.479999999996</v>
      </c>
      <c r="I269" s="154">
        <v>0</v>
      </c>
      <c r="J269" s="19">
        <v>1320.72</v>
      </c>
      <c r="K269" s="19">
        <v>17644.099999999999</v>
      </c>
      <c r="L269" s="19">
        <v>0</v>
      </c>
      <c r="M269" s="3">
        <v>0</v>
      </c>
      <c r="N269" s="3">
        <v>0</v>
      </c>
      <c r="O269" s="3">
        <v>0</v>
      </c>
      <c r="P269" s="19">
        <v>1447.13</v>
      </c>
      <c r="Q269" s="19">
        <v>0</v>
      </c>
      <c r="R269" s="19">
        <v>0</v>
      </c>
      <c r="S269" s="19">
        <v>0</v>
      </c>
      <c r="T269" s="3">
        <v>0</v>
      </c>
      <c r="U269" s="3">
        <v>0</v>
      </c>
      <c r="V269" s="21">
        <v>0</v>
      </c>
      <c r="W269" s="21">
        <v>0</v>
      </c>
      <c r="X269" s="3">
        <v>19558.900000000001</v>
      </c>
      <c r="Y269" s="21">
        <v>117442.28</v>
      </c>
      <c r="Z269" s="154">
        <f>Levy!U269</f>
        <v>0</v>
      </c>
      <c r="AA269" s="3">
        <f>Levy!V269</f>
        <v>0</v>
      </c>
      <c r="AB269" s="3">
        <f t="shared" si="17"/>
        <v>20411.95</v>
      </c>
      <c r="AC269" s="3">
        <f t="shared" si="19"/>
        <v>324499.08</v>
      </c>
      <c r="AD269" s="3">
        <f t="shared" si="20"/>
        <v>70696.479999999996</v>
      </c>
      <c r="AE269" s="3">
        <f>ROUND(MAX(0,(D269-V269)*Shift11!$B$3),2)</f>
        <v>318899.65999999997</v>
      </c>
      <c r="AF269" s="3">
        <f t="shared" si="18"/>
        <v>318899.65999999997</v>
      </c>
    </row>
    <row r="270" spans="1:32" x14ac:dyDescent="0.2">
      <c r="A270" s="18">
        <v>882</v>
      </c>
      <c r="B270" s="18">
        <v>1</v>
      </c>
      <c r="C270" s="3" t="s">
        <v>267</v>
      </c>
      <c r="D270" s="3">
        <f>Levy!F270</f>
        <v>3570091.13</v>
      </c>
      <c r="E270" s="3">
        <f>Levy!G270</f>
        <v>408402.93</v>
      </c>
      <c r="F270" s="3">
        <f>Levy!H270</f>
        <v>0</v>
      </c>
      <c r="G270" s="3">
        <f>Levy!I270</f>
        <v>1597736.86</v>
      </c>
      <c r="H270" s="3">
        <f>Levy!J270</f>
        <v>239334.7</v>
      </c>
      <c r="I270" s="154">
        <v>0</v>
      </c>
      <c r="J270" s="19">
        <v>30000</v>
      </c>
      <c r="K270" s="19">
        <v>45916.12</v>
      </c>
      <c r="L270" s="19">
        <v>0</v>
      </c>
      <c r="M270" s="3">
        <v>0</v>
      </c>
      <c r="N270" s="3">
        <v>0</v>
      </c>
      <c r="O270" s="3">
        <v>0</v>
      </c>
      <c r="P270" s="19">
        <v>-440.77</v>
      </c>
      <c r="Q270" s="19">
        <v>0</v>
      </c>
      <c r="R270" s="19">
        <v>0</v>
      </c>
      <c r="S270" s="19">
        <v>0</v>
      </c>
      <c r="T270" s="3">
        <v>0</v>
      </c>
      <c r="U270" s="3">
        <v>0</v>
      </c>
      <c r="V270" s="21">
        <v>0</v>
      </c>
      <c r="W270" s="21">
        <v>0</v>
      </c>
      <c r="X270" s="3">
        <v>155849.28</v>
      </c>
      <c r="Y270" s="21">
        <v>480525.55</v>
      </c>
      <c r="Z270" s="154">
        <f>Levy!U270</f>
        <v>0</v>
      </c>
      <c r="AA270" s="3">
        <f>Levy!V270</f>
        <v>0</v>
      </c>
      <c r="AB270" s="3">
        <f t="shared" si="17"/>
        <v>75475.349999999991</v>
      </c>
      <c r="AC270" s="3">
        <f t="shared" si="19"/>
        <v>1774815.16</v>
      </c>
      <c r="AD270" s="3">
        <f t="shared" si="20"/>
        <v>239334.7</v>
      </c>
      <c r="AE270" s="3">
        <f>ROUND(MAX(0,(D270-V270)*Shift11!$B$3),2)</f>
        <v>1735064.29</v>
      </c>
      <c r="AF270" s="3">
        <f t="shared" si="18"/>
        <v>1735064.29</v>
      </c>
    </row>
    <row r="271" spans="1:32" x14ac:dyDescent="0.2">
      <c r="A271" s="18">
        <v>883</v>
      </c>
      <c r="B271" s="18">
        <v>1</v>
      </c>
      <c r="C271" s="3" t="s">
        <v>268</v>
      </c>
      <c r="D271" s="3">
        <f>Levy!F271</f>
        <v>747744.26</v>
      </c>
      <c r="E271" s="3">
        <f>Levy!G271</f>
        <v>247338.83</v>
      </c>
      <c r="F271" s="3">
        <f>Levy!H271</f>
        <v>0</v>
      </c>
      <c r="G271" s="3">
        <f>Levy!I271</f>
        <v>391168.75</v>
      </c>
      <c r="H271" s="3">
        <f>Levy!J271</f>
        <v>129208</v>
      </c>
      <c r="I271" s="154">
        <v>0</v>
      </c>
      <c r="J271" s="19">
        <v>65000</v>
      </c>
      <c r="K271" s="19">
        <v>0</v>
      </c>
      <c r="L271" s="19">
        <v>0</v>
      </c>
      <c r="M271" s="3">
        <v>0</v>
      </c>
      <c r="N271" s="3">
        <v>0</v>
      </c>
      <c r="O271" s="3">
        <v>0</v>
      </c>
      <c r="P271" s="19">
        <v>25202.89</v>
      </c>
      <c r="Q271" s="19">
        <v>0</v>
      </c>
      <c r="R271" s="19">
        <v>0</v>
      </c>
      <c r="S271" s="19">
        <v>0</v>
      </c>
      <c r="T271" s="3">
        <v>0</v>
      </c>
      <c r="U271" s="3">
        <v>0</v>
      </c>
      <c r="V271" s="21">
        <v>0</v>
      </c>
      <c r="W271" s="21">
        <v>0</v>
      </c>
      <c r="X271" s="3">
        <v>0</v>
      </c>
      <c r="Y271" s="21">
        <v>108595.68</v>
      </c>
      <c r="Z271" s="154">
        <f>Levy!U271</f>
        <v>0</v>
      </c>
      <c r="AA271" s="3">
        <f>Levy!V271</f>
        <v>0</v>
      </c>
      <c r="AB271" s="3">
        <f t="shared" si="17"/>
        <v>90202.89</v>
      </c>
      <c r="AC271" s="3">
        <f t="shared" si="19"/>
        <v>548304.68999999994</v>
      </c>
      <c r="AD271" s="3">
        <f t="shared" si="20"/>
        <v>129208</v>
      </c>
      <c r="AE271" s="3">
        <f>ROUND(MAX(0,(D271-V271)*Shift11!$B$3),2)</f>
        <v>363403.71</v>
      </c>
      <c r="AF271" s="3">
        <f t="shared" si="18"/>
        <v>363403.71</v>
      </c>
    </row>
    <row r="272" spans="1:32" x14ac:dyDescent="0.2">
      <c r="A272" s="18">
        <v>885</v>
      </c>
      <c r="B272" s="18">
        <v>1</v>
      </c>
      <c r="C272" s="3" t="s">
        <v>269</v>
      </c>
      <c r="D272" s="3">
        <f>Levy!F272</f>
        <v>1913338.89</v>
      </c>
      <c r="E272" s="3">
        <f>Levy!G272</f>
        <v>448548.15</v>
      </c>
      <c r="F272" s="3">
        <f>Levy!H272</f>
        <v>0</v>
      </c>
      <c r="G272" s="3">
        <f>Levy!I272</f>
        <v>984720.32</v>
      </c>
      <c r="H272" s="3">
        <f>Levy!J272</f>
        <v>241009.87</v>
      </c>
      <c r="I272" s="154">
        <v>0</v>
      </c>
      <c r="J272" s="19">
        <v>20000</v>
      </c>
      <c r="K272" s="19">
        <v>46471.27</v>
      </c>
      <c r="L272" s="19">
        <v>0</v>
      </c>
      <c r="M272" s="3">
        <v>0</v>
      </c>
      <c r="N272" s="3">
        <v>0</v>
      </c>
      <c r="O272" s="3">
        <v>0</v>
      </c>
      <c r="P272" s="19">
        <v>-2620.33</v>
      </c>
      <c r="Q272" s="19">
        <v>0</v>
      </c>
      <c r="R272" s="19">
        <v>-882.65</v>
      </c>
      <c r="S272" s="19">
        <v>0</v>
      </c>
      <c r="T272" s="3">
        <v>0</v>
      </c>
      <c r="U272" s="3">
        <v>0</v>
      </c>
      <c r="V272" s="21">
        <v>0</v>
      </c>
      <c r="W272" s="21">
        <v>0</v>
      </c>
      <c r="X272" s="3">
        <v>0</v>
      </c>
      <c r="Y272" s="21">
        <v>131136.53</v>
      </c>
      <c r="Z272" s="154">
        <f>Levy!U272</f>
        <v>0</v>
      </c>
      <c r="AA272" s="3">
        <f>Levy!V272</f>
        <v>0</v>
      </c>
      <c r="AB272" s="3">
        <f t="shared" si="17"/>
        <v>62968.289999999986</v>
      </c>
      <c r="AC272" s="3">
        <f t="shared" si="19"/>
        <v>1370300.18</v>
      </c>
      <c r="AD272" s="3">
        <f t="shared" si="20"/>
        <v>241009.87</v>
      </c>
      <c r="AE272" s="3">
        <f>ROUND(MAX(0,(D272-V272)*Shift11!$B$3),2)</f>
        <v>929882.7</v>
      </c>
      <c r="AF272" s="3">
        <f t="shared" si="18"/>
        <v>929882.7</v>
      </c>
    </row>
    <row r="273" spans="1:32" x14ac:dyDescent="0.2">
      <c r="A273" s="18">
        <v>891</v>
      </c>
      <c r="B273" s="18">
        <v>1</v>
      </c>
      <c r="C273" s="3" t="s">
        <v>270</v>
      </c>
      <c r="D273" s="3">
        <f>Levy!F273</f>
        <v>181596</v>
      </c>
      <c r="E273" s="3">
        <f>Levy!G273</f>
        <v>28414</v>
      </c>
      <c r="F273" s="3">
        <f>Levy!H273</f>
        <v>0</v>
      </c>
      <c r="G273" s="3">
        <f>Levy!I273</f>
        <v>324235</v>
      </c>
      <c r="H273" s="3">
        <f>Levy!J273</f>
        <v>52694</v>
      </c>
      <c r="I273" s="154">
        <v>0</v>
      </c>
      <c r="J273" s="19">
        <v>8812</v>
      </c>
      <c r="K273" s="19">
        <v>13073.6</v>
      </c>
      <c r="L273" s="19">
        <v>0</v>
      </c>
      <c r="M273" s="3">
        <v>0</v>
      </c>
      <c r="N273" s="3">
        <v>0</v>
      </c>
      <c r="O273" s="3">
        <v>0</v>
      </c>
      <c r="P273" s="19">
        <v>8741.77</v>
      </c>
      <c r="Q273" s="19">
        <v>0</v>
      </c>
      <c r="R273" s="19">
        <v>424</v>
      </c>
      <c r="S273" s="19">
        <v>0</v>
      </c>
      <c r="T273" s="3">
        <v>0</v>
      </c>
      <c r="U273" s="3">
        <v>0</v>
      </c>
      <c r="V273" s="21">
        <v>0</v>
      </c>
      <c r="W273" s="21">
        <v>0</v>
      </c>
      <c r="X273" s="3">
        <v>18617.810000000001</v>
      </c>
      <c r="Y273" s="21">
        <v>32209.42</v>
      </c>
      <c r="Z273" s="154">
        <f>Levy!U273</f>
        <v>0</v>
      </c>
      <c r="AA273" s="3">
        <f>Levy!V273</f>
        <v>0</v>
      </c>
      <c r="AB273" s="3">
        <f t="shared" si="17"/>
        <v>31051.37</v>
      </c>
      <c r="AC273" s="3">
        <f t="shared" si="19"/>
        <v>302979.82</v>
      </c>
      <c r="AD273" s="3">
        <f t="shared" si="20"/>
        <v>52694</v>
      </c>
      <c r="AE273" s="3">
        <f>ROUND(MAX(0,(D273-V273)*Shift11!$B$3),2)</f>
        <v>88255.66</v>
      </c>
      <c r="AF273" s="3">
        <f t="shared" si="18"/>
        <v>88255.66</v>
      </c>
    </row>
    <row r="274" spans="1:32" x14ac:dyDescent="0.2">
      <c r="A274" s="18">
        <v>911</v>
      </c>
      <c r="B274" s="18">
        <v>1</v>
      </c>
      <c r="C274" s="3" t="s">
        <v>271</v>
      </c>
      <c r="D274" s="3">
        <f>Levy!F274</f>
        <v>0</v>
      </c>
      <c r="E274" s="3">
        <f>Levy!G274</f>
        <v>398684.74</v>
      </c>
      <c r="F274" s="3">
        <f>Levy!H274</f>
        <v>0</v>
      </c>
      <c r="G274" s="3">
        <f>Levy!I274</f>
        <v>1410764.34</v>
      </c>
      <c r="H274" s="3">
        <f>Levy!J274</f>
        <v>400257.46</v>
      </c>
      <c r="I274" s="154">
        <v>0</v>
      </c>
      <c r="J274" s="19">
        <v>100000</v>
      </c>
      <c r="K274" s="19">
        <v>102917.51</v>
      </c>
      <c r="L274" s="19">
        <v>0</v>
      </c>
      <c r="M274" s="3">
        <v>0</v>
      </c>
      <c r="N274" s="3">
        <v>0</v>
      </c>
      <c r="O274" s="3">
        <v>0</v>
      </c>
      <c r="P274" s="19">
        <v>58729.72</v>
      </c>
      <c r="Q274" s="19">
        <v>0</v>
      </c>
      <c r="R274" s="19">
        <v>9616.7999999999993</v>
      </c>
      <c r="S274" s="19">
        <v>0</v>
      </c>
      <c r="T274" s="3">
        <v>0</v>
      </c>
      <c r="U274" s="3">
        <v>0</v>
      </c>
      <c r="V274" s="21">
        <v>0</v>
      </c>
      <c r="W274" s="21">
        <v>0</v>
      </c>
      <c r="X274" s="3">
        <v>0</v>
      </c>
      <c r="Y274" s="21">
        <v>217668.75</v>
      </c>
      <c r="Z274" s="154">
        <f>Levy!U274</f>
        <v>0</v>
      </c>
      <c r="AA274" s="3">
        <f>Levy!V274</f>
        <v>0</v>
      </c>
      <c r="AB274" s="3">
        <f t="shared" si="17"/>
        <v>271264.03000000003</v>
      </c>
      <c r="AC274" s="3">
        <f t="shared" si="19"/>
        <v>1538185.05</v>
      </c>
      <c r="AD274" s="3">
        <f t="shared" si="20"/>
        <v>400257.46</v>
      </c>
      <c r="AE274" s="3">
        <f>ROUND(MAX(0,(D274-V274)*Shift11!$B$3),2)</f>
        <v>0</v>
      </c>
      <c r="AF274" s="3">
        <f t="shared" si="18"/>
        <v>217668.75</v>
      </c>
    </row>
    <row r="275" spans="1:32" x14ac:dyDescent="0.2">
      <c r="A275" s="18">
        <v>912</v>
      </c>
      <c r="B275" s="18">
        <v>1</v>
      </c>
      <c r="C275" s="3" t="s">
        <v>272</v>
      </c>
      <c r="D275" s="3">
        <f>Levy!F275</f>
        <v>1367.34</v>
      </c>
      <c r="E275" s="3">
        <f>Levy!G275</f>
        <v>225342.49</v>
      </c>
      <c r="F275" s="3">
        <f>Levy!H275</f>
        <v>0</v>
      </c>
      <c r="G275" s="3">
        <f>Levy!I275</f>
        <v>235857.73</v>
      </c>
      <c r="H275" s="3">
        <f>Levy!J275</f>
        <v>103189.31</v>
      </c>
      <c r="I275" s="154">
        <v>0</v>
      </c>
      <c r="J275" s="19">
        <v>15000</v>
      </c>
      <c r="K275" s="19">
        <v>36035.15</v>
      </c>
      <c r="L275" s="19">
        <v>0</v>
      </c>
      <c r="M275" s="3">
        <v>0</v>
      </c>
      <c r="N275" s="3">
        <v>0</v>
      </c>
      <c r="O275" s="3">
        <v>0</v>
      </c>
      <c r="P275" s="19">
        <v>10302.969999999999</v>
      </c>
      <c r="Q275" s="19">
        <v>0</v>
      </c>
      <c r="R275" s="19">
        <v>-285.55</v>
      </c>
      <c r="S275" s="19">
        <v>0</v>
      </c>
      <c r="T275" s="3">
        <v>0</v>
      </c>
      <c r="U275" s="3">
        <v>0</v>
      </c>
      <c r="V275" s="21">
        <v>0</v>
      </c>
      <c r="W275" s="21">
        <v>0</v>
      </c>
      <c r="X275" s="3">
        <v>0</v>
      </c>
      <c r="Y275" s="21">
        <v>54092.15</v>
      </c>
      <c r="Z275" s="154">
        <f>Levy!U275</f>
        <v>0</v>
      </c>
      <c r="AA275" s="3">
        <f>Levy!V275</f>
        <v>0</v>
      </c>
      <c r="AB275" s="3">
        <f t="shared" si="17"/>
        <v>61052.57</v>
      </c>
      <c r="AC275" s="3">
        <f t="shared" si="19"/>
        <v>400147.65</v>
      </c>
      <c r="AD275" s="3">
        <f t="shared" si="20"/>
        <v>103189.31</v>
      </c>
      <c r="AE275" s="3">
        <f>ROUND(MAX(0,(D275-V275)*Shift11!$B$3),2)</f>
        <v>664.53</v>
      </c>
      <c r="AF275" s="3">
        <f t="shared" si="18"/>
        <v>54092.15</v>
      </c>
    </row>
    <row r="276" spans="1:32" x14ac:dyDescent="0.2">
      <c r="A276" s="18">
        <v>914</v>
      </c>
      <c r="B276" s="18">
        <v>1</v>
      </c>
      <c r="C276" s="3" t="s">
        <v>273</v>
      </c>
      <c r="D276" s="3">
        <f>Levy!F276</f>
        <v>353350.73</v>
      </c>
      <c r="E276" s="3">
        <f>Levy!G276</f>
        <v>10560.77</v>
      </c>
      <c r="F276" s="3">
        <f>Levy!H276</f>
        <v>0</v>
      </c>
      <c r="G276" s="3">
        <f>Levy!I276</f>
        <v>85735.29</v>
      </c>
      <c r="H276" s="3">
        <f>Levy!J276</f>
        <v>16666.86</v>
      </c>
      <c r="I276" s="154">
        <v>0</v>
      </c>
      <c r="J276" s="19">
        <v>5000</v>
      </c>
      <c r="K276" s="19">
        <v>10000</v>
      </c>
      <c r="L276" s="19">
        <v>0</v>
      </c>
      <c r="M276" s="3">
        <v>0</v>
      </c>
      <c r="N276" s="3">
        <v>0</v>
      </c>
      <c r="O276" s="3">
        <v>0</v>
      </c>
      <c r="P276" s="19">
        <v>-7298</v>
      </c>
      <c r="Q276" s="19">
        <v>0</v>
      </c>
      <c r="R276" s="19">
        <v>0</v>
      </c>
      <c r="S276" s="19">
        <v>0</v>
      </c>
      <c r="T276" s="3">
        <v>0</v>
      </c>
      <c r="U276" s="3">
        <v>0</v>
      </c>
      <c r="V276" s="21">
        <v>0</v>
      </c>
      <c r="W276" s="21">
        <v>0</v>
      </c>
      <c r="X276" s="3">
        <v>527.82000000000005</v>
      </c>
      <c r="Y276" s="21">
        <v>88350</v>
      </c>
      <c r="Z276" s="154">
        <f>Levy!U276</f>
        <v>0</v>
      </c>
      <c r="AA276" s="3">
        <f>Levy!V276</f>
        <v>0</v>
      </c>
      <c r="AB276" s="3">
        <f t="shared" si="17"/>
        <v>7702</v>
      </c>
      <c r="AC276" s="3">
        <f t="shared" si="19"/>
        <v>88066.240000000005</v>
      </c>
      <c r="AD276" s="3">
        <f t="shared" si="20"/>
        <v>16666.86</v>
      </c>
      <c r="AE276" s="3">
        <f>ROUND(MAX(0,(D276-V276)*Shift11!$B$3),2)</f>
        <v>171728.45</v>
      </c>
      <c r="AF276" s="3">
        <f t="shared" si="18"/>
        <v>171728.45</v>
      </c>
    </row>
    <row r="277" spans="1:32" x14ac:dyDescent="0.2">
      <c r="A277" s="18">
        <v>2071</v>
      </c>
      <c r="B277" s="18">
        <v>1</v>
      </c>
      <c r="C277" s="3" t="s">
        <v>274</v>
      </c>
      <c r="D277" s="3">
        <f>Levy!F277</f>
        <v>601571.69999999995</v>
      </c>
      <c r="E277" s="3">
        <f>Levy!G277</f>
        <v>60014.62</v>
      </c>
      <c r="F277" s="3">
        <f>Levy!H277</f>
        <v>0</v>
      </c>
      <c r="G277" s="3">
        <f>Levy!I277</f>
        <v>402407</v>
      </c>
      <c r="H277" s="3">
        <f>Levy!J277</f>
        <v>82099.070000000007</v>
      </c>
      <c r="I277" s="154">
        <v>0</v>
      </c>
      <c r="J277" s="19">
        <v>3451.82</v>
      </c>
      <c r="K277" s="19">
        <v>14532.8</v>
      </c>
      <c r="L277" s="19">
        <v>0</v>
      </c>
      <c r="M277" s="3">
        <v>0</v>
      </c>
      <c r="N277" s="3">
        <v>0</v>
      </c>
      <c r="O277" s="3">
        <v>0</v>
      </c>
      <c r="P277" s="19">
        <v>-1657.36</v>
      </c>
      <c r="Q277" s="19">
        <v>0</v>
      </c>
      <c r="R277" s="19">
        <v>951.2</v>
      </c>
      <c r="S277" s="19">
        <v>0</v>
      </c>
      <c r="T277" s="3">
        <v>0</v>
      </c>
      <c r="U277" s="3">
        <v>0</v>
      </c>
      <c r="V277" s="21">
        <v>0</v>
      </c>
      <c r="W277" s="21">
        <v>0</v>
      </c>
      <c r="X277" s="3">
        <v>0</v>
      </c>
      <c r="Y277" s="21">
        <v>216532</v>
      </c>
      <c r="Z277" s="154">
        <f>Levy!U277</f>
        <v>0</v>
      </c>
      <c r="AA277" s="3">
        <f>Levy!V277</f>
        <v>0</v>
      </c>
      <c r="AB277" s="3">
        <f t="shared" si="17"/>
        <v>17278.46</v>
      </c>
      <c r="AC277" s="3">
        <f t="shared" si="19"/>
        <v>445143.16</v>
      </c>
      <c r="AD277" s="3">
        <f t="shared" si="20"/>
        <v>82099.070000000007</v>
      </c>
      <c r="AE277" s="3">
        <f>ROUND(MAX(0,(D277-V277)*Shift11!$B$3),2)</f>
        <v>292363.84999999998</v>
      </c>
      <c r="AF277" s="3">
        <f t="shared" si="18"/>
        <v>292363.84999999998</v>
      </c>
    </row>
    <row r="278" spans="1:32" x14ac:dyDescent="0.2">
      <c r="A278" s="18">
        <v>2125</v>
      </c>
      <c r="B278" s="18">
        <v>1</v>
      </c>
      <c r="C278" s="3" t="s">
        <v>275</v>
      </c>
      <c r="D278" s="3">
        <f>Levy!F278</f>
        <v>561628.06000000006</v>
      </c>
      <c r="E278" s="3">
        <f>Levy!G278</f>
        <v>72931.83</v>
      </c>
      <c r="F278" s="3">
        <f>Levy!H278</f>
        <v>0</v>
      </c>
      <c r="G278" s="3">
        <f>Levy!I278</f>
        <v>583950.73</v>
      </c>
      <c r="H278" s="3">
        <f>Levy!J278</f>
        <v>103200.28</v>
      </c>
      <c r="I278" s="154">
        <v>0</v>
      </c>
      <c r="J278" s="19">
        <v>59897</v>
      </c>
      <c r="K278" s="19">
        <v>11043.5</v>
      </c>
      <c r="L278" s="19">
        <v>0</v>
      </c>
      <c r="M278" s="3">
        <v>0</v>
      </c>
      <c r="N278" s="3">
        <v>0</v>
      </c>
      <c r="O278" s="3">
        <v>0</v>
      </c>
      <c r="P278" s="19">
        <v>2557.6999999999998</v>
      </c>
      <c r="Q278" s="19">
        <v>0</v>
      </c>
      <c r="R278" s="19">
        <v>0</v>
      </c>
      <c r="S278" s="19">
        <v>0</v>
      </c>
      <c r="T278" s="3">
        <v>0</v>
      </c>
      <c r="U278" s="3">
        <v>0</v>
      </c>
      <c r="V278" s="21">
        <v>0</v>
      </c>
      <c r="W278" s="21">
        <v>0</v>
      </c>
      <c r="X278" s="3">
        <v>0</v>
      </c>
      <c r="Y278" s="21">
        <v>130834.75</v>
      </c>
      <c r="Z278" s="154">
        <f>Levy!U278</f>
        <v>0</v>
      </c>
      <c r="AA278" s="3">
        <f>Levy!V278</f>
        <v>0</v>
      </c>
      <c r="AB278" s="3">
        <f t="shared" si="17"/>
        <v>73498.2</v>
      </c>
      <c r="AC278" s="3">
        <f t="shared" si="19"/>
        <v>583384.36</v>
      </c>
      <c r="AD278" s="3">
        <f t="shared" si="20"/>
        <v>103200.28</v>
      </c>
      <c r="AE278" s="3">
        <f>ROUND(MAX(0,(D278-V278)*Shift11!$B$3),2)</f>
        <v>272951.24</v>
      </c>
      <c r="AF278" s="3">
        <f t="shared" si="18"/>
        <v>272951.24</v>
      </c>
    </row>
    <row r="279" spans="1:32" x14ac:dyDescent="0.2">
      <c r="A279" s="18">
        <v>2134</v>
      </c>
      <c r="B279" s="18">
        <v>1</v>
      </c>
      <c r="C279" s="3" t="s">
        <v>276</v>
      </c>
      <c r="D279" s="3">
        <f>Levy!F279</f>
        <v>803927.31</v>
      </c>
      <c r="E279" s="3">
        <f>Levy!G279</f>
        <v>23344.28</v>
      </c>
      <c r="F279" s="3">
        <f>Levy!H279</f>
        <v>0</v>
      </c>
      <c r="G279" s="3">
        <f>Levy!I279</f>
        <v>388733.51</v>
      </c>
      <c r="H279" s="3">
        <f>Levy!J279</f>
        <v>90495.02</v>
      </c>
      <c r="I279" s="154">
        <v>0</v>
      </c>
      <c r="J279" s="19">
        <v>15000</v>
      </c>
      <c r="K279" s="19">
        <v>20427.2</v>
      </c>
      <c r="L279" s="19">
        <v>0</v>
      </c>
      <c r="M279" s="3">
        <v>0</v>
      </c>
      <c r="N279" s="3">
        <v>0</v>
      </c>
      <c r="O279" s="3">
        <v>0</v>
      </c>
      <c r="P279" s="19">
        <v>-7925.36</v>
      </c>
      <c r="Q279" s="19">
        <v>0</v>
      </c>
      <c r="R279" s="19">
        <v>-965.6</v>
      </c>
      <c r="S279" s="19">
        <v>0</v>
      </c>
      <c r="T279" s="3">
        <v>0</v>
      </c>
      <c r="U279" s="3">
        <v>0</v>
      </c>
      <c r="V279" s="21">
        <v>0</v>
      </c>
      <c r="W279" s="21">
        <v>0</v>
      </c>
      <c r="X279" s="3">
        <v>10564.1</v>
      </c>
      <c r="Y279" s="21">
        <v>243273.5</v>
      </c>
      <c r="Z279" s="154">
        <f>Levy!U279</f>
        <v>0</v>
      </c>
      <c r="AA279" s="3">
        <f>Levy!V279</f>
        <v>0</v>
      </c>
      <c r="AB279" s="3">
        <f t="shared" si="17"/>
        <v>26536.239999999998</v>
      </c>
      <c r="AC279" s="3">
        <f t="shared" si="19"/>
        <v>374977.45</v>
      </c>
      <c r="AD279" s="3">
        <f t="shared" si="20"/>
        <v>90495.02</v>
      </c>
      <c r="AE279" s="3">
        <f>ROUND(MAX(0,(D279-V279)*Shift11!$B$3),2)</f>
        <v>390708.67</v>
      </c>
      <c r="AF279" s="3">
        <f t="shared" si="18"/>
        <v>390708.67</v>
      </c>
    </row>
    <row r="280" spans="1:32" x14ac:dyDescent="0.2">
      <c r="A280" s="18">
        <v>2135</v>
      </c>
      <c r="B280" s="18">
        <v>1</v>
      </c>
      <c r="C280" s="3" t="s">
        <v>277</v>
      </c>
      <c r="D280" s="3">
        <f>Levy!F280</f>
        <v>701074.83</v>
      </c>
      <c r="E280" s="3">
        <f>Levy!G280</f>
        <v>75229.16</v>
      </c>
      <c r="F280" s="3">
        <f>Levy!H280</f>
        <v>0</v>
      </c>
      <c r="G280" s="3">
        <f>Levy!I280</f>
        <v>411714.12</v>
      </c>
      <c r="H280" s="3">
        <f>Levy!J280</f>
        <v>86055.18</v>
      </c>
      <c r="I280" s="154">
        <v>0</v>
      </c>
      <c r="J280" s="19">
        <v>16500</v>
      </c>
      <c r="K280" s="19">
        <v>23761.599999999999</v>
      </c>
      <c r="L280" s="19">
        <v>0</v>
      </c>
      <c r="M280" s="3">
        <v>0</v>
      </c>
      <c r="N280" s="3">
        <v>0</v>
      </c>
      <c r="O280" s="3">
        <v>0</v>
      </c>
      <c r="P280" s="19">
        <v>-21509.17</v>
      </c>
      <c r="Q280" s="19">
        <v>0</v>
      </c>
      <c r="R280" s="19">
        <v>-384</v>
      </c>
      <c r="S280" s="19">
        <v>0</v>
      </c>
      <c r="T280" s="3">
        <v>0</v>
      </c>
      <c r="U280" s="3">
        <v>0</v>
      </c>
      <c r="V280" s="21">
        <v>0</v>
      </c>
      <c r="W280" s="21">
        <v>0</v>
      </c>
      <c r="X280" s="3">
        <v>0</v>
      </c>
      <c r="Y280" s="21">
        <v>188722.05</v>
      </c>
      <c r="Z280" s="154">
        <f>Levy!U280</f>
        <v>0</v>
      </c>
      <c r="AA280" s="3">
        <f>Levy!V280</f>
        <v>0</v>
      </c>
      <c r="AB280" s="3">
        <f t="shared" si="17"/>
        <v>18368.43</v>
      </c>
      <c r="AC280" s="3">
        <f t="shared" si="19"/>
        <v>468574.85</v>
      </c>
      <c r="AD280" s="3">
        <f t="shared" si="20"/>
        <v>86055.18</v>
      </c>
      <c r="AE280" s="3">
        <f>ROUND(MAX(0,(D280-V280)*Shift11!$B$3),2)</f>
        <v>340722.37</v>
      </c>
      <c r="AF280" s="3">
        <f t="shared" si="18"/>
        <v>340722.37</v>
      </c>
    </row>
    <row r="281" spans="1:32" x14ac:dyDescent="0.2">
      <c r="A281" s="18">
        <v>2137</v>
      </c>
      <c r="B281" s="18">
        <v>1</v>
      </c>
      <c r="C281" s="3" t="s">
        <v>278</v>
      </c>
      <c r="D281" s="3">
        <f>Levy!F281</f>
        <v>404489.92</v>
      </c>
      <c r="E281" s="3">
        <f>Levy!G281</f>
        <v>62537.67</v>
      </c>
      <c r="F281" s="3">
        <f>Levy!H281</f>
        <v>0</v>
      </c>
      <c r="G281" s="3">
        <f>Levy!I281</f>
        <v>280671.65999999997</v>
      </c>
      <c r="H281" s="3">
        <f>Levy!J281</f>
        <v>73734.67</v>
      </c>
      <c r="I281" s="154">
        <v>0</v>
      </c>
      <c r="J281" s="19">
        <v>15000</v>
      </c>
      <c r="K281" s="19">
        <v>19148.990000000002</v>
      </c>
      <c r="L281" s="19">
        <v>0</v>
      </c>
      <c r="M281" s="3">
        <v>0</v>
      </c>
      <c r="N281" s="3">
        <v>0</v>
      </c>
      <c r="O281" s="3">
        <v>0</v>
      </c>
      <c r="P281" s="19">
        <v>-21862.03</v>
      </c>
      <c r="Q281" s="19">
        <v>0</v>
      </c>
      <c r="R281" s="19">
        <v>0</v>
      </c>
      <c r="S281" s="19">
        <v>0</v>
      </c>
      <c r="T281" s="3">
        <v>0</v>
      </c>
      <c r="U281" s="3">
        <v>0</v>
      </c>
      <c r="V281" s="21">
        <v>0</v>
      </c>
      <c r="W281" s="21">
        <v>0</v>
      </c>
      <c r="X281" s="3">
        <v>0</v>
      </c>
      <c r="Y281" s="21">
        <v>63102.69</v>
      </c>
      <c r="Z281" s="154">
        <f>Levy!U281</f>
        <v>0</v>
      </c>
      <c r="AA281" s="3">
        <f>Levy!V281</f>
        <v>0</v>
      </c>
      <c r="AB281" s="3">
        <f t="shared" si="17"/>
        <v>12286.960000000006</v>
      </c>
      <c r="AC281" s="3">
        <f t="shared" si="19"/>
        <v>330922.37</v>
      </c>
      <c r="AD281" s="3">
        <f t="shared" si="20"/>
        <v>73734.67</v>
      </c>
      <c r="AE281" s="3">
        <f>ROUND(MAX(0,(D281-V281)*Shift11!$B$3),2)</f>
        <v>196582.1</v>
      </c>
      <c r="AF281" s="3">
        <f t="shared" si="18"/>
        <v>196582.1</v>
      </c>
    </row>
    <row r="282" spans="1:32" x14ac:dyDescent="0.2">
      <c r="A282" s="18">
        <v>2142</v>
      </c>
      <c r="B282" s="18">
        <v>1</v>
      </c>
      <c r="C282" s="3" t="s">
        <v>279</v>
      </c>
      <c r="D282" s="3">
        <f>Levy!F282</f>
        <v>337783.42</v>
      </c>
      <c r="E282" s="3">
        <f>Levy!G282</f>
        <v>245733.71</v>
      </c>
      <c r="F282" s="3">
        <f>Levy!H282</f>
        <v>0</v>
      </c>
      <c r="G282" s="3">
        <f>Levy!I282</f>
        <v>1070635.26</v>
      </c>
      <c r="H282" s="3">
        <f>Levy!J282</f>
        <v>0</v>
      </c>
      <c r="I282" s="154">
        <v>0</v>
      </c>
      <c r="J282" s="19">
        <v>65000</v>
      </c>
      <c r="K282" s="19">
        <v>21838.28</v>
      </c>
      <c r="L282" s="19">
        <v>164056</v>
      </c>
      <c r="M282" s="3">
        <v>0</v>
      </c>
      <c r="N282" s="3">
        <v>0</v>
      </c>
      <c r="O282" s="3">
        <v>0</v>
      </c>
      <c r="P282" s="19">
        <v>-9488.81</v>
      </c>
      <c r="Q282" s="19">
        <v>0</v>
      </c>
      <c r="R282" s="19">
        <v>0</v>
      </c>
      <c r="S282" s="19">
        <v>-18272.84</v>
      </c>
      <c r="T282" s="3">
        <v>0</v>
      </c>
      <c r="U282" s="3">
        <v>0</v>
      </c>
      <c r="V282" s="21">
        <v>0</v>
      </c>
      <c r="W282" s="21">
        <v>0</v>
      </c>
      <c r="X282" s="3">
        <v>21538.33</v>
      </c>
      <c r="Y282" s="21">
        <v>171786.65</v>
      </c>
      <c r="Z282" s="154">
        <f>Levy!U282</f>
        <v>0</v>
      </c>
      <c r="AA282" s="3">
        <f>Levy!V282</f>
        <v>0</v>
      </c>
      <c r="AB282" s="3">
        <f t="shared" si="17"/>
        <v>223132.63</v>
      </c>
      <c r="AC282" s="3">
        <f t="shared" si="19"/>
        <v>1071698.01</v>
      </c>
      <c r="AD282" s="3">
        <f t="shared" si="20"/>
        <v>0</v>
      </c>
      <c r="AE282" s="3">
        <f>ROUND(MAX(0,(D282-V282)*Shift11!$B$3),2)</f>
        <v>164162.74</v>
      </c>
      <c r="AF282" s="3">
        <f t="shared" si="18"/>
        <v>171786.65</v>
      </c>
    </row>
    <row r="283" spans="1:32" x14ac:dyDescent="0.2">
      <c r="A283" s="18">
        <v>2143</v>
      </c>
      <c r="B283" s="18">
        <v>1</v>
      </c>
      <c r="C283" s="3" t="s">
        <v>280</v>
      </c>
      <c r="D283" s="3">
        <f>Levy!F283</f>
        <v>1401552</v>
      </c>
      <c r="E283" s="3">
        <f>Levy!G283</f>
        <v>85038.11</v>
      </c>
      <c r="F283" s="3">
        <f>Levy!H283</f>
        <v>0</v>
      </c>
      <c r="G283" s="3">
        <f>Levy!I283</f>
        <v>355192.93</v>
      </c>
      <c r="H283" s="3">
        <f>Levy!J283</f>
        <v>86125.96</v>
      </c>
      <c r="I283" s="154">
        <v>0</v>
      </c>
      <c r="J283" s="19">
        <v>16323</v>
      </c>
      <c r="K283" s="19">
        <v>18397.169999999998</v>
      </c>
      <c r="L283" s="19">
        <v>0</v>
      </c>
      <c r="M283" s="3">
        <v>0</v>
      </c>
      <c r="N283" s="3">
        <v>0</v>
      </c>
      <c r="O283" s="3">
        <v>0</v>
      </c>
      <c r="P283" s="19">
        <v>-7366.43</v>
      </c>
      <c r="Q283" s="19">
        <v>0</v>
      </c>
      <c r="R283" s="19">
        <v>0</v>
      </c>
      <c r="S283" s="19">
        <v>0</v>
      </c>
      <c r="T283" s="3">
        <v>0</v>
      </c>
      <c r="U283" s="3">
        <v>0</v>
      </c>
      <c r="V283" s="21">
        <v>0</v>
      </c>
      <c r="W283" s="21">
        <v>0</v>
      </c>
      <c r="X283" s="3">
        <v>0</v>
      </c>
      <c r="Y283" s="21">
        <v>72111.33</v>
      </c>
      <c r="Z283" s="154">
        <f>Levy!U283</f>
        <v>0</v>
      </c>
      <c r="AA283" s="3">
        <f>Levy!V283</f>
        <v>0</v>
      </c>
      <c r="AB283" s="3">
        <f t="shared" si="17"/>
        <v>27353.739999999998</v>
      </c>
      <c r="AC283" s="3">
        <f t="shared" si="19"/>
        <v>412877.3</v>
      </c>
      <c r="AD283" s="3">
        <f t="shared" si="20"/>
        <v>86125.96</v>
      </c>
      <c r="AE283" s="3">
        <f>ROUND(MAX(0,(D283-V283)*Shift11!$B$3),2)</f>
        <v>681154.27</v>
      </c>
      <c r="AF283" s="3">
        <f t="shared" si="18"/>
        <v>681154.27</v>
      </c>
    </row>
    <row r="284" spans="1:32" x14ac:dyDescent="0.2">
      <c r="A284" s="18">
        <v>2144</v>
      </c>
      <c r="B284" s="18">
        <v>1</v>
      </c>
      <c r="C284" s="3" t="s">
        <v>281</v>
      </c>
      <c r="D284" s="3">
        <f>Levy!F284</f>
        <v>1643639.28</v>
      </c>
      <c r="E284" s="3">
        <f>Levy!G284</f>
        <v>453763.67</v>
      </c>
      <c r="F284" s="3">
        <f>Levy!H284</f>
        <v>0</v>
      </c>
      <c r="G284" s="3">
        <f>Levy!I284</f>
        <v>1354895.17</v>
      </c>
      <c r="H284" s="3">
        <f>Levy!J284</f>
        <v>306370.71000000002</v>
      </c>
      <c r="I284" s="154">
        <v>0</v>
      </c>
      <c r="J284" s="19">
        <v>60000</v>
      </c>
      <c r="K284" s="19">
        <v>71861.600000000006</v>
      </c>
      <c r="L284" s="19">
        <v>0</v>
      </c>
      <c r="M284" s="3">
        <v>0</v>
      </c>
      <c r="N284" s="3">
        <v>0</v>
      </c>
      <c r="O284" s="3">
        <v>0</v>
      </c>
      <c r="P284" s="19">
        <v>-21222.59</v>
      </c>
      <c r="Q284" s="19">
        <v>0</v>
      </c>
      <c r="R284" s="19">
        <v>-3368</v>
      </c>
      <c r="S284" s="19">
        <v>0</v>
      </c>
      <c r="T284" s="3">
        <v>0</v>
      </c>
      <c r="U284" s="3">
        <v>0</v>
      </c>
      <c r="V284" s="21">
        <v>0</v>
      </c>
      <c r="W284" s="21">
        <v>0</v>
      </c>
      <c r="X284" s="3">
        <v>0</v>
      </c>
      <c r="Y284" s="21">
        <v>212914.72</v>
      </c>
      <c r="Z284" s="154">
        <f>Levy!U284</f>
        <v>0</v>
      </c>
      <c r="AA284" s="3">
        <f>Levy!V284</f>
        <v>0</v>
      </c>
      <c r="AB284" s="3">
        <f t="shared" si="17"/>
        <v>107271.01000000001</v>
      </c>
      <c r="AC284" s="3">
        <f t="shared" si="19"/>
        <v>1701387.83</v>
      </c>
      <c r="AD284" s="3">
        <f t="shared" si="20"/>
        <v>306370.71000000002</v>
      </c>
      <c r="AE284" s="3">
        <f>ROUND(MAX(0,(D284-V284)*Shift11!$B$3),2)</f>
        <v>798808.69</v>
      </c>
      <c r="AF284" s="3">
        <f t="shared" si="18"/>
        <v>798808.69</v>
      </c>
    </row>
    <row r="285" spans="1:32" x14ac:dyDescent="0.2">
      <c r="A285" s="18">
        <v>2149</v>
      </c>
      <c r="B285" s="18">
        <v>1</v>
      </c>
      <c r="C285" s="3" t="s">
        <v>282</v>
      </c>
      <c r="D285" s="3">
        <f>Levy!F285</f>
        <v>787792</v>
      </c>
      <c r="E285" s="3">
        <f>Levy!G285</f>
        <v>144389</v>
      </c>
      <c r="F285" s="3">
        <f>Levy!H285</f>
        <v>0</v>
      </c>
      <c r="G285" s="3">
        <f>Levy!I285</f>
        <v>611882</v>
      </c>
      <c r="H285" s="3">
        <f>Levy!J285</f>
        <v>144014</v>
      </c>
      <c r="I285" s="154">
        <v>0</v>
      </c>
      <c r="J285" s="19">
        <v>26444</v>
      </c>
      <c r="K285" s="19">
        <v>34344.89</v>
      </c>
      <c r="L285" s="19">
        <v>0</v>
      </c>
      <c r="M285" s="3">
        <v>0</v>
      </c>
      <c r="N285" s="3">
        <v>0</v>
      </c>
      <c r="O285" s="3">
        <v>0</v>
      </c>
      <c r="P285" s="19">
        <v>-16219.9</v>
      </c>
      <c r="Q285" s="19">
        <v>0</v>
      </c>
      <c r="R285" s="19">
        <v>0</v>
      </c>
      <c r="S285" s="19">
        <v>0</v>
      </c>
      <c r="T285" s="3">
        <v>0</v>
      </c>
      <c r="U285" s="3">
        <v>0</v>
      </c>
      <c r="V285" s="21">
        <v>0</v>
      </c>
      <c r="W285" s="21">
        <v>0</v>
      </c>
      <c r="X285" s="3">
        <v>0</v>
      </c>
      <c r="Y285" s="21">
        <v>105651.52</v>
      </c>
      <c r="Z285" s="154">
        <f>Levy!U285</f>
        <v>0</v>
      </c>
      <c r="AA285" s="3">
        <f>Levy!V285</f>
        <v>0</v>
      </c>
      <c r="AB285" s="3">
        <f t="shared" si="17"/>
        <v>44568.99</v>
      </c>
      <c r="AC285" s="3">
        <f t="shared" si="19"/>
        <v>711702.01</v>
      </c>
      <c r="AD285" s="3">
        <f t="shared" si="20"/>
        <v>144014</v>
      </c>
      <c r="AE285" s="3">
        <f>ROUND(MAX(0,(D285-V285)*Shift11!$B$3),2)</f>
        <v>382866.91</v>
      </c>
      <c r="AF285" s="3">
        <f t="shared" si="18"/>
        <v>382866.91</v>
      </c>
    </row>
    <row r="286" spans="1:32" x14ac:dyDescent="0.2">
      <c r="A286" s="18">
        <v>2154</v>
      </c>
      <c r="B286" s="18">
        <v>1</v>
      </c>
      <c r="C286" s="3" t="s">
        <v>283</v>
      </c>
      <c r="D286" s="3">
        <f>Levy!F286</f>
        <v>271389.34000000003</v>
      </c>
      <c r="E286" s="3">
        <f>Levy!G286</f>
        <v>93164.66</v>
      </c>
      <c r="F286" s="3">
        <f>Levy!H286</f>
        <v>0</v>
      </c>
      <c r="G286" s="3">
        <f>Levy!I286</f>
        <v>0</v>
      </c>
      <c r="H286" s="3">
        <f>Levy!J286</f>
        <v>0</v>
      </c>
      <c r="I286" s="154">
        <v>0</v>
      </c>
      <c r="J286" s="19">
        <v>30000</v>
      </c>
      <c r="K286" s="19">
        <v>26747.93</v>
      </c>
      <c r="L286" s="19">
        <v>88530</v>
      </c>
      <c r="M286" s="3">
        <v>0</v>
      </c>
      <c r="N286" s="3">
        <v>0</v>
      </c>
      <c r="O286" s="3">
        <v>0</v>
      </c>
      <c r="P286" s="19">
        <v>-3502.89</v>
      </c>
      <c r="Q286" s="19">
        <v>0</v>
      </c>
      <c r="R286" s="19">
        <v>0</v>
      </c>
      <c r="S286" s="19">
        <v>5644.77</v>
      </c>
      <c r="T286" s="3">
        <v>0</v>
      </c>
      <c r="U286" s="3">
        <v>0</v>
      </c>
      <c r="V286" s="21">
        <v>0</v>
      </c>
      <c r="W286" s="21">
        <v>0</v>
      </c>
      <c r="X286" s="3">
        <v>22207.47</v>
      </c>
      <c r="Y286" s="21">
        <v>52276.22</v>
      </c>
      <c r="Z286" s="154">
        <f>Levy!U286</f>
        <v>0</v>
      </c>
      <c r="AA286" s="3">
        <f>Levy!V286</f>
        <v>0</v>
      </c>
      <c r="AB286" s="3">
        <f t="shared" si="17"/>
        <v>147419.80999999997</v>
      </c>
      <c r="AC286" s="3">
        <f t="shared" si="19"/>
        <v>0</v>
      </c>
      <c r="AD286" s="3">
        <f t="shared" si="20"/>
        <v>0</v>
      </c>
      <c r="AE286" s="3">
        <f>ROUND(MAX(0,(D286-V286)*Shift11!$B$3),2)</f>
        <v>131895.22</v>
      </c>
      <c r="AF286" s="3">
        <f t="shared" si="18"/>
        <v>131895.22</v>
      </c>
    </row>
    <row r="287" spans="1:32" x14ac:dyDescent="0.2">
      <c r="A287" s="18">
        <v>2155</v>
      </c>
      <c r="B287" s="18">
        <v>1</v>
      </c>
      <c r="C287" s="3" t="s">
        <v>284</v>
      </c>
      <c r="D287" s="3">
        <f>Levy!F287</f>
        <v>599518</v>
      </c>
      <c r="E287" s="3">
        <f>Levy!G287</f>
        <v>70711</v>
      </c>
      <c r="F287" s="3">
        <f>Levy!H287</f>
        <v>0</v>
      </c>
      <c r="G287" s="3">
        <f>Levy!I287</f>
        <v>278262</v>
      </c>
      <c r="H287" s="3">
        <f>Levy!J287</f>
        <v>76448</v>
      </c>
      <c r="I287" s="154">
        <v>0</v>
      </c>
      <c r="J287" s="19">
        <v>25000</v>
      </c>
      <c r="K287" s="19">
        <v>29819.279999999999</v>
      </c>
      <c r="L287" s="19">
        <v>0</v>
      </c>
      <c r="M287" s="3">
        <v>0</v>
      </c>
      <c r="N287" s="3">
        <v>0</v>
      </c>
      <c r="O287" s="3">
        <v>0</v>
      </c>
      <c r="P287" s="19">
        <v>-20161.91</v>
      </c>
      <c r="Q287" s="19">
        <v>0</v>
      </c>
      <c r="R287" s="19">
        <v>0</v>
      </c>
      <c r="S287" s="19">
        <v>0</v>
      </c>
      <c r="T287" s="3">
        <v>0</v>
      </c>
      <c r="U287" s="3">
        <v>0</v>
      </c>
      <c r="V287" s="21">
        <v>0</v>
      </c>
      <c r="W287" s="21">
        <v>0</v>
      </c>
      <c r="X287" s="3">
        <v>0</v>
      </c>
      <c r="Y287" s="21">
        <v>38157.32</v>
      </c>
      <c r="Z287" s="154">
        <f>Levy!U287</f>
        <v>0</v>
      </c>
      <c r="AA287" s="3">
        <f>Levy!V287</f>
        <v>0</v>
      </c>
      <c r="AB287" s="3">
        <f t="shared" si="17"/>
        <v>34657.369999999995</v>
      </c>
      <c r="AC287" s="3">
        <f t="shared" si="19"/>
        <v>314315.63</v>
      </c>
      <c r="AD287" s="3">
        <f t="shared" si="20"/>
        <v>76448</v>
      </c>
      <c r="AE287" s="3">
        <f>ROUND(MAX(0,(D287-V287)*Shift11!$B$3),2)</f>
        <v>291365.75</v>
      </c>
      <c r="AF287" s="3">
        <f t="shared" si="18"/>
        <v>291365.75</v>
      </c>
    </row>
    <row r="288" spans="1:32" x14ac:dyDescent="0.2">
      <c r="A288" s="18">
        <v>2159</v>
      </c>
      <c r="B288" s="18">
        <v>1</v>
      </c>
      <c r="C288" s="3" t="s">
        <v>285</v>
      </c>
      <c r="D288" s="3">
        <f>Levy!F288</f>
        <v>404447.39</v>
      </c>
      <c r="E288" s="3">
        <f>Levy!G288</f>
        <v>82072.5</v>
      </c>
      <c r="F288" s="3">
        <f>Levy!H288</f>
        <v>0</v>
      </c>
      <c r="G288" s="3">
        <f>Levy!I288</f>
        <v>271779.59000000003</v>
      </c>
      <c r="H288" s="3">
        <f>Levy!J288</f>
        <v>56205.91</v>
      </c>
      <c r="I288" s="154">
        <v>0</v>
      </c>
      <c r="J288" s="19">
        <v>15000</v>
      </c>
      <c r="K288" s="19">
        <v>11920</v>
      </c>
      <c r="L288" s="19">
        <v>0</v>
      </c>
      <c r="M288" s="3">
        <v>0</v>
      </c>
      <c r="N288" s="3">
        <v>0</v>
      </c>
      <c r="O288" s="3">
        <v>0</v>
      </c>
      <c r="P288" s="19">
        <v>-4249.41</v>
      </c>
      <c r="Q288" s="19">
        <v>0</v>
      </c>
      <c r="R288" s="19">
        <v>-107.2</v>
      </c>
      <c r="S288" s="19">
        <v>0</v>
      </c>
      <c r="T288" s="3">
        <v>0</v>
      </c>
      <c r="U288" s="3">
        <v>0</v>
      </c>
      <c r="V288" s="21">
        <v>0</v>
      </c>
      <c r="W288" s="21">
        <v>0</v>
      </c>
      <c r="X288" s="3">
        <f>22933.81+919.38</f>
        <v>23853.190000000002</v>
      </c>
      <c r="Y288" s="21">
        <f>98779.38+3741.29</f>
        <v>102520.67</v>
      </c>
      <c r="Z288" s="154">
        <f>Levy!U288</f>
        <v>0</v>
      </c>
      <c r="AA288" s="3">
        <f>Levy!V288</f>
        <v>0</v>
      </c>
      <c r="AB288" s="3">
        <f t="shared" si="17"/>
        <v>22563.39</v>
      </c>
      <c r="AC288" s="3">
        <f t="shared" si="19"/>
        <v>307435.51</v>
      </c>
      <c r="AD288" s="3">
        <f t="shared" si="20"/>
        <v>56205.91</v>
      </c>
      <c r="AE288" s="3">
        <f>ROUND(MAX(0,(D288-V288)*Shift11!$B$3),2)</f>
        <v>196561.43</v>
      </c>
      <c r="AF288" s="3">
        <f t="shared" si="18"/>
        <v>196561.43</v>
      </c>
    </row>
    <row r="289" spans="1:32" x14ac:dyDescent="0.2">
      <c r="A289" s="18">
        <v>2164</v>
      </c>
      <c r="B289" s="18">
        <v>1</v>
      </c>
      <c r="C289" s="3" t="s">
        <v>286</v>
      </c>
      <c r="D289" s="3">
        <f>Levy!F289</f>
        <v>312465.33</v>
      </c>
      <c r="E289" s="3">
        <f>Levy!G289</f>
        <v>107276.24</v>
      </c>
      <c r="F289" s="3">
        <f>Levy!H289</f>
        <v>0</v>
      </c>
      <c r="G289" s="3">
        <f>Levy!I289</f>
        <v>270971.09999999998</v>
      </c>
      <c r="H289" s="3">
        <f>Levy!J289</f>
        <v>72238.03</v>
      </c>
      <c r="I289" s="154">
        <v>0</v>
      </c>
      <c r="J289" s="19">
        <v>3500</v>
      </c>
      <c r="K289" s="19">
        <v>16531</v>
      </c>
      <c r="L289" s="19">
        <v>0</v>
      </c>
      <c r="M289" s="3">
        <v>0</v>
      </c>
      <c r="N289" s="3">
        <v>0</v>
      </c>
      <c r="O289" s="3">
        <v>0</v>
      </c>
      <c r="P289" s="19">
        <v>-3569.12</v>
      </c>
      <c r="Q289" s="19">
        <v>0</v>
      </c>
      <c r="R289" s="19">
        <v>-4036.58</v>
      </c>
      <c r="S289" s="19">
        <v>0</v>
      </c>
      <c r="T289" s="3">
        <v>0</v>
      </c>
      <c r="U289" s="3">
        <v>0</v>
      </c>
      <c r="V289" s="21">
        <v>0</v>
      </c>
      <c r="W289" s="21">
        <v>0</v>
      </c>
      <c r="X289" s="3">
        <v>0</v>
      </c>
      <c r="Y289" s="21">
        <v>55510.33</v>
      </c>
      <c r="Z289" s="154">
        <f>Levy!U289</f>
        <v>0</v>
      </c>
      <c r="AA289" s="3">
        <f>Levy!V289</f>
        <v>0</v>
      </c>
      <c r="AB289" s="3">
        <f t="shared" si="17"/>
        <v>12425.300000000001</v>
      </c>
      <c r="AC289" s="3">
        <f t="shared" si="19"/>
        <v>365822.04</v>
      </c>
      <c r="AD289" s="3">
        <f t="shared" si="20"/>
        <v>72238.03</v>
      </c>
      <c r="AE289" s="3">
        <f>ROUND(MAX(0,(D289-V289)*Shift11!$B$3),2)</f>
        <v>151858.15</v>
      </c>
      <c r="AF289" s="3">
        <f t="shared" si="18"/>
        <v>151858.15</v>
      </c>
    </row>
    <row r="290" spans="1:32" x14ac:dyDescent="0.2">
      <c r="A290" s="18">
        <v>2165</v>
      </c>
      <c r="B290" s="18">
        <v>1</v>
      </c>
      <c r="C290" s="3" t="s">
        <v>287</v>
      </c>
      <c r="D290" s="3">
        <f>Levy!F290</f>
        <v>291361.14</v>
      </c>
      <c r="E290" s="3">
        <f>Levy!G290</f>
        <v>113915.9</v>
      </c>
      <c r="F290" s="3">
        <f>Levy!H290</f>
        <v>0</v>
      </c>
      <c r="G290" s="3">
        <f>Levy!I290</f>
        <v>319383.12</v>
      </c>
      <c r="H290" s="3">
        <f>Levy!J290</f>
        <v>82013.95</v>
      </c>
      <c r="I290" s="154">
        <v>0</v>
      </c>
      <c r="J290" s="19">
        <v>1260.1199999999999</v>
      </c>
      <c r="K290" s="19">
        <v>0</v>
      </c>
      <c r="L290" s="19">
        <v>0</v>
      </c>
      <c r="M290" s="3">
        <v>0</v>
      </c>
      <c r="N290" s="3">
        <v>0</v>
      </c>
      <c r="O290" s="3">
        <v>0</v>
      </c>
      <c r="P290" s="19">
        <v>0</v>
      </c>
      <c r="Q290" s="19">
        <v>0</v>
      </c>
      <c r="R290" s="19">
        <v>0</v>
      </c>
      <c r="S290" s="19">
        <v>0</v>
      </c>
      <c r="T290" s="3">
        <v>0</v>
      </c>
      <c r="U290" s="3">
        <v>0</v>
      </c>
      <c r="V290" s="21">
        <v>0</v>
      </c>
      <c r="W290" s="21">
        <v>0</v>
      </c>
      <c r="X290" s="3">
        <v>0</v>
      </c>
      <c r="Y290" s="21">
        <v>51707.97</v>
      </c>
      <c r="Z290" s="154">
        <f>Levy!U290</f>
        <v>0</v>
      </c>
      <c r="AA290" s="3">
        <f>Levy!V290</f>
        <v>0</v>
      </c>
      <c r="AB290" s="3">
        <f t="shared" si="17"/>
        <v>1260.1199999999999</v>
      </c>
      <c r="AC290" s="3">
        <f t="shared" si="19"/>
        <v>432038.9</v>
      </c>
      <c r="AD290" s="3">
        <f t="shared" si="20"/>
        <v>82013.95</v>
      </c>
      <c r="AE290" s="3">
        <f>ROUND(MAX(0,(D290-V290)*Shift11!$B$3),2)</f>
        <v>141601.51</v>
      </c>
      <c r="AF290" s="3">
        <f t="shared" si="18"/>
        <v>141601.51</v>
      </c>
    </row>
    <row r="291" spans="1:32" x14ac:dyDescent="0.2">
      <c r="A291" s="18">
        <v>2167</v>
      </c>
      <c r="B291" s="18">
        <v>1</v>
      </c>
      <c r="C291" s="3" t="s">
        <v>288</v>
      </c>
      <c r="D291" s="3">
        <f>Levy!F291</f>
        <v>243196</v>
      </c>
      <c r="E291" s="3">
        <f>Levy!G291</f>
        <v>40064</v>
      </c>
      <c r="F291" s="3">
        <f>Levy!H291</f>
        <v>0</v>
      </c>
      <c r="G291" s="3">
        <f>Levy!I291</f>
        <v>284249</v>
      </c>
      <c r="H291" s="3">
        <f>Levy!J291</f>
        <v>33196</v>
      </c>
      <c r="I291" s="154">
        <v>0</v>
      </c>
      <c r="J291" s="19">
        <v>0</v>
      </c>
      <c r="K291" s="19">
        <v>10655.81</v>
      </c>
      <c r="L291" s="19">
        <v>0</v>
      </c>
      <c r="M291" s="3">
        <v>0</v>
      </c>
      <c r="N291" s="3">
        <v>0</v>
      </c>
      <c r="O291" s="3">
        <v>0</v>
      </c>
      <c r="P291" s="19">
        <v>-9740.5300000000007</v>
      </c>
      <c r="Q291" s="19">
        <v>0</v>
      </c>
      <c r="R291" s="19">
        <v>0</v>
      </c>
      <c r="S291" s="19">
        <v>0</v>
      </c>
      <c r="T291" s="3">
        <v>0</v>
      </c>
      <c r="U291" s="3">
        <v>0</v>
      </c>
      <c r="V291" s="21">
        <v>0</v>
      </c>
      <c r="W291" s="21">
        <v>0</v>
      </c>
      <c r="X291" s="3">
        <v>5689.16</v>
      </c>
      <c r="Y291" s="21">
        <v>31840.2</v>
      </c>
      <c r="Z291" s="154">
        <f>Levy!U291</f>
        <v>0</v>
      </c>
      <c r="AA291" s="3">
        <f>Levy!V291</f>
        <v>0</v>
      </c>
      <c r="AB291" s="3">
        <f t="shared" si="17"/>
        <v>915.27999999999884</v>
      </c>
      <c r="AC291" s="3">
        <f t="shared" si="19"/>
        <v>317708.56</v>
      </c>
      <c r="AD291" s="3">
        <f t="shared" si="20"/>
        <v>33196</v>
      </c>
      <c r="AE291" s="3">
        <f>ROUND(MAX(0,(D291-V291)*Shift11!$B$3),2)</f>
        <v>118193.26</v>
      </c>
      <c r="AF291" s="3">
        <f t="shared" si="18"/>
        <v>118193.26</v>
      </c>
    </row>
    <row r="292" spans="1:32" x14ac:dyDescent="0.2">
      <c r="A292" s="18">
        <v>2168</v>
      </c>
      <c r="B292" s="18">
        <v>1</v>
      </c>
      <c r="C292" s="3" t="s">
        <v>289</v>
      </c>
      <c r="D292" s="3">
        <f>Levy!F292</f>
        <v>294249.13</v>
      </c>
      <c r="E292" s="3">
        <f>Levy!G292</f>
        <v>83529.509999999995</v>
      </c>
      <c r="F292" s="3">
        <f>Levy!H292</f>
        <v>0</v>
      </c>
      <c r="G292" s="3">
        <f>Levy!I292</f>
        <v>251997.92</v>
      </c>
      <c r="H292" s="3">
        <f>Levy!J292</f>
        <v>74335.09</v>
      </c>
      <c r="I292" s="154">
        <v>0</v>
      </c>
      <c r="J292" s="19">
        <v>0</v>
      </c>
      <c r="K292" s="19">
        <v>20671.2</v>
      </c>
      <c r="L292" s="19">
        <v>0</v>
      </c>
      <c r="M292" s="3">
        <v>0</v>
      </c>
      <c r="N292" s="3">
        <v>0</v>
      </c>
      <c r="O292" s="3">
        <v>0</v>
      </c>
      <c r="P292" s="19">
        <v>1768.49</v>
      </c>
      <c r="Q292" s="19">
        <v>0</v>
      </c>
      <c r="R292" s="19">
        <v>-1839.2</v>
      </c>
      <c r="S292" s="19">
        <v>0</v>
      </c>
      <c r="T292" s="3">
        <v>0</v>
      </c>
      <c r="U292" s="3">
        <v>0</v>
      </c>
      <c r="V292" s="21">
        <v>0</v>
      </c>
      <c r="W292" s="21">
        <v>0</v>
      </c>
      <c r="X292" s="3">
        <v>11668.37</v>
      </c>
      <c r="Y292" s="21">
        <v>77590.100000000006</v>
      </c>
      <c r="Z292" s="154">
        <f>Levy!U292</f>
        <v>0</v>
      </c>
      <c r="AA292" s="3">
        <f>Levy!V292</f>
        <v>0</v>
      </c>
      <c r="AB292" s="3">
        <f t="shared" si="17"/>
        <v>20600.490000000002</v>
      </c>
      <c r="AC292" s="3">
        <f t="shared" si="19"/>
        <v>303258.57</v>
      </c>
      <c r="AD292" s="3">
        <f t="shared" si="20"/>
        <v>74335.09</v>
      </c>
      <c r="AE292" s="3">
        <f>ROUND(MAX(0,(D292-V292)*Shift11!$B$3),2)</f>
        <v>143005.07999999999</v>
      </c>
      <c r="AF292" s="3">
        <f t="shared" si="18"/>
        <v>143005.07999999999</v>
      </c>
    </row>
    <row r="293" spans="1:32" x14ac:dyDescent="0.2">
      <c r="A293" s="18">
        <v>2169</v>
      </c>
      <c r="B293" s="18">
        <v>1</v>
      </c>
      <c r="C293" s="3" t="s">
        <v>290</v>
      </c>
      <c r="D293" s="3">
        <f>Levy!F293</f>
        <v>732540</v>
      </c>
      <c r="E293" s="3">
        <f>Levy!G293</f>
        <v>36048</v>
      </c>
      <c r="F293" s="3">
        <f>Levy!H293</f>
        <v>0</v>
      </c>
      <c r="G293" s="3">
        <f>Levy!I293</f>
        <v>385518</v>
      </c>
      <c r="H293" s="3">
        <f>Levy!J293</f>
        <v>73403</v>
      </c>
      <c r="I293" s="154">
        <v>0</v>
      </c>
      <c r="J293" s="19">
        <v>34000</v>
      </c>
      <c r="K293" s="19">
        <v>14960.16</v>
      </c>
      <c r="L293" s="19">
        <v>0</v>
      </c>
      <c r="M293" s="3">
        <v>0</v>
      </c>
      <c r="N293" s="3">
        <v>0</v>
      </c>
      <c r="O293" s="3">
        <v>0</v>
      </c>
      <c r="P293" s="19">
        <v>-4473.91</v>
      </c>
      <c r="Q293" s="19">
        <v>0</v>
      </c>
      <c r="R293" s="19">
        <v>0</v>
      </c>
      <c r="S293" s="19">
        <v>0</v>
      </c>
      <c r="T293" s="3">
        <v>0</v>
      </c>
      <c r="U293" s="3">
        <v>0</v>
      </c>
      <c r="V293" s="21">
        <v>0</v>
      </c>
      <c r="W293" s="21">
        <v>0</v>
      </c>
      <c r="X293" s="3">
        <v>5478.96</v>
      </c>
      <c r="Y293" s="21">
        <v>61280.65</v>
      </c>
      <c r="Z293" s="154">
        <f>Levy!U293</f>
        <v>0</v>
      </c>
      <c r="AA293" s="3">
        <f>Levy!V293</f>
        <v>0</v>
      </c>
      <c r="AB293" s="3">
        <f t="shared" si="17"/>
        <v>44486.25</v>
      </c>
      <c r="AC293" s="3">
        <f t="shared" si="19"/>
        <v>371600.79</v>
      </c>
      <c r="AD293" s="3">
        <f t="shared" si="20"/>
        <v>73403</v>
      </c>
      <c r="AE293" s="3">
        <f>ROUND(MAX(0,(D293-V293)*Shift11!$B$3),2)</f>
        <v>356014.44</v>
      </c>
      <c r="AF293" s="3">
        <f t="shared" si="18"/>
        <v>356014.44</v>
      </c>
    </row>
    <row r="294" spans="1:32" x14ac:dyDescent="0.2">
      <c r="A294" s="18">
        <v>2170</v>
      </c>
      <c r="B294" s="18">
        <v>1</v>
      </c>
      <c r="C294" s="3" t="s">
        <v>291</v>
      </c>
      <c r="D294" s="3">
        <f>Levy!F294</f>
        <v>507095.71</v>
      </c>
      <c r="E294" s="3">
        <f>Levy!G294</f>
        <v>157574.07999999999</v>
      </c>
      <c r="F294" s="3">
        <f>Levy!H294</f>
        <v>0</v>
      </c>
      <c r="G294" s="3">
        <f>Levy!I294</f>
        <v>478931.83999999997</v>
      </c>
      <c r="H294" s="3">
        <f>Levy!J294</f>
        <v>110437.31000000001</v>
      </c>
      <c r="I294" s="154">
        <v>0</v>
      </c>
      <c r="J294" s="19">
        <v>0</v>
      </c>
      <c r="K294" s="19">
        <v>60835.63</v>
      </c>
      <c r="L294" s="19">
        <v>0</v>
      </c>
      <c r="M294" s="3">
        <v>0</v>
      </c>
      <c r="N294" s="3">
        <v>0</v>
      </c>
      <c r="O294" s="3">
        <v>0</v>
      </c>
      <c r="P294" s="19">
        <v>-4090.87</v>
      </c>
      <c r="Q294" s="19">
        <v>0</v>
      </c>
      <c r="R294" s="19">
        <v>0</v>
      </c>
      <c r="S294" s="19">
        <v>0</v>
      </c>
      <c r="T294" s="3">
        <v>0</v>
      </c>
      <c r="U294" s="3">
        <v>0</v>
      </c>
      <c r="V294" s="21">
        <v>0</v>
      </c>
      <c r="W294" s="21">
        <v>0</v>
      </c>
      <c r="X294" s="3">
        <v>0</v>
      </c>
      <c r="Y294" s="21">
        <v>78553.36</v>
      </c>
      <c r="Z294" s="154">
        <f>Levy!U294</f>
        <v>0</v>
      </c>
      <c r="AA294" s="3">
        <f>Levy!V294</f>
        <v>0</v>
      </c>
      <c r="AB294" s="3">
        <f t="shared" si="17"/>
        <v>56744.759999999995</v>
      </c>
      <c r="AC294" s="3">
        <f t="shared" si="19"/>
        <v>579761.16</v>
      </c>
      <c r="AD294" s="3">
        <f t="shared" si="20"/>
        <v>110437.31</v>
      </c>
      <c r="AE294" s="3">
        <f>ROUND(MAX(0,(D294-V294)*Shift11!$B$3),2)</f>
        <v>246448.52</v>
      </c>
      <c r="AF294" s="3">
        <f t="shared" si="18"/>
        <v>246448.52</v>
      </c>
    </row>
    <row r="295" spans="1:32" x14ac:dyDescent="0.2">
      <c r="A295" s="18">
        <v>2171</v>
      </c>
      <c r="B295" s="18">
        <v>1</v>
      </c>
      <c r="C295" s="3" t="s">
        <v>292</v>
      </c>
      <c r="D295" s="3">
        <f>Levy!F295</f>
        <v>406637.58</v>
      </c>
      <c r="E295" s="3">
        <f>Levy!G295</f>
        <v>12058.47</v>
      </c>
      <c r="F295" s="3">
        <f>Levy!H295</f>
        <v>0</v>
      </c>
      <c r="G295" s="3">
        <f>Levy!I295</f>
        <v>157339.63</v>
      </c>
      <c r="H295" s="3">
        <f>Levy!J295</f>
        <v>31745.119999999999</v>
      </c>
      <c r="I295" s="154">
        <v>0</v>
      </c>
      <c r="J295" s="19">
        <v>4000</v>
      </c>
      <c r="K295" s="19">
        <v>10000</v>
      </c>
      <c r="L295" s="19">
        <v>0</v>
      </c>
      <c r="M295" s="3">
        <v>0</v>
      </c>
      <c r="N295" s="3">
        <v>0</v>
      </c>
      <c r="O295" s="3">
        <v>0</v>
      </c>
      <c r="P295" s="19">
        <v>-4350</v>
      </c>
      <c r="Q295" s="19">
        <v>0</v>
      </c>
      <c r="R295" s="19">
        <v>0</v>
      </c>
      <c r="S295" s="19">
        <v>0</v>
      </c>
      <c r="T295" s="3">
        <v>0</v>
      </c>
      <c r="U295" s="3">
        <v>0</v>
      </c>
      <c r="V295" s="21">
        <v>0</v>
      </c>
      <c r="W295" s="21">
        <v>0</v>
      </c>
      <c r="X295" s="3">
        <v>0</v>
      </c>
      <c r="Y295" s="21">
        <v>312434.59999999998</v>
      </c>
      <c r="Z295" s="154">
        <f>Levy!U295</f>
        <v>0</v>
      </c>
      <c r="AA295" s="3">
        <f>Levy!V295</f>
        <v>0</v>
      </c>
      <c r="AB295" s="3">
        <f t="shared" si="17"/>
        <v>9650</v>
      </c>
      <c r="AC295" s="3">
        <f t="shared" si="19"/>
        <v>159748.1</v>
      </c>
      <c r="AD295" s="3">
        <f t="shared" si="20"/>
        <v>31745.119999999999</v>
      </c>
      <c r="AE295" s="3">
        <f>ROUND(MAX(0,(D295-V295)*Shift11!$B$3),2)</f>
        <v>197625.86</v>
      </c>
      <c r="AF295" s="3">
        <f t="shared" si="18"/>
        <v>312434.59999999998</v>
      </c>
    </row>
    <row r="296" spans="1:32" x14ac:dyDescent="0.2">
      <c r="A296" s="18">
        <v>2172</v>
      </c>
      <c r="B296" s="18">
        <v>1</v>
      </c>
      <c r="C296" s="3" t="s">
        <v>293</v>
      </c>
      <c r="D296" s="3">
        <f>Levy!F296</f>
        <v>577042</v>
      </c>
      <c r="E296" s="3">
        <f>Levy!G296</f>
        <v>78443</v>
      </c>
      <c r="F296" s="3">
        <f>Levy!H296</f>
        <v>0</v>
      </c>
      <c r="G296" s="3">
        <f>Levy!I296</f>
        <v>373373</v>
      </c>
      <c r="H296" s="3">
        <f>Levy!J296</f>
        <v>114529</v>
      </c>
      <c r="I296" s="154">
        <v>0</v>
      </c>
      <c r="J296" s="19">
        <v>22817</v>
      </c>
      <c r="K296" s="19">
        <v>17175.72</v>
      </c>
      <c r="L296" s="19">
        <v>5141</v>
      </c>
      <c r="M296" s="3">
        <v>0</v>
      </c>
      <c r="N296" s="3">
        <v>0</v>
      </c>
      <c r="O296" s="3">
        <v>0</v>
      </c>
      <c r="P296" s="19">
        <v>1815.15</v>
      </c>
      <c r="Q296" s="19">
        <v>0</v>
      </c>
      <c r="R296" s="19">
        <v>0</v>
      </c>
      <c r="S296" s="19">
        <v>15663</v>
      </c>
      <c r="T296" s="3">
        <v>0</v>
      </c>
      <c r="U296" s="3">
        <v>0</v>
      </c>
      <c r="V296" s="21">
        <v>0</v>
      </c>
      <c r="W296" s="21">
        <v>0</v>
      </c>
      <c r="X296" s="3">
        <v>0</v>
      </c>
      <c r="Y296" s="21">
        <v>71959.179999999993</v>
      </c>
      <c r="Z296" s="154">
        <f>Levy!U296</f>
        <v>0</v>
      </c>
      <c r="AA296" s="3">
        <f>Levy!V296</f>
        <v>0</v>
      </c>
      <c r="AB296" s="3">
        <f t="shared" si="17"/>
        <v>62611.87</v>
      </c>
      <c r="AC296" s="3">
        <f t="shared" si="19"/>
        <v>389204.13</v>
      </c>
      <c r="AD296" s="3">
        <f t="shared" si="20"/>
        <v>114529</v>
      </c>
      <c r="AE296" s="3">
        <f>ROUND(MAX(0,(D296-V296)*Shift11!$B$3),2)</f>
        <v>280442.40999999997</v>
      </c>
      <c r="AF296" s="3">
        <f t="shared" si="18"/>
        <v>280442.40999999997</v>
      </c>
    </row>
    <row r="297" spans="1:32" x14ac:dyDescent="0.2">
      <c r="A297" s="18">
        <v>2174</v>
      </c>
      <c r="B297" s="18">
        <v>1</v>
      </c>
      <c r="C297" s="3" t="s">
        <v>294</v>
      </c>
      <c r="D297" s="3">
        <f>Levy!F297</f>
        <v>1154.26</v>
      </c>
      <c r="E297" s="3">
        <f>Levy!G297</f>
        <v>228256.46</v>
      </c>
      <c r="F297" s="3">
        <f>Levy!H297</f>
        <v>0</v>
      </c>
      <c r="G297" s="3">
        <f>Levy!I297</f>
        <v>160495.14000000001</v>
      </c>
      <c r="H297" s="3">
        <f>Levy!J297</f>
        <v>109173.99</v>
      </c>
      <c r="I297" s="154">
        <v>0</v>
      </c>
      <c r="J297" s="19">
        <v>41238</v>
      </c>
      <c r="K297" s="19">
        <v>19753.599999999999</v>
      </c>
      <c r="L297" s="19">
        <v>0</v>
      </c>
      <c r="M297" s="3">
        <v>0</v>
      </c>
      <c r="N297" s="3">
        <v>0</v>
      </c>
      <c r="O297" s="3">
        <v>0</v>
      </c>
      <c r="P297" s="19">
        <v>-26389.78</v>
      </c>
      <c r="Q297" s="19">
        <v>0</v>
      </c>
      <c r="R297" s="19">
        <v>-11483.51</v>
      </c>
      <c r="S297" s="19">
        <v>0</v>
      </c>
      <c r="T297" s="3">
        <v>0</v>
      </c>
      <c r="U297" s="3">
        <v>0</v>
      </c>
      <c r="V297" s="21">
        <v>0</v>
      </c>
      <c r="W297" s="21">
        <v>0</v>
      </c>
      <c r="X297" s="3">
        <v>0</v>
      </c>
      <c r="Y297" s="21">
        <v>0</v>
      </c>
      <c r="Z297" s="154">
        <f>Levy!U297</f>
        <v>0</v>
      </c>
      <c r="AA297" s="3">
        <f>Levy!V297</f>
        <v>0</v>
      </c>
      <c r="AB297" s="3">
        <f t="shared" si="17"/>
        <v>23118.309999999998</v>
      </c>
      <c r="AC297" s="3">
        <f t="shared" si="19"/>
        <v>365633.29</v>
      </c>
      <c r="AD297" s="3">
        <f t="shared" si="20"/>
        <v>109173.99</v>
      </c>
      <c r="AE297" s="3">
        <f>ROUND(MAX(0,(D297-V297)*Shift11!$B$3),2)</f>
        <v>560.97</v>
      </c>
      <c r="AF297" s="3">
        <f t="shared" si="18"/>
        <v>560.97</v>
      </c>
    </row>
    <row r="298" spans="1:32" x14ac:dyDescent="0.2">
      <c r="A298" s="18">
        <v>2176</v>
      </c>
      <c r="B298" s="18">
        <v>1</v>
      </c>
      <c r="C298" s="3" t="s">
        <v>295</v>
      </c>
      <c r="D298" s="3">
        <f>Levy!F298</f>
        <v>514824</v>
      </c>
      <c r="E298" s="3">
        <f>Levy!G298</f>
        <v>9879</v>
      </c>
      <c r="F298" s="3">
        <f>Levy!H298</f>
        <v>0</v>
      </c>
      <c r="G298" s="3">
        <f>Levy!I298</f>
        <v>252405</v>
      </c>
      <c r="H298" s="3">
        <f>Levy!J298</f>
        <v>53380</v>
      </c>
      <c r="I298" s="154">
        <v>0</v>
      </c>
      <c r="J298" s="19">
        <v>18000</v>
      </c>
      <c r="K298" s="19">
        <v>10000</v>
      </c>
      <c r="L298" s="19">
        <v>0</v>
      </c>
      <c r="M298" s="3">
        <v>0</v>
      </c>
      <c r="N298" s="3">
        <v>0</v>
      </c>
      <c r="O298" s="3">
        <v>0</v>
      </c>
      <c r="P298" s="19">
        <v>10367.82</v>
      </c>
      <c r="Q298" s="19">
        <v>-1711.76</v>
      </c>
      <c r="R298" s="19">
        <v>0</v>
      </c>
      <c r="S298" s="19">
        <v>0</v>
      </c>
      <c r="T298" s="3">
        <v>0</v>
      </c>
      <c r="U298" s="3">
        <v>0</v>
      </c>
      <c r="V298" s="21">
        <v>0</v>
      </c>
      <c r="W298" s="21">
        <v>0</v>
      </c>
      <c r="X298" s="3">
        <v>0</v>
      </c>
      <c r="Y298" s="21">
        <v>228879.6</v>
      </c>
      <c r="Z298" s="154">
        <f>Levy!U298</f>
        <v>0</v>
      </c>
      <c r="AA298" s="3">
        <f>Levy!V298</f>
        <v>0</v>
      </c>
      <c r="AB298" s="3">
        <f t="shared" si="17"/>
        <v>36656.06</v>
      </c>
      <c r="AC298" s="3">
        <f t="shared" si="19"/>
        <v>225627.94</v>
      </c>
      <c r="AD298" s="3">
        <f t="shared" si="20"/>
        <v>53380</v>
      </c>
      <c r="AE298" s="3">
        <f>ROUND(MAX(0,(D298-V298)*Shift11!$B$3),2)</f>
        <v>250204.46</v>
      </c>
      <c r="AF298" s="3">
        <f t="shared" si="18"/>
        <v>250204.46</v>
      </c>
    </row>
    <row r="299" spans="1:32" x14ac:dyDescent="0.2">
      <c r="A299" s="18">
        <v>2180</v>
      </c>
      <c r="B299" s="18">
        <v>1</v>
      </c>
      <c r="C299" s="3" t="s">
        <v>296</v>
      </c>
      <c r="D299" s="3">
        <f>Levy!F299</f>
        <v>985310.85</v>
      </c>
      <c r="E299" s="3">
        <f>Levy!G299</f>
        <v>31006.16</v>
      </c>
      <c r="F299" s="3">
        <f>Levy!H299</f>
        <v>0</v>
      </c>
      <c r="G299" s="3">
        <f>Levy!I299</f>
        <v>364227.36</v>
      </c>
      <c r="H299" s="3">
        <f>Levy!J299</f>
        <v>63274.720000000001</v>
      </c>
      <c r="I299" s="154">
        <v>0</v>
      </c>
      <c r="J299" s="19">
        <v>7000</v>
      </c>
      <c r="K299" s="19">
        <v>10000</v>
      </c>
      <c r="L299" s="19">
        <v>0</v>
      </c>
      <c r="M299" s="3">
        <v>0</v>
      </c>
      <c r="N299" s="3">
        <v>0</v>
      </c>
      <c r="O299" s="3">
        <v>0</v>
      </c>
      <c r="P299" s="19">
        <v>-5000</v>
      </c>
      <c r="Q299" s="19">
        <v>0</v>
      </c>
      <c r="R299" s="19">
        <v>0</v>
      </c>
      <c r="S299" s="19">
        <v>0</v>
      </c>
      <c r="T299" s="3">
        <v>0</v>
      </c>
      <c r="U299" s="3">
        <v>0</v>
      </c>
      <c r="V299" s="21">
        <v>0</v>
      </c>
      <c r="W299" s="21">
        <v>0</v>
      </c>
      <c r="X299" s="3">
        <v>0</v>
      </c>
      <c r="Y299" s="21">
        <v>173617.36</v>
      </c>
      <c r="Z299" s="154">
        <f>Levy!U299</f>
        <v>0</v>
      </c>
      <c r="AA299" s="3">
        <f>Levy!V299</f>
        <v>0</v>
      </c>
      <c r="AB299" s="3">
        <f t="shared" si="17"/>
        <v>12000</v>
      </c>
      <c r="AC299" s="3">
        <f t="shared" si="19"/>
        <v>383233.52</v>
      </c>
      <c r="AD299" s="3">
        <f t="shared" si="20"/>
        <v>63274.720000000001</v>
      </c>
      <c r="AE299" s="3">
        <f>ROUND(MAX(0,(D299-V299)*Shift11!$B$3),2)</f>
        <v>478861.07</v>
      </c>
      <c r="AF299" s="3">
        <f t="shared" si="18"/>
        <v>478861.07</v>
      </c>
    </row>
    <row r="300" spans="1:32" x14ac:dyDescent="0.2">
      <c r="A300" s="18">
        <v>2184</v>
      </c>
      <c r="B300" s="18">
        <v>1</v>
      </c>
      <c r="C300" s="3" t="s">
        <v>297</v>
      </c>
      <c r="D300" s="3">
        <f>Levy!F300</f>
        <v>905240.9</v>
      </c>
      <c r="E300" s="3">
        <f>Levy!G300</f>
        <v>61203.79</v>
      </c>
      <c r="F300" s="3">
        <f>Levy!H300</f>
        <v>0</v>
      </c>
      <c r="G300" s="3">
        <f>Levy!I300</f>
        <v>447731.79</v>
      </c>
      <c r="H300" s="3">
        <f>Levy!J300</f>
        <v>83282.91</v>
      </c>
      <c r="I300" s="154">
        <v>0</v>
      </c>
      <c r="J300" s="19">
        <v>402.6</v>
      </c>
      <c r="K300" s="19">
        <v>22699.64</v>
      </c>
      <c r="L300" s="19">
        <v>0</v>
      </c>
      <c r="M300" s="3">
        <v>0</v>
      </c>
      <c r="N300" s="3">
        <v>0</v>
      </c>
      <c r="O300" s="3">
        <v>0</v>
      </c>
      <c r="P300" s="19">
        <v>2879.06</v>
      </c>
      <c r="Q300" s="19">
        <v>0</v>
      </c>
      <c r="R300" s="19">
        <v>0</v>
      </c>
      <c r="S300" s="19">
        <v>0</v>
      </c>
      <c r="T300" s="3">
        <v>0</v>
      </c>
      <c r="U300" s="3">
        <v>0</v>
      </c>
      <c r="V300" s="21">
        <v>0</v>
      </c>
      <c r="W300" s="21">
        <v>0</v>
      </c>
      <c r="X300" s="3">
        <v>2150.0300000000002</v>
      </c>
      <c r="Y300" s="21">
        <v>45058.55</v>
      </c>
      <c r="Z300" s="154">
        <f>Levy!U300</f>
        <v>0</v>
      </c>
      <c r="AA300" s="3">
        <f>Levy!V300</f>
        <v>0</v>
      </c>
      <c r="AB300" s="3">
        <f t="shared" si="17"/>
        <v>25981.3</v>
      </c>
      <c r="AC300" s="3">
        <f t="shared" si="19"/>
        <v>480804.25</v>
      </c>
      <c r="AD300" s="3">
        <f t="shared" si="20"/>
        <v>83282.91</v>
      </c>
      <c r="AE300" s="3">
        <f>ROUND(MAX(0,(D300-V300)*Shift11!$B$3),2)</f>
        <v>439947.08</v>
      </c>
      <c r="AF300" s="3">
        <f t="shared" si="18"/>
        <v>439947.08</v>
      </c>
    </row>
    <row r="301" spans="1:32" x14ac:dyDescent="0.2">
      <c r="A301" s="18">
        <v>2190</v>
      </c>
      <c r="B301" s="18">
        <v>1</v>
      </c>
      <c r="C301" s="3" t="s">
        <v>298</v>
      </c>
      <c r="D301" s="3">
        <f>Levy!F301</f>
        <v>753847</v>
      </c>
      <c r="E301" s="3">
        <f>Levy!G301</f>
        <v>42334</v>
      </c>
      <c r="F301" s="3">
        <f>Levy!H301</f>
        <v>0</v>
      </c>
      <c r="G301" s="3">
        <f>Levy!I301</f>
        <v>237544</v>
      </c>
      <c r="H301" s="3">
        <f>Levy!J301</f>
        <v>168676</v>
      </c>
      <c r="I301" s="154">
        <v>0</v>
      </c>
      <c r="J301" s="19">
        <v>40000</v>
      </c>
      <c r="K301" s="19">
        <v>26905.61</v>
      </c>
      <c r="L301" s="19">
        <v>0</v>
      </c>
      <c r="M301" s="3">
        <v>0</v>
      </c>
      <c r="N301" s="3">
        <v>0</v>
      </c>
      <c r="O301" s="3">
        <v>0</v>
      </c>
      <c r="P301" s="19">
        <v>30775.98</v>
      </c>
      <c r="Q301" s="19">
        <v>0</v>
      </c>
      <c r="R301" s="19">
        <v>0</v>
      </c>
      <c r="S301" s="19">
        <v>0</v>
      </c>
      <c r="T301" s="3">
        <v>0</v>
      </c>
      <c r="U301" s="3">
        <v>0</v>
      </c>
      <c r="V301" s="21">
        <v>0</v>
      </c>
      <c r="W301" s="21">
        <v>0</v>
      </c>
      <c r="X301" s="3">
        <v>3393.38</v>
      </c>
      <c r="Y301" s="21">
        <v>106127.39</v>
      </c>
      <c r="Z301" s="154">
        <f>Levy!U301</f>
        <v>0</v>
      </c>
      <c r="AA301" s="3">
        <f>Levy!V301</f>
        <v>0</v>
      </c>
      <c r="AB301" s="3">
        <f t="shared" si="17"/>
        <v>97681.59</v>
      </c>
      <c r="AC301" s="3">
        <f t="shared" si="19"/>
        <v>178803.03</v>
      </c>
      <c r="AD301" s="3">
        <f t="shared" si="20"/>
        <v>168676</v>
      </c>
      <c r="AE301" s="3">
        <f>ROUND(MAX(0,(D301-V301)*Shift11!$B$3),2)</f>
        <v>366369.64</v>
      </c>
      <c r="AF301" s="3">
        <f t="shared" si="18"/>
        <v>366369.64</v>
      </c>
    </row>
    <row r="302" spans="1:32" x14ac:dyDescent="0.2">
      <c r="A302" s="18">
        <v>2198</v>
      </c>
      <c r="B302" s="18">
        <v>1</v>
      </c>
      <c r="C302" s="3" t="s">
        <v>299</v>
      </c>
      <c r="D302" s="3">
        <f>Levy!F302</f>
        <v>574891.18999999994</v>
      </c>
      <c r="E302" s="3">
        <f>Levy!G302</f>
        <v>36133.93</v>
      </c>
      <c r="F302" s="3">
        <f>Levy!H302</f>
        <v>0</v>
      </c>
      <c r="G302" s="3">
        <f>Levy!I302</f>
        <v>224849.71</v>
      </c>
      <c r="H302" s="3">
        <f>Levy!J302</f>
        <v>72497.84</v>
      </c>
      <c r="I302" s="154">
        <v>0</v>
      </c>
      <c r="J302" s="19">
        <v>9000</v>
      </c>
      <c r="K302" s="19">
        <v>17595.189999999999</v>
      </c>
      <c r="L302" s="19">
        <v>0</v>
      </c>
      <c r="M302" s="3">
        <v>0</v>
      </c>
      <c r="N302" s="3">
        <v>0</v>
      </c>
      <c r="O302" s="3">
        <v>0</v>
      </c>
      <c r="P302" s="19">
        <v>-17972.86</v>
      </c>
      <c r="Q302" s="19">
        <v>0</v>
      </c>
      <c r="R302" s="19">
        <v>0</v>
      </c>
      <c r="S302" s="19">
        <v>0</v>
      </c>
      <c r="T302" s="3">
        <v>0</v>
      </c>
      <c r="U302" s="3">
        <v>0</v>
      </c>
      <c r="V302" s="21">
        <v>0</v>
      </c>
      <c r="W302" s="21">
        <v>0</v>
      </c>
      <c r="X302" s="3">
        <v>0</v>
      </c>
      <c r="Y302" s="21">
        <v>54051.81</v>
      </c>
      <c r="Z302" s="154">
        <f>Levy!U302</f>
        <v>0</v>
      </c>
      <c r="AA302" s="3">
        <f>Levy!V302</f>
        <v>0</v>
      </c>
      <c r="AB302" s="3">
        <f t="shared" si="17"/>
        <v>8622.3299999999981</v>
      </c>
      <c r="AC302" s="3">
        <f t="shared" si="19"/>
        <v>252361.31</v>
      </c>
      <c r="AD302" s="3">
        <f t="shared" si="20"/>
        <v>72497.84</v>
      </c>
      <c r="AE302" s="3">
        <f>ROUND(MAX(0,(D302-V302)*Shift11!$B$3),2)</f>
        <v>279397.12</v>
      </c>
      <c r="AF302" s="3">
        <f t="shared" si="18"/>
        <v>279397.12</v>
      </c>
    </row>
    <row r="303" spans="1:32" x14ac:dyDescent="0.2">
      <c r="A303" s="18">
        <v>2215</v>
      </c>
      <c r="B303" s="18">
        <v>1</v>
      </c>
      <c r="C303" s="3" t="s">
        <v>300</v>
      </c>
      <c r="D303" s="3">
        <f>Levy!F303</f>
        <v>301565.57</v>
      </c>
      <c r="E303" s="3">
        <f>Levy!G303</f>
        <v>4546.72</v>
      </c>
      <c r="F303" s="3">
        <f>Levy!H303</f>
        <v>0</v>
      </c>
      <c r="G303" s="3">
        <f>Levy!I303</f>
        <v>100762.27</v>
      </c>
      <c r="H303" s="3">
        <f>Levy!J303</f>
        <v>21696.36</v>
      </c>
      <c r="I303" s="154">
        <v>0</v>
      </c>
      <c r="J303" s="19">
        <v>0</v>
      </c>
      <c r="K303" s="19">
        <v>19986.38</v>
      </c>
      <c r="L303" s="19">
        <v>0</v>
      </c>
      <c r="M303" s="3">
        <v>0</v>
      </c>
      <c r="N303" s="3">
        <v>0</v>
      </c>
      <c r="O303" s="3">
        <v>0</v>
      </c>
      <c r="P303" s="19">
        <v>-4770.1499999999996</v>
      </c>
      <c r="Q303" s="19">
        <v>0</v>
      </c>
      <c r="R303" s="19">
        <v>0</v>
      </c>
      <c r="S303" s="19">
        <v>0</v>
      </c>
      <c r="T303" s="3">
        <v>0</v>
      </c>
      <c r="U303" s="3">
        <v>0</v>
      </c>
      <c r="V303" s="21">
        <v>0</v>
      </c>
      <c r="W303" s="21">
        <v>0</v>
      </c>
      <c r="X303" s="3">
        <v>0</v>
      </c>
      <c r="Y303" s="21">
        <v>26598.22</v>
      </c>
      <c r="Z303" s="154">
        <f>Levy!U303</f>
        <v>0</v>
      </c>
      <c r="AA303" s="3">
        <f>Levy!V303</f>
        <v>0</v>
      </c>
      <c r="AB303" s="3">
        <f t="shared" si="17"/>
        <v>15216.230000000001</v>
      </c>
      <c r="AC303" s="3">
        <f t="shared" si="19"/>
        <v>90092.76</v>
      </c>
      <c r="AD303" s="3">
        <f t="shared" si="20"/>
        <v>21696.36</v>
      </c>
      <c r="AE303" s="3">
        <f>ROUND(MAX(0,(D303-V303)*Shift11!$B$3),2)</f>
        <v>146560.87</v>
      </c>
      <c r="AF303" s="3">
        <f t="shared" si="18"/>
        <v>146560.87</v>
      </c>
    </row>
    <row r="304" spans="1:32" x14ac:dyDescent="0.2">
      <c r="A304" s="18">
        <v>2310</v>
      </c>
      <c r="B304" s="18">
        <v>1</v>
      </c>
      <c r="C304" s="3" t="s">
        <v>301</v>
      </c>
      <c r="D304" s="3">
        <f>Levy!F304</f>
        <v>536640.88</v>
      </c>
      <c r="E304" s="3">
        <f>Levy!G304</f>
        <v>92053.9</v>
      </c>
      <c r="F304" s="3">
        <f>Levy!H304</f>
        <v>0</v>
      </c>
      <c r="G304" s="3">
        <f>Levy!I304</f>
        <v>579223.35</v>
      </c>
      <c r="H304" s="3">
        <f>Levy!J304</f>
        <v>96322.42</v>
      </c>
      <c r="I304" s="154">
        <v>0</v>
      </c>
      <c r="J304" s="19">
        <v>5740.85</v>
      </c>
      <c r="K304" s="19">
        <v>25184.080000000002</v>
      </c>
      <c r="L304" s="19">
        <v>0</v>
      </c>
      <c r="M304" s="3">
        <v>0</v>
      </c>
      <c r="N304" s="3">
        <v>0</v>
      </c>
      <c r="O304" s="3">
        <v>0</v>
      </c>
      <c r="P304" s="19">
        <v>8097.82</v>
      </c>
      <c r="Q304" s="19">
        <v>-13838.67</v>
      </c>
      <c r="R304" s="19">
        <v>0</v>
      </c>
      <c r="S304" s="19">
        <v>0</v>
      </c>
      <c r="T304" s="3">
        <v>0</v>
      </c>
      <c r="U304" s="3">
        <v>0</v>
      </c>
      <c r="V304" s="21">
        <v>0</v>
      </c>
      <c r="W304" s="21">
        <v>0</v>
      </c>
      <c r="X304" s="3">
        <v>0</v>
      </c>
      <c r="Y304" s="21">
        <v>69650.559999999998</v>
      </c>
      <c r="Z304" s="154">
        <f>Levy!U304</f>
        <v>0</v>
      </c>
      <c r="AA304" s="3">
        <f>Levy!V304</f>
        <v>0</v>
      </c>
      <c r="AB304" s="3">
        <f t="shared" si="17"/>
        <v>25184.080000000002</v>
      </c>
      <c r="AC304" s="3">
        <f t="shared" si="19"/>
        <v>646093.17000000004</v>
      </c>
      <c r="AD304" s="3">
        <f t="shared" si="20"/>
        <v>96322.42</v>
      </c>
      <c r="AE304" s="3">
        <f>ROUND(MAX(0,(D304-V304)*Shift11!$B$3),2)</f>
        <v>260807.47</v>
      </c>
      <c r="AF304" s="3">
        <f t="shared" si="18"/>
        <v>260807.47</v>
      </c>
    </row>
    <row r="305" spans="1:32" x14ac:dyDescent="0.2">
      <c r="A305" s="18">
        <v>2311</v>
      </c>
      <c r="B305" s="18">
        <v>1</v>
      </c>
      <c r="C305" s="3" t="s">
        <v>302</v>
      </c>
      <c r="D305" s="3">
        <f>Levy!F305</f>
        <v>273736</v>
      </c>
      <c r="E305" s="3">
        <f>Levy!G305</f>
        <v>54006</v>
      </c>
      <c r="F305" s="3">
        <f>Levy!H305</f>
        <v>0</v>
      </c>
      <c r="G305" s="3">
        <f>Levy!I305</f>
        <v>57528</v>
      </c>
      <c r="H305" s="3">
        <f>Levy!J305</f>
        <v>40607</v>
      </c>
      <c r="I305" s="154">
        <v>0</v>
      </c>
      <c r="J305" s="19">
        <v>9867</v>
      </c>
      <c r="K305" s="19">
        <v>10479.200000000001</v>
      </c>
      <c r="L305" s="19">
        <v>0</v>
      </c>
      <c r="M305" s="3">
        <v>0</v>
      </c>
      <c r="N305" s="3">
        <v>0</v>
      </c>
      <c r="O305" s="3">
        <v>0</v>
      </c>
      <c r="P305" s="19">
        <v>-3274.79</v>
      </c>
      <c r="Q305" s="19">
        <v>0</v>
      </c>
      <c r="R305" s="19">
        <v>-479.2</v>
      </c>
      <c r="S305" s="19">
        <v>0</v>
      </c>
      <c r="T305" s="3">
        <v>0</v>
      </c>
      <c r="U305" s="3">
        <v>0</v>
      </c>
      <c r="V305" s="21">
        <v>0</v>
      </c>
      <c r="W305" s="21">
        <v>0</v>
      </c>
      <c r="X305" s="3">
        <v>8613.4699999999993</v>
      </c>
      <c r="Y305" s="21">
        <v>57346.63</v>
      </c>
      <c r="Z305" s="154">
        <f>Levy!U305</f>
        <v>0</v>
      </c>
      <c r="AA305" s="3">
        <f>Levy!V305</f>
        <v>0</v>
      </c>
      <c r="AB305" s="3">
        <f t="shared" si="17"/>
        <v>16592.21</v>
      </c>
      <c r="AC305" s="3">
        <f t="shared" si="19"/>
        <v>86328.320000000007</v>
      </c>
      <c r="AD305" s="3">
        <f t="shared" si="20"/>
        <v>40607</v>
      </c>
      <c r="AE305" s="3">
        <f>ROUND(MAX(0,(D305-V305)*Shift11!$B$3),2)</f>
        <v>133035.70000000001</v>
      </c>
      <c r="AF305" s="3">
        <f t="shared" si="18"/>
        <v>133035.70000000001</v>
      </c>
    </row>
    <row r="306" spans="1:32" x14ac:dyDescent="0.2">
      <c r="A306" s="18">
        <v>2342</v>
      </c>
      <c r="B306" s="18">
        <v>1</v>
      </c>
      <c r="C306" s="3" t="s">
        <v>303</v>
      </c>
      <c r="D306" s="3">
        <f>Levy!F306</f>
        <v>871793</v>
      </c>
      <c r="E306" s="3">
        <f>Levy!G306</f>
        <v>47764</v>
      </c>
      <c r="F306" s="3">
        <f>Levy!H306</f>
        <v>0</v>
      </c>
      <c r="G306" s="3">
        <f>Levy!I306</f>
        <v>452985</v>
      </c>
      <c r="H306" s="3">
        <f>Levy!J306</f>
        <v>76542</v>
      </c>
      <c r="I306" s="154">
        <v>0</v>
      </c>
      <c r="J306" s="19">
        <v>10000</v>
      </c>
      <c r="K306" s="19">
        <v>19813.490000000002</v>
      </c>
      <c r="L306" s="19">
        <v>0</v>
      </c>
      <c r="M306" s="3">
        <v>0</v>
      </c>
      <c r="N306" s="3">
        <v>0</v>
      </c>
      <c r="O306" s="3">
        <v>0</v>
      </c>
      <c r="P306" s="19">
        <v>-7410.37</v>
      </c>
      <c r="Q306" s="19">
        <v>0</v>
      </c>
      <c r="R306" s="19">
        <v>0</v>
      </c>
      <c r="S306" s="19">
        <v>0</v>
      </c>
      <c r="T306" s="3">
        <v>0</v>
      </c>
      <c r="U306" s="3">
        <v>0</v>
      </c>
      <c r="V306" s="21">
        <v>0</v>
      </c>
      <c r="W306" s="21">
        <v>0</v>
      </c>
      <c r="X306" s="3">
        <v>0</v>
      </c>
      <c r="Y306" s="21">
        <v>76124.09</v>
      </c>
      <c r="Z306" s="154">
        <f>Levy!U306</f>
        <v>0</v>
      </c>
      <c r="AA306" s="3">
        <f>Levy!V306</f>
        <v>0</v>
      </c>
      <c r="AB306" s="3">
        <f t="shared" si="17"/>
        <v>22403.120000000003</v>
      </c>
      <c r="AC306" s="3">
        <f t="shared" si="19"/>
        <v>478345.88</v>
      </c>
      <c r="AD306" s="3">
        <f t="shared" si="20"/>
        <v>76542</v>
      </c>
      <c r="AE306" s="3">
        <f>ROUND(MAX(0,(D306-V306)*Shift11!$B$3),2)</f>
        <v>423691.4</v>
      </c>
      <c r="AF306" s="3">
        <f t="shared" si="18"/>
        <v>423691.4</v>
      </c>
    </row>
    <row r="307" spans="1:32" x14ac:dyDescent="0.2">
      <c r="A307" s="18">
        <v>2358</v>
      </c>
      <c r="B307" s="18">
        <v>1</v>
      </c>
      <c r="C307" s="3" t="s">
        <v>304</v>
      </c>
      <c r="D307" s="3">
        <f>Levy!F307</f>
        <v>107265.43</v>
      </c>
      <c r="E307" s="3">
        <f>Levy!G307</f>
        <v>9952.7099999999991</v>
      </c>
      <c r="F307" s="3">
        <f>Levy!H307</f>
        <v>0</v>
      </c>
      <c r="G307" s="3">
        <f>Levy!I307</f>
        <v>109587.7</v>
      </c>
      <c r="H307" s="3">
        <f>Levy!J307</f>
        <v>19775.099999999999</v>
      </c>
      <c r="I307" s="154">
        <v>0</v>
      </c>
      <c r="J307" s="19">
        <v>1500</v>
      </c>
      <c r="K307" s="19">
        <v>9570.41</v>
      </c>
      <c r="L307" s="19">
        <v>0</v>
      </c>
      <c r="M307" s="3">
        <v>0</v>
      </c>
      <c r="N307" s="3">
        <v>0</v>
      </c>
      <c r="O307" s="3">
        <v>0</v>
      </c>
      <c r="P307" s="19">
        <v>0</v>
      </c>
      <c r="Q307" s="19">
        <v>-1500</v>
      </c>
      <c r="R307" s="19">
        <v>0</v>
      </c>
      <c r="S307" s="19">
        <v>0</v>
      </c>
      <c r="T307" s="3">
        <v>0</v>
      </c>
      <c r="U307" s="3">
        <v>0</v>
      </c>
      <c r="V307" s="21">
        <v>0</v>
      </c>
      <c r="W307" s="21">
        <v>0</v>
      </c>
      <c r="X307" s="3">
        <v>2260.84</v>
      </c>
      <c r="Y307" s="21">
        <v>36123.39</v>
      </c>
      <c r="Z307" s="154">
        <f>Levy!U307</f>
        <v>0</v>
      </c>
      <c r="AA307" s="3">
        <f>Levy!V307</f>
        <v>0</v>
      </c>
      <c r="AB307" s="3">
        <f t="shared" si="17"/>
        <v>9570.41</v>
      </c>
      <c r="AC307" s="3">
        <f t="shared" si="19"/>
        <v>107709.16</v>
      </c>
      <c r="AD307" s="3">
        <f t="shared" si="20"/>
        <v>19775.099999999999</v>
      </c>
      <c r="AE307" s="3">
        <f>ROUND(MAX(0,(D307-V307)*Shift11!$B$3),2)</f>
        <v>52131</v>
      </c>
      <c r="AF307" s="3">
        <f t="shared" si="18"/>
        <v>52131</v>
      </c>
    </row>
    <row r="308" spans="1:32" x14ac:dyDescent="0.2">
      <c r="A308" s="18">
        <v>2364</v>
      </c>
      <c r="B308" s="18">
        <v>1</v>
      </c>
      <c r="C308" s="3" t="s">
        <v>305</v>
      </c>
      <c r="D308" s="3">
        <f>Levy!F308</f>
        <v>422397.34</v>
      </c>
      <c r="E308" s="3">
        <f>Levy!G308</f>
        <v>67208.460000000006</v>
      </c>
      <c r="F308" s="3">
        <f>Levy!H308</f>
        <v>0</v>
      </c>
      <c r="G308" s="3">
        <f>Levy!I308</f>
        <v>128698.51</v>
      </c>
      <c r="H308" s="3">
        <f>Levy!J308</f>
        <v>58326.44</v>
      </c>
      <c r="I308" s="154">
        <v>0</v>
      </c>
      <c r="J308" s="19">
        <v>5000</v>
      </c>
      <c r="K308" s="19">
        <v>21843.8</v>
      </c>
      <c r="L308" s="19">
        <v>0</v>
      </c>
      <c r="M308" s="3">
        <v>0</v>
      </c>
      <c r="N308" s="3">
        <v>0</v>
      </c>
      <c r="O308" s="3">
        <v>0</v>
      </c>
      <c r="P308" s="19">
        <v>-6177.47</v>
      </c>
      <c r="Q308" s="19">
        <v>0</v>
      </c>
      <c r="R308" s="19">
        <v>0</v>
      </c>
      <c r="S308" s="19">
        <v>0</v>
      </c>
      <c r="T308" s="3">
        <v>0</v>
      </c>
      <c r="U308" s="3">
        <v>0</v>
      </c>
      <c r="V308" s="21">
        <v>0</v>
      </c>
      <c r="W308" s="21">
        <v>0</v>
      </c>
      <c r="X308" s="3">
        <v>11.77</v>
      </c>
      <c r="Y308" s="21">
        <v>33392.53</v>
      </c>
      <c r="Z308" s="154">
        <f>Levy!U308</f>
        <v>0</v>
      </c>
      <c r="AA308" s="3">
        <f>Levy!V308</f>
        <v>0</v>
      </c>
      <c r="AB308" s="3">
        <f t="shared" si="17"/>
        <v>20666.329999999998</v>
      </c>
      <c r="AC308" s="3">
        <f t="shared" si="19"/>
        <v>175228.87</v>
      </c>
      <c r="AD308" s="3">
        <f t="shared" si="20"/>
        <v>58326.44</v>
      </c>
      <c r="AE308" s="3">
        <f>ROUND(MAX(0,(D308-V308)*Shift11!$B$3),2)</f>
        <v>205285.11</v>
      </c>
      <c r="AF308" s="3">
        <f t="shared" si="18"/>
        <v>205285.11</v>
      </c>
    </row>
    <row r="309" spans="1:32" x14ac:dyDescent="0.2">
      <c r="A309" s="18">
        <v>2365</v>
      </c>
      <c r="B309" s="18">
        <v>1</v>
      </c>
      <c r="C309" s="3" t="s">
        <v>306</v>
      </c>
      <c r="D309" s="3">
        <f>Levy!F309</f>
        <v>313242.08</v>
      </c>
      <c r="E309" s="3">
        <f>Levy!G309</f>
        <v>52241.81</v>
      </c>
      <c r="F309" s="3">
        <f>Levy!H309</f>
        <v>0</v>
      </c>
      <c r="G309" s="3">
        <f>Levy!I309</f>
        <v>572647.17000000004</v>
      </c>
      <c r="H309" s="3">
        <f>Levy!J309</f>
        <v>101574.95</v>
      </c>
      <c r="I309" s="154">
        <v>0</v>
      </c>
      <c r="J309" s="19">
        <v>9000</v>
      </c>
      <c r="K309" s="19">
        <v>21774.080000000002</v>
      </c>
      <c r="L309" s="19">
        <v>0</v>
      </c>
      <c r="M309" s="3">
        <v>0</v>
      </c>
      <c r="N309" s="3">
        <v>0</v>
      </c>
      <c r="O309" s="3">
        <v>0</v>
      </c>
      <c r="P309" s="19">
        <v>888.95</v>
      </c>
      <c r="Q309" s="19">
        <v>0</v>
      </c>
      <c r="R309" s="19">
        <v>0</v>
      </c>
      <c r="S309" s="19">
        <v>0</v>
      </c>
      <c r="T309" s="3">
        <v>0</v>
      </c>
      <c r="U309" s="3">
        <v>0</v>
      </c>
      <c r="V309" s="21">
        <v>0</v>
      </c>
      <c r="W309" s="21">
        <v>0</v>
      </c>
      <c r="X309" s="3">
        <f>0+1584.22</f>
        <v>1584.22</v>
      </c>
      <c r="Y309" s="21">
        <f>144311.37+6446.78</f>
        <v>150758.15</v>
      </c>
      <c r="Z309" s="154">
        <f>Levy!U309</f>
        <v>0</v>
      </c>
      <c r="AA309" s="3">
        <f>Levy!V309</f>
        <v>0</v>
      </c>
      <c r="AB309" s="3">
        <f t="shared" si="17"/>
        <v>31663.030000000002</v>
      </c>
      <c r="AC309" s="3">
        <f t="shared" si="19"/>
        <v>591641.73</v>
      </c>
      <c r="AD309" s="3">
        <f t="shared" si="20"/>
        <v>101574.95</v>
      </c>
      <c r="AE309" s="3">
        <f>ROUND(MAX(0,(D309-V309)*Shift11!$B$3),2)</f>
        <v>152235.65</v>
      </c>
      <c r="AF309" s="3">
        <f t="shared" si="18"/>
        <v>152235.65</v>
      </c>
    </row>
    <row r="310" spans="1:32" x14ac:dyDescent="0.2">
      <c r="A310" s="18">
        <v>2396</v>
      </c>
      <c r="B310" s="18">
        <v>1</v>
      </c>
      <c r="C310" s="3" t="s">
        <v>307</v>
      </c>
      <c r="D310" s="3">
        <f>Levy!F310</f>
        <v>870261</v>
      </c>
      <c r="E310" s="3">
        <f>Levy!G310</f>
        <v>71659</v>
      </c>
      <c r="F310" s="3">
        <f>Levy!H310</f>
        <v>0</v>
      </c>
      <c r="G310" s="3">
        <f>Levy!I310</f>
        <v>489928</v>
      </c>
      <c r="H310" s="3">
        <f>Levy!J310</f>
        <v>138282</v>
      </c>
      <c r="I310" s="154">
        <v>0</v>
      </c>
      <c r="J310" s="19">
        <v>5040.43</v>
      </c>
      <c r="K310" s="19">
        <v>15637.5</v>
      </c>
      <c r="L310" s="19">
        <v>0</v>
      </c>
      <c r="M310" s="3">
        <v>0</v>
      </c>
      <c r="N310" s="3">
        <v>0</v>
      </c>
      <c r="O310" s="3">
        <v>0</v>
      </c>
      <c r="P310" s="19">
        <v>-2205.13</v>
      </c>
      <c r="Q310" s="19">
        <v>0</v>
      </c>
      <c r="R310" s="19">
        <v>0</v>
      </c>
      <c r="S310" s="19">
        <v>0</v>
      </c>
      <c r="T310" s="3">
        <v>0</v>
      </c>
      <c r="U310" s="3">
        <v>0</v>
      </c>
      <c r="V310" s="21">
        <v>0</v>
      </c>
      <c r="W310" s="21">
        <v>0</v>
      </c>
      <c r="X310" s="3">
        <v>6520.58</v>
      </c>
      <c r="Y310" s="21">
        <v>102338.72</v>
      </c>
      <c r="Z310" s="154">
        <f>Levy!U310</f>
        <v>0</v>
      </c>
      <c r="AA310" s="3">
        <f>Levy!V310</f>
        <v>0</v>
      </c>
      <c r="AB310" s="3">
        <f t="shared" si="17"/>
        <v>18472.8</v>
      </c>
      <c r="AC310" s="3">
        <f t="shared" si="19"/>
        <v>536593.62</v>
      </c>
      <c r="AD310" s="3">
        <f t="shared" si="20"/>
        <v>138282</v>
      </c>
      <c r="AE310" s="3">
        <f>ROUND(MAX(0,(D310-V310)*Shift11!$B$3),2)</f>
        <v>422946.85</v>
      </c>
      <c r="AF310" s="3">
        <f t="shared" si="18"/>
        <v>422946.85</v>
      </c>
    </row>
    <row r="311" spans="1:32" x14ac:dyDescent="0.2">
      <c r="A311" s="18">
        <v>2397</v>
      </c>
      <c r="B311" s="18">
        <v>1</v>
      </c>
      <c r="C311" s="3" t="s">
        <v>308</v>
      </c>
      <c r="D311" s="3">
        <f>Levy!F311</f>
        <v>329990.52</v>
      </c>
      <c r="E311" s="3">
        <f>Levy!G311</f>
        <v>142539.19</v>
      </c>
      <c r="F311" s="3">
        <f>Levy!H311</f>
        <v>0</v>
      </c>
      <c r="G311" s="3">
        <f>Levy!I311</f>
        <v>574398.21</v>
      </c>
      <c r="H311" s="3">
        <f>Levy!J311</f>
        <v>97204.84</v>
      </c>
      <c r="I311" s="154">
        <v>0</v>
      </c>
      <c r="J311" s="19">
        <v>17000</v>
      </c>
      <c r="K311" s="19">
        <v>25773.599999999999</v>
      </c>
      <c r="L311" s="19">
        <v>0</v>
      </c>
      <c r="M311" s="3">
        <v>0</v>
      </c>
      <c r="N311" s="3">
        <v>0</v>
      </c>
      <c r="O311" s="3">
        <v>0</v>
      </c>
      <c r="P311" s="19">
        <v>-3456.61</v>
      </c>
      <c r="Q311" s="19">
        <v>0</v>
      </c>
      <c r="R311" s="19">
        <v>23.71</v>
      </c>
      <c r="S311" s="19">
        <v>0</v>
      </c>
      <c r="T311" s="3">
        <v>0</v>
      </c>
      <c r="U311" s="3">
        <v>0</v>
      </c>
      <c r="V311" s="21">
        <v>0</v>
      </c>
      <c r="W311" s="21">
        <v>0</v>
      </c>
      <c r="X311" s="3">
        <v>0</v>
      </c>
      <c r="Y311" s="21">
        <v>75648.160000000003</v>
      </c>
      <c r="Z311" s="154">
        <f>Levy!U311</f>
        <v>0</v>
      </c>
      <c r="AA311" s="3">
        <f>Levy!V311</f>
        <v>0</v>
      </c>
      <c r="AB311" s="3">
        <f t="shared" si="17"/>
        <v>39340.699999999997</v>
      </c>
      <c r="AC311" s="3">
        <f t="shared" si="19"/>
        <v>677596.7</v>
      </c>
      <c r="AD311" s="3">
        <f t="shared" si="20"/>
        <v>97204.84</v>
      </c>
      <c r="AE311" s="3">
        <f>ROUND(MAX(0,(D311-V311)*Shift11!$B$3),2)</f>
        <v>160375.39000000001</v>
      </c>
      <c r="AF311" s="3">
        <f t="shared" si="18"/>
        <v>160375.39000000001</v>
      </c>
    </row>
    <row r="312" spans="1:32" x14ac:dyDescent="0.2">
      <c r="A312" s="18">
        <v>2448</v>
      </c>
      <c r="B312" s="18">
        <v>1</v>
      </c>
      <c r="C312" s="3" t="s">
        <v>309</v>
      </c>
      <c r="D312" s="3">
        <f>Levy!F312</f>
        <v>916612.32</v>
      </c>
      <c r="E312" s="3">
        <f>Levy!G312</f>
        <v>44901.36</v>
      </c>
      <c r="F312" s="3">
        <f>Levy!H312</f>
        <v>0</v>
      </c>
      <c r="G312" s="3">
        <f>Levy!I312</f>
        <v>483019.04</v>
      </c>
      <c r="H312" s="3">
        <f>Levy!J312</f>
        <v>73055.42</v>
      </c>
      <c r="I312" s="154">
        <v>0</v>
      </c>
      <c r="J312" s="19">
        <v>10000</v>
      </c>
      <c r="K312" s="19">
        <v>23103.23</v>
      </c>
      <c r="L312" s="19">
        <v>0</v>
      </c>
      <c r="M312" s="3">
        <v>0</v>
      </c>
      <c r="N312" s="3">
        <v>0</v>
      </c>
      <c r="O312" s="3">
        <v>0</v>
      </c>
      <c r="P312" s="19">
        <v>4390.46</v>
      </c>
      <c r="Q312" s="19">
        <v>0</v>
      </c>
      <c r="R312" s="19">
        <v>0</v>
      </c>
      <c r="S312" s="19">
        <v>0</v>
      </c>
      <c r="T312" s="3">
        <v>0</v>
      </c>
      <c r="U312" s="3">
        <v>0</v>
      </c>
      <c r="V312" s="21">
        <v>0</v>
      </c>
      <c r="W312" s="21">
        <v>0</v>
      </c>
      <c r="X312" s="3">
        <v>0</v>
      </c>
      <c r="Y312" s="21">
        <v>221365</v>
      </c>
      <c r="Z312" s="154">
        <f>Levy!U312</f>
        <v>0</v>
      </c>
      <c r="AA312" s="3">
        <f>Levy!V312</f>
        <v>0</v>
      </c>
      <c r="AB312" s="3">
        <f t="shared" si="17"/>
        <v>37493.689999999995</v>
      </c>
      <c r="AC312" s="3">
        <f t="shared" si="19"/>
        <v>490426.71</v>
      </c>
      <c r="AD312" s="3">
        <f t="shared" si="20"/>
        <v>73055.42</v>
      </c>
      <c r="AE312" s="3">
        <f>ROUND(MAX(0,(D312-V312)*Shift11!$B$3),2)</f>
        <v>445473.59</v>
      </c>
      <c r="AF312" s="3">
        <f t="shared" si="18"/>
        <v>445473.59</v>
      </c>
    </row>
    <row r="313" spans="1:32" x14ac:dyDescent="0.2">
      <c r="A313" s="18">
        <v>2527</v>
      </c>
      <c r="B313" s="18">
        <v>1</v>
      </c>
      <c r="C313" s="3" t="s">
        <v>310</v>
      </c>
      <c r="D313" s="3">
        <f>Levy!F313</f>
        <v>245309.91</v>
      </c>
      <c r="E313" s="3">
        <f>Levy!G313</f>
        <v>10011.59</v>
      </c>
      <c r="F313" s="3">
        <f>Levy!H313</f>
        <v>0</v>
      </c>
      <c r="G313" s="3">
        <f>Levy!I313</f>
        <v>198230.41</v>
      </c>
      <c r="H313" s="3">
        <f>Levy!J313</f>
        <v>19136.240000000002</v>
      </c>
      <c r="I313" s="154">
        <v>0</v>
      </c>
      <c r="J313" s="19">
        <v>9072</v>
      </c>
      <c r="K313" s="19">
        <v>32599.15</v>
      </c>
      <c r="L313" s="19">
        <v>0</v>
      </c>
      <c r="M313" s="3">
        <v>0</v>
      </c>
      <c r="N313" s="3">
        <v>0</v>
      </c>
      <c r="O313" s="3">
        <v>0</v>
      </c>
      <c r="P313" s="19">
        <v>5504.63</v>
      </c>
      <c r="Q313" s="19">
        <v>0</v>
      </c>
      <c r="R313" s="19">
        <v>-32599.15</v>
      </c>
      <c r="S313" s="19">
        <v>0</v>
      </c>
      <c r="T313" s="3">
        <v>0</v>
      </c>
      <c r="U313" s="3">
        <v>0</v>
      </c>
      <c r="V313" s="21">
        <v>0</v>
      </c>
      <c r="W313" s="21">
        <v>0</v>
      </c>
      <c r="X313" s="3">
        <v>0</v>
      </c>
      <c r="Y313" s="21">
        <v>61388.37</v>
      </c>
      <c r="Z313" s="154">
        <f>Levy!U313</f>
        <v>0</v>
      </c>
      <c r="AA313" s="3">
        <f>Levy!V313</f>
        <v>0</v>
      </c>
      <c r="AB313" s="3">
        <f t="shared" si="17"/>
        <v>14576.629999999997</v>
      </c>
      <c r="AC313" s="3">
        <f t="shared" si="19"/>
        <v>193665.37</v>
      </c>
      <c r="AD313" s="3">
        <f t="shared" si="20"/>
        <v>19136.240000000002</v>
      </c>
      <c r="AE313" s="3">
        <f>ROUND(MAX(0,(D313-V313)*Shift11!$B$3),2)</f>
        <v>119220.62</v>
      </c>
      <c r="AF313" s="3">
        <f t="shared" si="18"/>
        <v>119220.62</v>
      </c>
    </row>
    <row r="314" spans="1:32" x14ac:dyDescent="0.2">
      <c r="A314" s="18">
        <v>2534</v>
      </c>
      <c r="B314" s="18">
        <v>1</v>
      </c>
      <c r="C314" s="3" t="s">
        <v>311</v>
      </c>
      <c r="D314" s="3">
        <f>Levy!F314</f>
        <v>376790.85</v>
      </c>
      <c r="E314" s="3">
        <f>Levy!G314</f>
        <v>39581.269999999997</v>
      </c>
      <c r="F314" s="3">
        <f>Levy!H314</f>
        <v>0</v>
      </c>
      <c r="G314" s="3">
        <f>Levy!I314</f>
        <v>443396.72</v>
      </c>
      <c r="H314" s="3">
        <f>Levy!J314</f>
        <v>68155.91</v>
      </c>
      <c r="I314" s="154">
        <v>0</v>
      </c>
      <c r="J314" s="19">
        <v>28356</v>
      </c>
      <c r="K314" s="19">
        <v>20978.01</v>
      </c>
      <c r="L314" s="19">
        <v>0</v>
      </c>
      <c r="M314" s="3">
        <v>0</v>
      </c>
      <c r="N314" s="3">
        <v>0</v>
      </c>
      <c r="O314" s="3">
        <v>0</v>
      </c>
      <c r="P314" s="19">
        <v>-10781.32</v>
      </c>
      <c r="Q314" s="19">
        <v>0</v>
      </c>
      <c r="R314" s="19">
        <v>0</v>
      </c>
      <c r="S314" s="19">
        <v>0</v>
      </c>
      <c r="T314" s="3">
        <v>0</v>
      </c>
      <c r="U314" s="3">
        <v>0</v>
      </c>
      <c r="V314" s="21">
        <v>0</v>
      </c>
      <c r="W314" s="21">
        <v>0</v>
      </c>
      <c r="X314" s="3">
        <v>0</v>
      </c>
      <c r="Y314" s="21">
        <v>96802.28</v>
      </c>
      <c r="Z314" s="154">
        <f>Levy!U314</f>
        <v>0</v>
      </c>
      <c r="AA314" s="3">
        <f>Levy!V314</f>
        <v>0</v>
      </c>
      <c r="AB314" s="3">
        <f t="shared" si="17"/>
        <v>38552.689999999995</v>
      </c>
      <c r="AC314" s="3">
        <f t="shared" si="19"/>
        <v>444425.3</v>
      </c>
      <c r="AD314" s="3">
        <f t="shared" si="20"/>
        <v>68155.91</v>
      </c>
      <c r="AE314" s="3">
        <f>ROUND(MAX(0,(D314-V314)*Shift11!$B$3),2)</f>
        <v>183120.35</v>
      </c>
      <c r="AF314" s="3">
        <f t="shared" si="18"/>
        <v>183120.35</v>
      </c>
    </row>
    <row r="315" spans="1:32" x14ac:dyDescent="0.2">
      <c r="A315" s="18">
        <v>2536</v>
      </c>
      <c r="B315" s="18">
        <v>1</v>
      </c>
      <c r="C315" s="3" t="s">
        <v>312</v>
      </c>
      <c r="D315" s="3">
        <f>Levy!F315</f>
        <v>458218.11</v>
      </c>
      <c r="E315" s="3">
        <f>Levy!G315</f>
        <v>7621.57</v>
      </c>
      <c r="F315" s="3">
        <f>Levy!H315</f>
        <v>0</v>
      </c>
      <c r="G315" s="3">
        <f>Levy!I315</f>
        <v>161004.44</v>
      </c>
      <c r="H315" s="3">
        <f>Levy!J315</f>
        <v>35431.64</v>
      </c>
      <c r="I315" s="154">
        <v>0</v>
      </c>
      <c r="J315" s="19">
        <v>10000</v>
      </c>
      <c r="K315" s="19">
        <v>0</v>
      </c>
      <c r="L315" s="19">
        <v>0</v>
      </c>
      <c r="M315" s="3">
        <v>0</v>
      </c>
      <c r="N315" s="3">
        <v>0</v>
      </c>
      <c r="O315" s="3">
        <v>0</v>
      </c>
      <c r="P315" s="19">
        <v>-4987.7</v>
      </c>
      <c r="Q315" s="19">
        <v>0</v>
      </c>
      <c r="R315" s="19">
        <v>0</v>
      </c>
      <c r="S315" s="19">
        <v>0</v>
      </c>
      <c r="T315" s="3">
        <v>0</v>
      </c>
      <c r="U315" s="3">
        <v>0</v>
      </c>
      <c r="V315" s="21">
        <v>0</v>
      </c>
      <c r="W315" s="21">
        <v>0</v>
      </c>
      <c r="X315" s="3">
        <v>0</v>
      </c>
      <c r="Y315" s="21">
        <v>112538.9</v>
      </c>
      <c r="Z315" s="154">
        <f>Levy!U315</f>
        <v>0</v>
      </c>
      <c r="AA315" s="3">
        <f>Levy!V315</f>
        <v>0</v>
      </c>
      <c r="AB315" s="3">
        <f t="shared" si="17"/>
        <v>5012.3</v>
      </c>
      <c r="AC315" s="3">
        <f t="shared" si="19"/>
        <v>163613.71</v>
      </c>
      <c r="AD315" s="3">
        <f t="shared" si="20"/>
        <v>35431.64</v>
      </c>
      <c r="AE315" s="3">
        <f>ROUND(MAX(0,(D315-V315)*Shift11!$B$3),2)</f>
        <v>222694</v>
      </c>
      <c r="AF315" s="3">
        <f t="shared" si="18"/>
        <v>222694</v>
      </c>
    </row>
    <row r="316" spans="1:32" x14ac:dyDescent="0.2">
      <c r="A316" s="18">
        <v>2580</v>
      </c>
      <c r="B316" s="18">
        <v>1</v>
      </c>
      <c r="C316" s="3" t="s">
        <v>313</v>
      </c>
      <c r="D316" s="3">
        <f>Levy!F316</f>
        <v>77750.13</v>
      </c>
      <c r="E316" s="3">
        <f>Levy!G316</f>
        <v>104930.84</v>
      </c>
      <c r="F316" s="3">
        <f>Levy!H316</f>
        <v>0</v>
      </c>
      <c r="G316" s="3">
        <f>Levy!I316</f>
        <v>224267.76</v>
      </c>
      <c r="H316" s="3">
        <f>Levy!J316</f>
        <v>82033.64</v>
      </c>
      <c r="I316" s="154">
        <v>0</v>
      </c>
      <c r="J316" s="19">
        <v>25000</v>
      </c>
      <c r="K316" s="19">
        <v>17378.14</v>
      </c>
      <c r="L316" s="19">
        <v>0</v>
      </c>
      <c r="M316" s="3">
        <v>0</v>
      </c>
      <c r="N316" s="3">
        <v>0</v>
      </c>
      <c r="O316" s="3">
        <v>0</v>
      </c>
      <c r="P316" s="19">
        <v>219.29</v>
      </c>
      <c r="Q316" s="19">
        <v>0</v>
      </c>
      <c r="R316" s="19">
        <v>-75.03</v>
      </c>
      <c r="S316" s="19">
        <v>0</v>
      </c>
      <c r="T316" s="3">
        <v>0</v>
      </c>
      <c r="U316" s="3">
        <v>0</v>
      </c>
      <c r="V316" s="21">
        <v>0</v>
      </c>
      <c r="W316" s="21">
        <v>0</v>
      </c>
      <c r="X316" s="3">
        <v>0</v>
      </c>
      <c r="Y316" s="21">
        <v>47527.08</v>
      </c>
      <c r="Z316" s="154">
        <f>Levy!U316</f>
        <v>0</v>
      </c>
      <c r="AA316" s="3">
        <f>Levy!V316</f>
        <v>0</v>
      </c>
      <c r="AB316" s="3">
        <f t="shared" si="17"/>
        <v>42522.400000000001</v>
      </c>
      <c r="AC316" s="3">
        <f t="shared" si="19"/>
        <v>286676.2</v>
      </c>
      <c r="AD316" s="3">
        <f t="shared" si="20"/>
        <v>82033.64</v>
      </c>
      <c r="AE316" s="3">
        <f>ROUND(MAX(0,(D316-V316)*Shift11!$B$3),2)</f>
        <v>37786.559999999998</v>
      </c>
      <c r="AF316" s="3">
        <f t="shared" si="18"/>
        <v>47527.08</v>
      </c>
    </row>
    <row r="317" spans="1:32" x14ac:dyDescent="0.2">
      <c r="A317" s="18">
        <v>2609</v>
      </c>
      <c r="B317" s="18">
        <v>1</v>
      </c>
      <c r="C317" s="3" t="s">
        <v>314</v>
      </c>
      <c r="D317" s="3">
        <f>Levy!F317</f>
        <v>265678.09000000003</v>
      </c>
      <c r="E317" s="3">
        <f>Levy!G317</f>
        <v>29799.56</v>
      </c>
      <c r="F317" s="3">
        <f>Levy!H317</f>
        <v>0</v>
      </c>
      <c r="G317" s="3">
        <f>Levy!I317</f>
        <v>191463.56</v>
      </c>
      <c r="H317" s="3">
        <f>Levy!J317</f>
        <v>1981.08</v>
      </c>
      <c r="I317" s="154">
        <v>0</v>
      </c>
      <c r="J317" s="19">
        <v>12809</v>
      </c>
      <c r="K317" s="19">
        <v>11011.2</v>
      </c>
      <c r="L317" s="19">
        <v>0</v>
      </c>
      <c r="M317" s="3">
        <v>0</v>
      </c>
      <c r="N317" s="3">
        <v>0</v>
      </c>
      <c r="O317" s="3">
        <v>0</v>
      </c>
      <c r="P317" s="19">
        <v>-11748.13</v>
      </c>
      <c r="Q317" s="19">
        <v>0</v>
      </c>
      <c r="R317" s="19">
        <v>-305.60000000000002</v>
      </c>
      <c r="S317" s="19">
        <v>0</v>
      </c>
      <c r="T317" s="3">
        <v>0</v>
      </c>
      <c r="U317" s="3">
        <v>0</v>
      </c>
      <c r="V317" s="21">
        <v>0</v>
      </c>
      <c r="W317" s="21">
        <v>0</v>
      </c>
      <c r="X317" s="3">
        <v>2194.98</v>
      </c>
      <c r="Y317" s="21">
        <v>16182.82</v>
      </c>
      <c r="Z317" s="154">
        <f>Levy!U317</f>
        <v>0</v>
      </c>
      <c r="AA317" s="3">
        <f>Levy!V317</f>
        <v>0</v>
      </c>
      <c r="AB317" s="3">
        <f t="shared" si="17"/>
        <v>11766.470000000001</v>
      </c>
      <c r="AC317" s="3">
        <f t="shared" si="19"/>
        <v>207301.67</v>
      </c>
      <c r="AD317" s="3">
        <f t="shared" si="20"/>
        <v>1981.08</v>
      </c>
      <c r="AE317" s="3">
        <f>ROUND(MAX(0,(D317-V317)*Shift11!$B$3),2)</f>
        <v>129119.55</v>
      </c>
      <c r="AF317" s="3">
        <f t="shared" si="18"/>
        <v>129119.55</v>
      </c>
    </row>
    <row r="318" spans="1:32" x14ac:dyDescent="0.2">
      <c r="A318" s="18">
        <v>2683</v>
      </c>
      <c r="B318" s="18">
        <v>1</v>
      </c>
      <c r="C318" s="3" t="s">
        <v>315</v>
      </c>
      <c r="D318" s="3">
        <f>Levy!F318</f>
        <v>103757</v>
      </c>
      <c r="E318" s="3">
        <f>Levy!G318</f>
        <v>18553</v>
      </c>
      <c r="F318" s="3">
        <f>Levy!H318</f>
        <v>0</v>
      </c>
      <c r="G318" s="3">
        <f>Levy!I318</f>
        <v>151697</v>
      </c>
      <c r="H318" s="3">
        <f>Levy!J318</f>
        <v>25340</v>
      </c>
      <c r="I318" s="154">
        <v>0</v>
      </c>
      <c r="J318" s="19">
        <v>1099.71</v>
      </c>
      <c r="K318" s="19">
        <v>9040</v>
      </c>
      <c r="L318" s="19">
        <v>0</v>
      </c>
      <c r="M318" s="3">
        <v>0</v>
      </c>
      <c r="N318" s="3">
        <v>0</v>
      </c>
      <c r="O318" s="3">
        <v>0</v>
      </c>
      <c r="P318" s="19">
        <v>642.37</v>
      </c>
      <c r="Q318" s="19">
        <v>0</v>
      </c>
      <c r="R318" s="19">
        <v>960</v>
      </c>
      <c r="S318" s="19">
        <v>0</v>
      </c>
      <c r="T318" s="3">
        <v>0</v>
      </c>
      <c r="U318" s="3">
        <v>0</v>
      </c>
      <c r="V318" s="21">
        <v>0</v>
      </c>
      <c r="W318" s="21">
        <v>0</v>
      </c>
      <c r="X318" s="3">
        <v>0</v>
      </c>
      <c r="Y318" s="21">
        <v>57512.51</v>
      </c>
      <c r="Z318" s="154">
        <f>Levy!U318</f>
        <v>0</v>
      </c>
      <c r="AA318" s="3">
        <f>Levy!V318</f>
        <v>0</v>
      </c>
      <c r="AB318" s="3">
        <f t="shared" si="17"/>
        <v>11742.08</v>
      </c>
      <c r="AC318" s="3">
        <f t="shared" si="19"/>
        <v>158507.92000000001</v>
      </c>
      <c r="AD318" s="3">
        <f t="shared" si="20"/>
        <v>25340</v>
      </c>
      <c r="AE318" s="3">
        <f>ROUND(MAX(0,(D318-V318)*Shift11!$B$3),2)</f>
        <v>50425.9</v>
      </c>
      <c r="AF318" s="3">
        <f t="shared" si="18"/>
        <v>57512.51</v>
      </c>
    </row>
    <row r="319" spans="1:32" x14ac:dyDescent="0.2">
      <c r="A319" s="18">
        <v>2687</v>
      </c>
      <c r="B319" s="18">
        <v>1</v>
      </c>
      <c r="C319" s="3" t="s">
        <v>316</v>
      </c>
      <c r="D319" s="3">
        <f>Levy!F319</f>
        <v>835514.1</v>
      </c>
      <c r="E319" s="3">
        <f>Levy!G319</f>
        <v>113612.63</v>
      </c>
      <c r="F319" s="3">
        <f>Levy!H319</f>
        <v>0</v>
      </c>
      <c r="G319" s="3">
        <f>Levy!I319</f>
        <v>387271.24</v>
      </c>
      <c r="H319" s="3">
        <f>Levy!J319</f>
        <v>109886.33</v>
      </c>
      <c r="I319" s="154">
        <v>0</v>
      </c>
      <c r="J319" s="19">
        <v>5000</v>
      </c>
      <c r="K319" s="19">
        <v>22083.200000000001</v>
      </c>
      <c r="L319" s="19">
        <v>0</v>
      </c>
      <c r="M319" s="3">
        <v>0</v>
      </c>
      <c r="N319" s="3">
        <v>0</v>
      </c>
      <c r="O319" s="3">
        <v>0</v>
      </c>
      <c r="P319" s="19">
        <v>5017.75</v>
      </c>
      <c r="Q319" s="19">
        <v>0</v>
      </c>
      <c r="R319" s="19">
        <v>801.32</v>
      </c>
      <c r="S319" s="19">
        <v>0</v>
      </c>
      <c r="T319" s="3">
        <v>0</v>
      </c>
      <c r="U319" s="3">
        <v>0</v>
      </c>
      <c r="V319" s="21">
        <v>0</v>
      </c>
      <c r="W319" s="21">
        <v>0</v>
      </c>
      <c r="X319" s="3">
        <v>0</v>
      </c>
      <c r="Y319" s="21">
        <v>128380.69</v>
      </c>
      <c r="Z319" s="154">
        <f>Levy!U319</f>
        <v>0</v>
      </c>
      <c r="AA319" s="3">
        <f>Levy!V319</f>
        <v>0</v>
      </c>
      <c r="AB319" s="3">
        <f t="shared" ref="AB319:AB340" si="21">SUM(I319:T319)</f>
        <v>32902.270000000004</v>
      </c>
      <c r="AC319" s="3">
        <f t="shared" si="19"/>
        <v>467981.6</v>
      </c>
      <c r="AD319" s="3">
        <f t="shared" si="20"/>
        <v>109886.33</v>
      </c>
      <c r="AE319" s="3">
        <f>ROUND(MAX(0,(D319-V319)*Shift11!$B$3),2)</f>
        <v>406059.85</v>
      </c>
      <c r="AF319" s="3">
        <f t="shared" ref="AF319:AF340" si="22">MAX(AE319,Y319)</f>
        <v>406059.85</v>
      </c>
    </row>
    <row r="320" spans="1:32" x14ac:dyDescent="0.2">
      <c r="A320" s="18">
        <v>2689</v>
      </c>
      <c r="B320" s="18">
        <v>1</v>
      </c>
      <c r="C320" s="3" t="s">
        <v>317</v>
      </c>
      <c r="D320" s="3">
        <f>Levy!F320</f>
        <v>776075.25</v>
      </c>
      <c r="E320" s="3">
        <f>Levy!G320</f>
        <v>52281.61</v>
      </c>
      <c r="F320" s="3">
        <f>Levy!H320</f>
        <v>0</v>
      </c>
      <c r="G320" s="3">
        <f>Levy!I320</f>
        <v>408815.08</v>
      </c>
      <c r="H320" s="3">
        <f>Levy!J320</f>
        <v>91285.95</v>
      </c>
      <c r="I320" s="154">
        <v>0</v>
      </c>
      <c r="J320" s="19">
        <v>6000</v>
      </c>
      <c r="K320" s="19">
        <v>23752.799999999999</v>
      </c>
      <c r="L320" s="19">
        <v>0</v>
      </c>
      <c r="M320" s="3">
        <v>0</v>
      </c>
      <c r="N320" s="3">
        <v>0</v>
      </c>
      <c r="O320" s="3">
        <v>0</v>
      </c>
      <c r="P320" s="19">
        <v>-5452.9</v>
      </c>
      <c r="Q320" s="19">
        <v>0</v>
      </c>
      <c r="R320" s="19">
        <v>-5573.69</v>
      </c>
      <c r="S320" s="19">
        <v>0</v>
      </c>
      <c r="T320" s="3">
        <v>0</v>
      </c>
      <c r="U320" s="3">
        <v>0</v>
      </c>
      <c r="V320" s="21">
        <v>0</v>
      </c>
      <c r="W320" s="21">
        <v>0</v>
      </c>
      <c r="X320" s="3">
        <v>0</v>
      </c>
      <c r="Y320" s="21">
        <v>41180.28</v>
      </c>
      <c r="Z320" s="154">
        <f>Levy!U320</f>
        <v>0</v>
      </c>
      <c r="AA320" s="3">
        <f>Levy!V320</f>
        <v>0</v>
      </c>
      <c r="AB320" s="3">
        <f t="shared" si="21"/>
        <v>18726.210000000003</v>
      </c>
      <c r="AC320" s="3">
        <f t="shared" si="19"/>
        <v>442370.48</v>
      </c>
      <c r="AD320" s="3">
        <f t="shared" si="20"/>
        <v>91285.95</v>
      </c>
      <c r="AE320" s="3">
        <f>ROUND(MAX(0,(D320-V320)*Shift11!$B$3),2)</f>
        <v>377172.57</v>
      </c>
      <c r="AF320" s="3">
        <f t="shared" si="22"/>
        <v>377172.57</v>
      </c>
    </row>
    <row r="321" spans="1:32" x14ac:dyDescent="0.2">
      <c r="A321" s="18">
        <v>2711</v>
      </c>
      <c r="B321" s="18">
        <v>1</v>
      </c>
      <c r="C321" s="3" t="s">
        <v>318</v>
      </c>
      <c r="D321" s="3">
        <f>Levy!F321</f>
        <v>0</v>
      </c>
      <c r="E321" s="3">
        <f>Levy!G321</f>
        <v>112476.49</v>
      </c>
      <c r="F321" s="3">
        <f>Levy!H321</f>
        <v>0</v>
      </c>
      <c r="G321" s="3">
        <f>Levy!I321</f>
        <v>502922.31</v>
      </c>
      <c r="H321" s="3">
        <f>Levy!J321</f>
        <v>0</v>
      </c>
      <c r="I321" s="154">
        <v>0</v>
      </c>
      <c r="J321" s="19">
        <v>0</v>
      </c>
      <c r="K321" s="19">
        <v>18947</v>
      </c>
      <c r="L321" s="19">
        <v>394140.28</v>
      </c>
      <c r="M321" s="3">
        <v>0</v>
      </c>
      <c r="N321" s="3">
        <v>0</v>
      </c>
      <c r="O321" s="3">
        <v>0</v>
      </c>
      <c r="P321" s="19">
        <v>491.92</v>
      </c>
      <c r="Q321" s="19">
        <v>0</v>
      </c>
      <c r="R321" s="19">
        <v>0</v>
      </c>
      <c r="S321" s="19">
        <v>416259.59</v>
      </c>
      <c r="T321" s="3">
        <v>0</v>
      </c>
      <c r="U321" s="3">
        <v>0</v>
      </c>
      <c r="V321" s="21">
        <v>0</v>
      </c>
      <c r="W321" s="21">
        <v>0</v>
      </c>
      <c r="X321" s="3">
        <v>7178.43</v>
      </c>
      <c r="Y321" s="21">
        <v>76000.399999999994</v>
      </c>
      <c r="Z321" s="154">
        <f>Levy!U321</f>
        <v>0</v>
      </c>
      <c r="AA321" s="3">
        <f>Levy!V321</f>
        <v>0</v>
      </c>
      <c r="AB321" s="3">
        <f t="shared" si="21"/>
        <v>829838.79</v>
      </c>
      <c r="AC321" s="3">
        <f t="shared" si="19"/>
        <v>0</v>
      </c>
      <c r="AD321" s="3">
        <f t="shared" si="20"/>
        <v>0</v>
      </c>
      <c r="AE321" s="3">
        <f>ROUND(MAX(0,(D321-V321)*Shift11!$B$3),2)</f>
        <v>0</v>
      </c>
      <c r="AF321" s="3">
        <f t="shared" si="22"/>
        <v>76000.399999999994</v>
      </c>
    </row>
    <row r="322" spans="1:32" x14ac:dyDescent="0.2">
      <c r="A322" s="18">
        <v>2752</v>
      </c>
      <c r="B322" s="18">
        <v>1</v>
      </c>
      <c r="C322" s="3" t="s">
        <v>319</v>
      </c>
      <c r="D322" s="3">
        <f>Levy!F322</f>
        <v>732588.02</v>
      </c>
      <c r="E322" s="3">
        <f>Levy!G322</f>
        <v>207404.98</v>
      </c>
      <c r="F322" s="3">
        <f>Levy!H322</f>
        <v>0</v>
      </c>
      <c r="G322" s="3">
        <f>Levy!I322</f>
        <v>1256715.81</v>
      </c>
      <c r="H322" s="3">
        <f>Levy!J322</f>
        <v>145133.54999999999</v>
      </c>
      <c r="I322" s="154">
        <v>0</v>
      </c>
      <c r="J322" s="19">
        <v>30310</v>
      </c>
      <c r="K322" s="19">
        <v>41360.339999999997</v>
      </c>
      <c r="L322" s="19">
        <v>0</v>
      </c>
      <c r="M322" s="3">
        <v>0</v>
      </c>
      <c r="N322" s="3">
        <v>0</v>
      </c>
      <c r="O322" s="3">
        <v>0</v>
      </c>
      <c r="P322" s="19">
        <v>-16622.41</v>
      </c>
      <c r="Q322" s="19">
        <v>0</v>
      </c>
      <c r="R322" s="19">
        <v>0</v>
      </c>
      <c r="S322" s="19">
        <v>0</v>
      </c>
      <c r="T322" s="3">
        <v>0</v>
      </c>
      <c r="U322" s="3">
        <v>0</v>
      </c>
      <c r="V322" s="21">
        <v>0</v>
      </c>
      <c r="W322" s="21">
        <v>0</v>
      </c>
      <c r="X322" s="3">
        <v>0</v>
      </c>
      <c r="Y322" s="21">
        <v>54445.41</v>
      </c>
      <c r="Z322" s="154">
        <f>Levy!U322</f>
        <v>0</v>
      </c>
      <c r="AA322" s="3">
        <f>Levy!V322</f>
        <v>0</v>
      </c>
      <c r="AB322" s="3">
        <f t="shared" si="21"/>
        <v>55047.929999999993</v>
      </c>
      <c r="AC322" s="3">
        <f t="shared" si="19"/>
        <v>1409072.86</v>
      </c>
      <c r="AD322" s="3">
        <f t="shared" si="20"/>
        <v>145133.54999999999</v>
      </c>
      <c r="AE322" s="3">
        <f>ROUND(MAX(0,(D322-V322)*Shift11!$B$3),2)</f>
        <v>356037.78</v>
      </c>
      <c r="AF322" s="3">
        <f t="shared" si="22"/>
        <v>356037.78</v>
      </c>
    </row>
    <row r="323" spans="1:32" x14ac:dyDescent="0.2">
      <c r="A323" s="18">
        <v>2753</v>
      </c>
      <c r="B323" s="18">
        <v>1</v>
      </c>
      <c r="C323" s="3" t="s">
        <v>320</v>
      </c>
      <c r="D323" s="3">
        <f>Levy!F323</f>
        <v>588043.82999999996</v>
      </c>
      <c r="E323" s="3">
        <f>Levy!G323</f>
        <v>39938.49</v>
      </c>
      <c r="F323" s="3">
        <f>Levy!H323</f>
        <v>0</v>
      </c>
      <c r="G323" s="3">
        <f>Levy!I323</f>
        <v>563716.51</v>
      </c>
      <c r="H323" s="3">
        <f>Levy!J323</f>
        <v>81507.34</v>
      </c>
      <c r="I323" s="154">
        <v>0</v>
      </c>
      <c r="J323" s="19">
        <v>50000</v>
      </c>
      <c r="K323" s="19">
        <v>74078.570000000007</v>
      </c>
      <c r="L323" s="19">
        <v>0</v>
      </c>
      <c r="M323" s="3">
        <v>0</v>
      </c>
      <c r="N323" s="3">
        <v>0</v>
      </c>
      <c r="O323" s="3">
        <v>0</v>
      </c>
      <c r="P323" s="19">
        <v>-6400.44</v>
      </c>
      <c r="Q323" s="19">
        <v>0</v>
      </c>
      <c r="R323" s="19">
        <v>0</v>
      </c>
      <c r="S323" s="19">
        <v>0</v>
      </c>
      <c r="T323" s="3">
        <v>0</v>
      </c>
      <c r="U323" s="3">
        <v>0</v>
      </c>
      <c r="V323" s="21">
        <v>0</v>
      </c>
      <c r="W323" s="21">
        <v>0</v>
      </c>
      <c r="X323" s="3">
        <v>0</v>
      </c>
      <c r="Y323" s="21">
        <v>61420.61</v>
      </c>
      <c r="Z323" s="154">
        <f>Levy!U323</f>
        <v>0</v>
      </c>
      <c r="AA323" s="3">
        <f>Levy!V323</f>
        <v>0</v>
      </c>
      <c r="AB323" s="3">
        <f t="shared" si="21"/>
        <v>117678.13</v>
      </c>
      <c r="AC323" s="3">
        <f t="shared" si="19"/>
        <v>485976.87</v>
      </c>
      <c r="AD323" s="3">
        <f t="shared" si="20"/>
        <v>81507.34</v>
      </c>
      <c r="AE323" s="3">
        <f>ROUND(MAX(0,(D323-V323)*Shift11!$B$3),2)</f>
        <v>285789.3</v>
      </c>
      <c r="AF323" s="3">
        <f t="shared" si="22"/>
        <v>285789.3</v>
      </c>
    </row>
    <row r="324" spans="1:32" x14ac:dyDescent="0.2">
      <c r="A324" s="18">
        <v>2754</v>
      </c>
      <c r="B324" s="18">
        <v>1</v>
      </c>
      <c r="C324" s="3" t="s">
        <v>321</v>
      </c>
      <c r="D324" s="3">
        <f>Levy!F324</f>
        <v>125588</v>
      </c>
      <c r="E324" s="3">
        <f>Levy!G324</f>
        <v>26422</v>
      </c>
      <c r="F324" s="3">
        <f>Levy!H324</f>
        <v>0</v>
      </c>
      <c r="G324" s="3">
        <f>Levy!I324</f>
        <v>216357</v>
      </c>
      <c r="H324" s="3">
        <f>Levy!J324</f>
        <v>42923</v>
      </c>
      <c r="I324" s="154">
        <v>0</v>
      </c>
      <c r="J324" s="19">
        <v>0</v>
      </c>
      <c r="K324" s="19">
        <v>8425.6</v>
      </c>
      <c r="L324" s="19">
        <v>0</v>
      </c>
      <c r="M324" s="3">
        <v>0</v>
      </c>
      <c r="N324" s="3">
        <v>0</v>
      </c>
      <c r="O324" s="3">
        <v>0</v>
      </c>
      <c r="P324" s="19">
        <v>0</v>
      </c>
      <c r="Q324" s="19">
        <v>0</v>
      </c>
      <c r="R324" s="19">
        <v>-8425.6</v>
      </c>
      <c r="S324" s="19">
        <v>0</v>
      </c>
      <c r="T324" s="3">
        <v>0</v>
      </c>
      <c r="U324" s="3">
        <v>0</v>
      </c>
      <c r="V324" s="21">
        <v>0</v>
      </c>
      <c r="W324" s="21">
        <v>0</v>
      </c>
      <c r="X324" s="3">
        <v>8095.57</v>
      </c>
      <c r="Y324" s="21">
        <v>98018.3</v>
      </c>
      <c r="Z324" s="154">
        <f>Levy!U324</f>
        <v>0</v>
      </c>
      <c r="AA324" s="3">
        <f>Levy!V324</f>
        <v>0</v>
      </c>
      <c r="AB324" s="3">
        <f t="shared" si="21"/>
        <v>0</v>
      </c>
      <c r="AC324" s="3">
        <f t="shared" si="19"/>
        <v>234683.43</v>
      </c>
      <c r="AD324" s="3">
        <f t="shared" si="20"/>
        <v>42923</v>
      </c>
      <c r="AE324" s="3">
        <f>ROUND(MAX(0,(D324-V324)*Shift11!$B$3),2)</f>
        <v>61035.77</v>
      </c>
      <c r="AF324" s="3">
        <f t="shared" si="22"/>
        <v>98018.3</v>
      </c>
    </row>
    <row r="325" spans="1:32" x14ac:dyDescent="0.2">
      <c r="A325" s="18">
        <v>2759</v>
      </c>
      <c r="B325" s="18">
        <v>1</v>
      </c>
      <c r="C325" s="3" t="s">
        <v>322</v>
      </c>
      <c r="D325" s="3">
        <f>Levy!F325</f>
        <v>176498</v>
      </c>
      <c r="E325" s="3">
        <f>Levy!G325</f>
        <v>12792</v>
      </c>
      <c r="F325" s="3">
        <f>Levy!H325</f>
        <v>0</v>
      </c>
      <c r="G325" s="3">
        <f>Levy!I325</f>
        <v>141904</v>
      </c>
      <c r="H325" s="3">
        <f>Levy!J325</f>
        <v>23015</v>
      </c>
      <c r="I325" s="154">
        <v>0</v>
      </c>
      <c r="J325" s="19">
        <v>14000</v>
      </c>
      <c r="K325" s="19">
        <v>21922.79</v>
      </c>
      <c r="L325" s="19">
        <v>0</v>
      </c>
      <c r="M325" s="3">
        <v>0</v>
      </c>
      <c r="N325" s="3">
        <v>0</v>
      </c>
      <c r="O325" s="3">
        <v>0</v>
      </c>
      <c r="P325" s="19">
        <v>-2659.68</v>
      </c>
      <c r="Q325" s="19">
        <v>0</v>
      </c>
      <c r="R325" s="19">
        <v>0</v>
      </c>
      <c r="S325" s="19">
        <v>0</v>
      </c>
      <c r="T325" s="3">
        <v>0</v>
      </c>
      <c r="U325" s="3">
        <v>0</v>
      </c>
      <c r="V325" s="21">
        <v>0</v>
      </c>
      <c r="W325" s="21">
        <v>0</v>
      </c>
      <c r="X325" s="3">
        <v>0</v>
      </c>
      <c r="Y325" s="21">
        <v>12843.72</v>
      </c>
      <c r="Z325" s="154">
        <f>Levy!U325</f>
        <v>0</v>
      </c>
      <c r="AA325" s="3">
        <f>Levy!V325</f>
        <v>0</v>
      </c>
      <c r="AB325" s="3">
        <f t="shared" si="21"/>
        <v>33263.11</v>
      </c>
      <c r="AC325" s="3">
        <f t="shared" si="19"/>
        <v>121432.89</v>
      </c>
      <c r="AD325" s="3">
        <f t="shared" si="20"/>
        <v>23015</v>
      </c>
      <c r="AE325" s="3">
        <f>ROUND(MAX(0,(D325-V325)*Shift11!$B$3),2)</f>
        <v>85778.03</v>
      </c>
      <c r="AF325" s="3">
        <f t="shared" si="22"/>
        <v>85778.03</v>
      </c>
    </row>
    <row r="326" spans="1:32" x14ac:dyDescent="0.2">
      <c r="A326" s="18">
        <v>2805</v>
      </c>
      <c r="B326" s="18">
        <v>1</v>
      </c>
      <c r="C326" s="3" t="s">
        <v>323</v>
      </c>
      <c r="D326" s="3">
        <f>Levy!F326</f>
        <v>1061566</v>
      </c>
      <c r="E326" s="3">
        <f>Levy!G326</f>
        <v>102121</v>
      </c>
      <c r="F326" s="3">
        <f>Levy!H326</f>
        <v>0</v>
      </c>
      <c r="G326" s="3">
        <f>Levy!I326</f>
        <v>431455</v>
      </c>
      <c r="H326" s="3">
        <f>Levy!J326</f>
        <v>130369</v>
      </c>
      <c r="I326" s="154">
        <v>0</v>
      </c>
      <c r="J326" s="19">
        <v>24500</v>
      </c>
      <c r="K326" s="19">
        <v>23512.65</v>
      </c>
      <c r="L326" s="19">
        <v>0</v>
      </c>
      <c r="M326" s="3">
        <v>0</v>
      </c>
      <c r="N326" s="3">
        <v>0</v>
      </c>
      <c r="O326" s="3">
        <v>0</v>
      </c>
      <c r="P326" s="19">
        <v>6532.3</v>
      </c>
      <c r="Q326" s="19">
        <v>0</v>
      </c>
      <c r="R326" s="19">
        <v>0</v>
      </c>
      <c r="S326" s="19">
        <v>0</v>
      </c>
      <c r="T326" s="3">
        <v>0</v>
      </c>
      <c r="U326" s="3">
        <v>0</v>
      </c>
      <c r="V326" s="21">
        <v>0</v>
      </c>
      <c r="W326" s="21">
        <v>0</v>
      </c>
      <c r="X326" s="3">
        <v>0</v>
      </c>
      <c r="Y326" s="21">
        <v>152693.4</v>
      </c>
      <c r="Z326" s="154">
        <f>Levy!U326</f>
        <v>0</v>
      </c>
      <c r="AA326" s="3">
        <f>Levy!V326</f>
        <v>0</v>
      </c>
      <c r="AB326" s="3">
        <f t="shared" si="21"/>
        <v>54544.950000000004</v>
      </c>
      <c r="AC326" s="3">
        <f t="shared" si="19"/>
        <v>479031.05</v>
      </c>
      <c r="AD326" s="3">
        <f t="shared" si="20"/>
        <v>130369</v>
      </c>
      <c r="AE326" s="3">
        <f>ROUND(MAX(0,(D326-V326)*Shift11!$B$3),2)</f>
        <v>515921.08</v>
      </c>
      <c r="AF326" s="3">
        <f t="shared" si="22"/>
        <v>515921.08</v>
      </c>
    </row>
    <row r="327" spans="1:32" x14ac:dyDescent="0.2">
      <c r="A327" s="18">
        <v>2835</v>
      </c>
      <c r="B327" s="18">
        <v>1</v>
      </c>
      <c r="C327" s="3" t="s">
        <v>324</v>
      </c>
      <c r="D327" s="3">
        <f>Levy!F327</f>
        <v>294118</v>
      </c>
      <c r="E327" s="3">
        <f>Levy!G327</f>
        <v>50427</v>
      </c>
      <c r="F327" s="3">
        <f>Levy!H327</f>
        <v>0</v>
      </c>
      <c r="G327" s="3">
        <f>Levy!I327</f>
        <v>198385</v>
      </c>
      <c r="H327" s="3">
        <f>Levy!J327</f>
        <v>60895</v>
      </c>
      <c r="I327" s="154">
        <v>0</v>
      </c>
      <c r="J327" s="19">
        <v>6566.42</v>
      </c>
      <c r="K327" s="19">
        <v>18672.36</v>
      </c>
      <c r="L327" s="19">
        <v>0</v>
      </c>
      <c r="M327" s="3">
        <v>0</v>
      </c>
      <c r="N327" s="3">
        <v>0</v>
      </c>
      <c r="O327" s="3">
        <v>0</v>
      </c>
      <c r="P327" s="19">
        <v>-7846.32</v>
      </c>
      <c r="Q327" s="19">
        <v>0</v>
      </c>
      <c r="R327" s="19">
        <v>0</v>
      </c>
      <c r="S327" s="19">
        <v>0</v>
      </c>
      <c r="T327" s="3">
        <v>0</v>
      </c>
      <c r="U327" s="3">
        <v>0</v>
      </c>
      <c r="V327" s="21">
        <v>0</v>
      </c>
      <c r="W327" s="21">
        <v>0</v>
      </c>
      <c r="X327" s="3">
        <v>0</v>
      </c>
      <c r="Y327" s="21">
        <v>161255.4</v>
      </c>
      <c r="Z327" s="154">
        <f>Levy!U327</f>
        <v>0</v>
      </c>
      <c r="AA327" s="3">
        <f>Levy!V327</f>
        <v>0</v>
      </c>
      <c r="AB327" s="3">
        <f t="shared" si="21"/>
        <v>17392.46</v>
      </c>
      <c r="AC327" s="3">
        <f t="shared" si="19"/>
        <v>231419.54</v>
      </c>
      <c r="AD327" s="3">
        <f t="shared" si="20"/>
        <v>60895</v>
      </c>
      <c r="AE327" s="3">
        <f>ROUND(MAX(0,(D327-V327)*Shift11!$B$3),2)</f>
        <v>142941.35</v>
      </c>
      <c r="AF327" s="3">
        <f t="shared" si="22"/>
        <v>161255.4</v>
      </c>
    </row>
    <row r="328" spans="1:32" x14ac:dyDescent="0.2">
      <c r="A328" s="18">
        <v>2853</v>
      </c>
      <c r="B328" s="18">
        <v>1</v>
      </c>
      <c r="C328" s="3" t="s">
        <v>325</v>
      </c>
      <c r="D328" s="3">
        <f>Levy!F328</f>
        <v>766712.63</v>
      </c>
      <c r="E328" s="3">
        <f>Levy!G328</f>
        <v>44532.639999999999</v>
      </c>
      <c r="F328" s="3">
        <f>Levy!H328</f>
        <v>0</v>
      </c>
      <c r="G328" s="3">
        <f>Levy!I328</f>
        <v>460280.8</v>
      </c>
      <c r="H328" s="3">
        <f>Levy!J328</f>
        <v>123396.2</v>
      </c>
      <c r="I328" s="154">
        <v>0</v>
      </c>
      <c r="J328" s="19">
        <v>0</v>
      </c>
      <c r="K328" s="19">
        <v>30047.08</v>
      </c>
      <c r="L328" s="19">
        <v>0</v>
      </c>
      <c r="M328" s="3">
        <v>0</v>
      </c>
      <c r="N328" s="3">
        <v>0</v>
      </c>
      <c r="O328" s="3">
        <v>0</v>
      </c>
      <c r="P328" s="19">
        <v>-5044.6099999999997</v>
      </c>
      <c r="Q328" s="19">
        <v>0</v>
      </c>
      <c r="R328" s="19">
        <v>0</v>
      </c>
      <c r="S328" s="19">
        <v>0</v>
      </c>
      <c r="T328" s="3">
        <v>0</v>
      </c>
      <c r="U328" s="3">
        <v>0</v>
      </c>
      <c r="V328" s="21">
        <v>0</v>
      </c>
      <c r="W328" s="21">
        <v>0</v>
      </c>
      <c r="X328" s="3">
        <v>642.47</v>
      </c>
      <c r="Y328" s="21">
        <v>88378.21</v>
      </c>
      <c r="Z328" s="154">
        <f>Levy!U328</f>
        <v>0</v>
      </c>
      <c r="AA328" s="3">
        <f>Levy!V328</f>
        <v>0</v>
      </c>
      <c r="AB328" s="3">
        <f t="shared" si="21"/>
        <v>25002.47</v>
      </c>
      <c r="AC328" s="3">
        <f t="shared" ref="AC328:AC344" si="23">ROUND(MAX(E328+F328+G328-Z328-W328-X328-AB328,0),2)</f>
        <v>479168.5</v>
      </c>
      <c r="AD328" s="3">
        <f t="shared" ref="AD328:AD344" si="24">ROUND(MAX(H328-U328-AA328,0),2)</f>
        <v>123396.2</v>
      </c>
      <c r="AE328" s="3">
        <f>ROUND(MAX(0,(D328-V328)*Shift11!$B$3),2)</f>
        <v>372622.34</v>
      </c>
      <c r="AF328" s="3">
        <f t="shared" si="22"/>
        <v>372622.34</v>
      </c>
    </row>
    <row r="329" spans="1:32" x14ac:dyDescent="0.2">
      <c r="A329" s="18">
        <v>2854</v>
      </c>
      <c r="B329" s="18">
        <v>1</v>
      </c>
      <c r="C329" s="3" t="s">
        <v>326</v>
      </c>
      <c r="D329" s="3">
        <f>Levy!F329</f>
        <v>172014.71</v>
      </c>
      <c r="E329" s="3">
        <f>Levy!G329</f>
        <v>28697.85</v>
      </c>
      <c r="F329" s="3">
        <f>Levy!H329</f>
        <v>0</v>
      </c>
      <c r="G329" s="3">
        <f>Levy!I329</f>
        <v>138153.63</v>
      </c>
      <c r="H329" s="3">
        <f>Levy!J329</f>
        <v>32806.58</v>
      </c>
      <c r="I329" s="154">
        <v>0</v>
      </c>
      <c r="J329" s="19">
        <v>2000</v>
      </c>
      <c r="K329" s="19">
        <v>0</v>
      </c>
      <c r="L329" s="19">
        <v>0</v>
      </c>
      <c r="M329" s="3">
        <v>0</v>
      </c>
      <c r="N329" s="3">
        <v>0</v>
      </c>
      <c r="O329" s="3">
        <v>0</v>
      </c>
      <c r="P329" s="19">
        <v>-2000</v>
      </c>
      <c r="Q329" s="19">
        <v>-2000</v>
      </c>
      <c r="R329" s="19">
        <v>0</v>
      </c>
      <c r="S329" s="19">
        <v>0</v>
      </c>
      <c r="T329" s="3">
        <v>0</v>
      </c>
      <c r="U329" s="3">
        <v>0</v>
      </c>
      <c r="V329" s="21">
        <v>0</v>
      </c>
      <c r="W329" s="21">
        <v>0</v>
      </c>
      <c r="X329" s="3">
        <v>0</v>
      </c>
      <c r="Y329" s="21">
        <v>40913.339999999997</v>
      </c>
      <c r="Z329" s="154">
        <f>Levy!U329</f>
        <v>0</v>
      </c>
      <c r="AA329" s="3">
        <f>Levy!V329</f>
        <v>0</v>
      </c>
      <c r="AB329" s="3">
        <f t="shared" si="21"/>
        <v>-2000</v>
      </c>
      <c r="AC329" s="3">
        <f t="shared" si="23"/>
        <v>168851.48</v>
      </c>
      <c r="AD329" s="3">
        <f t="shared" si="24"/>
        <v>32806.58</v>
      </c>
      <c r="AE329" s="3">
        <f>ROUND(MAX(0,(D329-V329)*Shift11!$B$3),2)</f>
        <v>83599.149999999994</v>
      </c>
      <c r="AF329" s="3">
        <f t="shared" si="22"/>
        <v>83599.149999999994</v>
      </c>
    </row>
    <row r="330" spans="1:32" x14ac:dyDescent="0.2">
      <c r="A330" s="18">
        <v>2856</v>
      </c>
      <c r="B330" s="18">
        <v>1</v>
      </c>
      <c r="C330" s="3" t="s">
        <v>327</v>
      </c>
      <c r="D330" s="3">
        <f>Levy!F330</f>
        <v>214836</v>
      </c>
      <c r="E330" s="3">
        <f>Levy!G330</f>
        <v>16224</v>
      </c>
      <c r="F330" s="3">
        <f>Levy!H330</f>
        <v>0</v>
      </c>
      <c r="G330" s="3">
        <f>Levy!I330</f>
        <v>211739</v>
      </c>
      <c r="H330" s="3">
        <f>Levy!J330</f>
        <v>47279</v>
      </c>
      <c r="I330" s="154">
        <v>0</v>
      </c>
      <c r="J330" s="19">
        <v>5000</v>
      </c>
      <c r="K330" s="19">
        <v>10000</v>
      </c>
      <c r="L330" s="19">
        <v>0</v>
      </c>
      <c r="M330" s="3">
        <v>0</v>
      </c>
      <c r="N330" s="3">
        <v>0</v>
      </c>
      <c r="O330" s="3">
        <v>0</v>
      </c>
      <c r="P330" s="19">
        <v>-9093.7199999999993</v>
      </c>
      <c r="Q330" s="19">
        <v>0</v>
      </c>
      <c r="R330" s="19">
        <v>0</v>
      </c>
      <c r="S330" s="19">
        <v>0</v>
      </c>
      <c r="T330" s="3">
        <v>0</v>
      </c>
      <c r="U330" s="3">
        <v>0</v>
      </c>
      <c r="V330" s="21">
        <v>0</v>
      </c>
      <c r="W330" s="21">
        <v>0</v>
      </c>
      <c r="X330" s="3">
        <v>2021.24</v>
      </c>
      <c r="Y330" s="21">
        <v>122060.62</v>
      </c>
      <c r="Z330" s="154">
        <f>Levy!U330</f>
        <v>0</v>
      </c>
      <c r="AA330" s="3">
        <f>Levy!V330</f>
        <v>0</v>
      </c>
      <c r="AB330" s="3">
        <f t="shared" si="21"/>
        <v>5906.2800000000007</v>
      </c>
      <c r="AC330" s="3">
        <f t="shared" si="23"/>
        <v>220035.48</v>
      </c>
      <c r="AD330" s="3">
        <f t="shared" si="24"/>
        <v>47279</v>
      </c>
      <c r="AE330" s="3">
        <f>ROUND(MAX(0,(D330-V330)*Shift11!$B$3),2)</f>
        <v>104410.3</v>
      </c>
      <c r="AF330" s="3">
        <f t="shared" si="22"/>
        <v>122060.62</v>
      </c>
    </row>
    <row r="331" spans="1:32" x14ac:dyDescent="0.2">
      <c r="A331" s="18">
        <v>2859</v>
      </c>
      <c r="B331" s="18">
        <v>1</v>
      </c>
      <c r="C331" s="3" t="s">
        <v>328</v>
      </c>
      <c r="D331" s="3">
        <f>Levy!F331</f>
        <v>1203630.82</v>
      </c>
      <c r="E331" s="3">
        <f>Levy!G331</f>
        <v>189313.95</v>
      </c>
      <c r="F331" s="3">
        <f>Levy!H331</f>
        <v>0</v>
      </c>
      <c r="G331" s="3">
        <f>Levy!I331</f>
        <v>559255.1</v>
      </c>
      <c r="H331" s="3">
        <f>Levy!J331</f>
        <v>168532.08</v>
      </c>
      <c r="I331" s="154">
        <v>0</v>
      </c>
      <c r="J331" s="19">
        <v>25000</v>
      </c>
      <c r="K331" s="19">
        <v>34842.400000000001</v>
      </c>
      <c r="L331" s="19">
        <v>0</v>
      </c>
      <c r="M331" s="3">
        <v>0</v>
      </c>
      <c r="N331" s="3">
        <v>0</v>
      </c>
      <c r="O331" s="3">
        <v>0</v>
      </c>
      <c r="P331" s="19">
        <v>-28863.88</v>
      </c>
      <c r="Q331" s="19">
        <v>0</v>
      </c>
      <c r="R331" s="19">
        <v>-9679.5499999999993</v>
      </c>
      <c r="S331" s="19">
        <v>0</v>
      </c>
      <c r="T331" s="3">
        <v>0</v>
      </c>
      <c r="U331" s="3">
        <v>0</v>
      </c>
      <c r="V331" s="21">
        <v>0</v>
      </c>
      <c r="W331" s="21">
        <v>0</v>
      </c>
      <c r="X331" s="3">
        <f>0+3949.77</f>
        <v>3949.77</v>
      </c>
      <c r="Y331" s="21">
        <f>152280.16+16073.06</f>
        <v>168353.22</v>
      </c>
      <c r="Z331" s="154">
        <f>Levy!U331</f>
        <v>0</v>
      </c>
      <c r="AA331" s="3">
        <f>Levy!V331</f>
        <v>0</v>
      </c>
      <c r="AB331" s="3">
        <f t="shared" si="21"/>
        <v>21298.97</v>
      </c>
      <c r="AC331" s="3">
        <f t="shared" si="23"/>
        <v>723320.31</v>
      </c>
      <c r="AD331" s="3">
        <f t="shared" si="24"/>
        <v>168532.08</v>
      </c>
      <c r="AE331" s="3">
        <f>ROUND(MAX(0,(D331-V331)*Shift11!$B$3),2)</f>
        <v>584964.57999999996</v>
      </c>
      <c r="AF331" s="3">
        <f t="shared" si="22"/>
        <v>584964.57999999996</v>
      </c>
    </row>
    <row r="332" spans="1:32" x14ac:dyDescent="0.2">
      <c r="A332" s="18">
        <v>2860</v>
      </c>
      <c r="B332" s="18">
        <v>1</v>
      </c>
      <c r="C332" s="3" t="s">
        <v>329</v>
      </c>
      <c r="D332" s="3">
        <f>Levy!F332</f>
        <v>473965.62</v>
      </c>
      <c r="E332" s="3">
        <f>Levy!G332</f>
        <v>75468.91</v>
      </c>
      <c r="F332" s="3">
        <f>Levy!H332</f>
        <v>0</v>
      </c>
      <c r="G332" s="3">
        <f>Levy!I332</f>
        <v>472151.61</v>
      </c>
      <c r="H332" s="3">
        <f>Levy!J332</f>
        <v>128247.84</v>
      </c>
      <c r="I332" s="154">
        <v>0</v>
      </c>
      <c r="J332" s="19">
        <v>0</v>
      </c>
      <c r="K332" s="19">
        <v>0</v>
      </c>
      <c r="L332" s="19">
        <v>0</v>
      </c>
      <c r="M332" s="3">
        <v>0</v>
      </c>
      <c r="N332" s="3">
        <v>0</v>
      </c>
      <c r="O332" s="3">
        <v>0</v>
      </c>
      <c r="P332" s="19">
        <v>1425.25</v>
      </c>
      <c r="Q332" s="19">
        <v>-1425.25</v>
      </c>
      <c r="R332" s="19">
        <v>0</v>
      </c>
      <c r="S332" s="19">
        <v>0</v>
      </c>
      <c r="T332" s="3">
        <v>0</v>
      </c>
      <c r="U332" s="3">
        <v>0</v>
      </c>
      <c r="V332" s="21">
        <v>0</v>
      </c>
      <c r="W332" s="21">
        <v>0</v>
      </c>
      <c r="X332" s="3">
        <v>0</v>
      </c>
      <c r="Y332" s="21">
        <v>161661.34</v>
      </c>
      <c r="Z332" s="154">
        <f>Levy!U332</f>
        <v>0</v>
      </c>
      <c r="AA332" s="3">
        <f>Levy!V332</f>
        <v>0</v>
      </c>
      <c r="AB332" s="3">
        <f t="shared" si="21"/>
        <v>0</v>
      </c>
      <c r="AC332" s="3">
        <f t="shared" si="23"/>
        <v>547620.52</v>
      </c>
      <c r="AD332" s="3">
        <f t="shared" si="24"/>
        <v>128247.84</v>
      </c>
      <c r="AE332" s="3">
        <f>ROUND(MAX(0,(D332-V332)*Shift11!$B$3),2)</f>
        <v>230347.29</v>
      </c>
      <c r="AF332" s="3">
        <f t="shared" si="22"/>
        <v>230347.29</v>
      </c>
    </row>
    <row r="333" spans="1:32" x14ac:dyDescent="0.2">
      <c r="A333" s="18">
        <v>2884</v>
      </c>
      <c r="B333" s="18">
        <v>1</v>
      </c>
      <c r="C333" s="3" t="s">
        <v>330</v>
      </c>
      <c r="D333" s="3">
        <f>Levy!F333</f>
        <v>550683</v>
      </c>
      <c r="E333" s="3">
        <f>Levy!G333</f>
        <v>14276</v>
      </c>
      <c r="F333" s="3">
        <f>Levy!H333</f>
        <v>0</v>
      </c>
      <c r="G333" s="3">
        <f>Levy!I333</f>
        <v>266865</v>
      </c>
      <c r="H333" s="3">
        <f>Levy!J333</f>
        <v>20601</v>
      </c>
      <c r="I333" s="154">
        <v>0</v>
      </c>
      <c r="J333" s="19">
        <v>0</v>
      </c>
      <c r="K333" s="19">
        <v>0</v>
      </c>
      <c r="L333" s="19">
        <v>0</v>
      </c>
      <c r="M333" s="3">
        <v>0</v>
      </c>
      <c r="N333" s="3">
        <v>0</v>
      </c>
      <c r="O333" s="3">
        <v>0</v>
      </c>
      <c r="P333" s="19">
        <v>0</v>
      </c>
      <c r="Q333" s="19">
        <v>0</v>
      </c>
      <c r="R333" s="19">
        <v>0</v>
      </c>
      <c r="S333" s="19">
        <v>0</v>
      </c>
      <c r="T333" s="3">
        <v>0</v>
      </c>
      <c r="U333" s="3">
        <v>0</v>
      </c>
      <c r="V333" s="21">
        <v>0</v>
      </c>
      <c r="W333" s="21">
        <v>0</v>
      </c>
      <c r="X333" s="3">
        <v>16313.15</v>
      </c>
      <c r="Y333" s="21">
        <v>56094.94</v>
      </c>
      <c r="Z333" s="154">
        <f>Levy!U333</f>
        <v>0</v>
      </c>
      <c r="AA333" s="3">
        <f>Levy!V333</f>
        <v>0</v>
      </c>
      <c r="AB333" s="3">
        <f t="shared" si="21"/>
        <v>0</v>
      </c>
      <c r="AC333" s="3">
        <f t="shared" si="23"/>
        <v>264827.84999999998</v>
      </c>
      <c r="AD333" s="3">
        <f t="shared" si="24"/>
        <v>20601</v>
      </c>
      <c r="AE333" s="3">
        <f>ROUND(MAX(0,(D333-V333)*Shift11!$B$3),2)</f>
        <v>267631.94</v>
      </c>
      <c r="AF333" s="3">
        <f t="shared" si="22"/>
        <v>267631.94</v>
      </c>
    </row>
    <row r="334" spans="1:32" x14ac:dyDescent="0.2">
      <c r="A334" s="18">
        <v>2886</v>
      </c>
      <c r="B334" s="18">
        <v>1</v>
      </c>
      <c r="C334" s="3" t="s">
        <v>331</v>
      </c>
      <c r="D334" s="3">
        <f>Levy!F334</f>
        <v>219229.06</v>
      </c>
      <c r="E334" s="3">
        <f>Levy!G334</f>
        <v>26560.33</v>
      </c>
      <c r="F334" s="3">
        <f>Levy!H334</f>
        <v>0</v>
      </c>
      <c r="G334" s="3">
        <f>Levy!I334</f>
        <v>179070.48</v>
      </c>
      <c r="H334" s="3">
        <f>Levy!J334</f>
        <v>23392.79</v>
      </c>
      <c r="I334" s="154">
        <v>0</v>
      </c>
      <c r="J334" s="19">
        <v>16000</v>
      </c>
      <c r="K334" s="19">
        <v>7424.8</v>
      </c>
      <c r="L334" s="19">
        <v>0</v>
      </c>
      <c r="M334" s="3">
        <v>0</v>
      </c>
      <c r="N334" s="3">
        <v>0</v>
      </c>
      <c r="O334" s="3">
        <v>0</v>
      </c>
      <c r="P334" s="19">
        <v>-32206.6</v>
      </c>
      <c r="Q334" s="19">
        <v>0</v>
      </c>
      <c r="R334" s="19">
        <v>0</v>
      </c>
      <c r="S334" s="19">
        <v>0</v>
      </c>
      <c r="T334" s="3">
        <v>0</v>
      </c>
      <c r="U334" s="3">
        <v>0</v>
      </c>
      <c r="V334" s="21">
        <v>0</v>
      </c>
      <c r="W334" s="21">
        <v>0</v>
      </c>
      <c r="X334" s="3">
        <v>519.49</v>
      </c>
      <c r="Y334" s="21">
        <v>122081.61</v>
      </c>
      <c r="Z334" s="154">
        <f>Levy!U334</f>
        <v>0</v>
      </c>
      <c r="AA334" s="3">
        <f>Levy!V334</f>
        <v>0</v>
      </c>
      <c r="AB334" s="3">
        <f t="shared" si="21"/>
        <v>-8781.7999999999993</v>
      </c>
      <c r="AC334" s="3">
        <f t="shared" si="23"/>
        <v>213893.12</v>
      </c>
      <c r="AD334" s="3">
        <f t="shared" si="24"/>
        <v>23392.79</v>
      </c>
      <c r="AE334" s="3">
        <f>ROUND(MAX(0,(D334-V334)*Shift11!$B$3),2)</f>
        <v>106545.32</v>
      </c>
      <c r="AF334" s="3">
        <f t="shared" si="22"/>
        <v>122081.61</v>
      </c>
    </row>
    <row r="335" spans="1:32" x14ac:dyDescent="0.2">
      <c r="A335" s="18">
        <v>2888</v>
      </c>
      <c r="B335" s="18">
        <v>1</v>
      </c>
      <c r="C335" s="3" t="s">
        <v>332</v>
      </c>
      <c r="D335" s="3">
        <f>Levy!F335</f>
        <v>230060.21</v>
      </c>
      <c r="E335" s="3">
        <f>Levy!G335</f>
        <v>12256.42</v>
      </c>
      <c r="F335" s="3">
        <f>Levy!H335</f>
        <v>0</v>
      </c>
      <c r="G335" s="3">
        <f>Levy!I335</f>
        <v>152012.43</v>
      </c>
      <c r="H335" s="3">
        <f>Levy!J335</f>
        <v>34017.919999999998</v>
      </c>
      <c r="I335" s="154">
        <v>0</v>
      </c>
      <c r="J335" s="19">
        <v>3768</v>
      </c>
      <c r="K335" s="19">
        <v>10218.49</v>
      </c>
      <c r="L335" s="19">
        <v>0</v>
      </c>
      <c r="M335" s="3">
        <v>0</v>
      </c>
      <c r="N335" s="3">
        <v>0</v>
      </c>
      <c r="O335" s="3">
        <v>0</v>
      </c>
      <c r="P335" s="19">
        <v>-13582.88</v>
      </c>
      <c r="Q335" s="19">
        <v>0</v>
      </c>
      <c r="R335" s="19">
        <v>0</v>
      </c>
      <c r="S335" s="19">
        <v>0</v>
      </c>
      <c r="T335" s="3">
        <v>0</v>
      </c>
      <c r="U335" s="3">
        <v>0</v>
      </c>
      <c r="V335" s="21">
        <v>0</v>
      </c>
      <c r="W335" s="21">
        <v>0</v>
      </c>
      <c r="X335" s="3">
        <v>5805.07</v>
      </c>
      <c r="Y335" s="21">
        <v>38564.47</v>
      </c>
      <c r="Z335" s="154">
        <f>Levy!U335</f>
        <v>0</v>
      </c>
      <c r="AA335" s="3">
        <f>Levy!V335</f>
        <v>0</v>
      </c>
      <c r="AB335" s="3">
        <f t="shared" si="21"/>
        <v>403.61000000000058</v>
      </c>
      <c r="AC335" s="3">
        <f t="shared" si="23"/>
        <v>158060.17000000001</v>
      </c>
      <c r="AD335" s="3">
        <f t="shared" si="24"/>
        <v>34017.919999999998</v>
      </c>
      <c r="AE335" s="3">
        <f>ROUND(MAX(0,(D335-V335)*Shift11!$B$3),2)</f>
        <v>111809.26</v>
      </c>
      <c r="AF335" s="3">
        <f t="shared" si="22"/>
        <v>111809.26</v>
      </c>
    </row>
    <row r="336" spans="1:32" x14ac:dyDescent="0.2">
      <c r="A336" s="18">
        <v>2889</v>
      </c>
      <c r="B336" s="18">
        <v>1</v>
      </c>
      <c r="C336" s="3" t="s">
        <v>333</v>
      </c>
      <c r="D336" s="3">
        <f>Levy!F336</f>
        <v>564460.1</v>
      </c>
      <c r="E336" s="3">
        <f>Levy!G336</f>
        <v>54881.26</v>
      </c>
      <c r="F336" s="3">
        <f>Levy!H336</f>
        <v>0</v>
      </c>
      <c r="G336" s="3">
        <f>Levy!I336</f>
        <v>281911.45</v>
      </c>
      <c r="H336" s="3">
        <f>Levy!J336</f>
        <v>69633.98</v>
      </c>
      <c r="I336" s="154">
        <v>0</v>
      </c>
      <c r="J336" s="19">
        <v>5000</v>
      </c>
      <c r="K336" s="19">
        <v>13494.12</v>
      </c>
      <c r="L336" s="19">
        <v>0</v>
      </c>
      <c r="M336" s="3">
        <v>0</v>
      </c>
      <c r="N336" s="3">
        <v>0</v>
      </c>
      <c r="O336" s="3">
        <v>0</v>
      </c>
      <c r="P336" s="19">
        <v>9967.98</v>
      </c>
      <c r="Q336" s="19">
        <v>0</v>
      </c>
      <c r="R336" s="19">
        <v>0</v>
      </c>
      <c r="S336" s="19">
        <v>0</v>
      </c>
      <c r="T336" s="3">
        <v>0</v>
      </c>
      <c r="U336" s="3">
        <v>0</v>
      </c>
      <c r="V336" s="21">
        <v>0</v>
      </c>
      <c r="W336" s="21">
        <v>0</v>
      </c>
      <c r="X336" s="3">
        <v>11121.56</v>
      </c>
      <c r="Y336" s="21">
        <v>70465.440000000002</v>
      </c>
      <c r="Z336" s="154">
        <f>Levy!U336</f>
        <v>0</v>
      </c>
      <c r="AA336" s="3">
        <f>Levy!V336</f>
        <v>0</v>
      </c>
      <c r="AB336" s="3">
        <f t="shared" si="21"/>
        <v>28462.100000000002</v>
      </c>
      <c r="AC336" s="3">
        <f t="shared" si="23"/>
        <v>297209.05</v>
      </c>
      <c r="AD336" s="3">
        <f t="shared" si="24"/>
        <v>69633.98</v>
      </c>
      <c r="AE336" s="3">
        <f>ROUND(MAX(0,(D336-V336)*Shift11!$B$3),2)</f>
        <v>274327.61</v>
      </c>
      <c r="AF336" s="3">
        <f t="shared" si="22"/>
        <v>274327.61</v>
      </c>
    </row>
    <row r="337" spans="1:32" x14ac:dyDescent="0.2">
      <c r="A337" s="18">
        <v>2890</v>
      </c>
      <c r="B337" s="18">
        <v>1</v>
      </c>
      <c r="C337" s="3" t="s">
        <v>334</v>
      </c>
      <c r="D337" s="3">
        <f>Levy!F337</f>
        <v>1041455.99</v>
      </c>
      <c r="E337" s="3">
        <f>Levy!G337</f>
        <v>17927.28</v>
      </c>
      <c r="F337" s="3">
        <f>Levy!H337</f>
        <v>0</v>
      </c>
      <c r="G337" s="3">
        <f>Levy!I337</f>
        <v>259783.33</v>
      </c>
      <c r="H337" s="3">
        <f>Levy!J337</f>
        <v>64806.53</v>
      </c>
      <c r="I337" s="154">
        <v>0</v>
      </c>
      <c r="J337" s="19">
        <v>0</v>
      </c>
      <c r="K337" s="19">
        <v>13037.38</v>
      </c>
      <c r="L337" s="19">
        <v>0</v>
      </c>
      <c r="M337" s="3">
        <v>0</v>
      </c>
      <c r="N337" s="3">
        <v>0</v>
      </c>
      <c r="O337" s="3">
        <v>0</v>
      </c>
      <c r="P337" s="19">
        <v>2389.5300000000002</v>
      </c>
      <c r="Q337" s="19">
        <v>0</v>
      </c>
      <c r="R337" s="19">
        <v>0</v>
      </c>
      <c r="S337" s="19">
        <v>0</v>
      </c>
      <c r="T337" s="3">
        <v>0</v>
      </c>
      <c r="U337" s="3">
        <v>0</v>
      </c>
      <c r="V337" s="21">
        <v>0</v>
      </c>
      <c r="W337" s="21">
        <v>0</v>
      </c>
      <c r="X337" s="3">
        <v>0</v>
      </c>
      <c r="Y337" s="21">
        <v>202355.05</v>
      </c>
      <c r="Z337" s="154">
        <f>Levy!U337</f>
        <v>0</v>
      </c>
      <c r="AA337" s="3">
        <f>Levy!V337</f>
        <v>0</v>
      </c>
      <c r="AB337" s="3">
        <f t="shared" si="21"/>
        <v>15426.91</v>
      </c>
      <c r="AC337" s="3">
        <f t="shared" si="23"/>
        <v>262283.7</v>
      </c>
      <c r="AD337" s="3">
        <f t="shared" si="24"/>
        <v>64806.53</v>
      </c>
      <c r="AE337" s="3">
        <f>ROUND(MAX(0,(D337-V337)*Shift11!$B$3),2)</f>
        <v>506147.61</v>
      </c>
      <c r="AF337" s="3">
        <f t="shared" si="22"/>
        <v>506147.61</v>
      </c>
    </row>
    <row r="338" spans="1:32" x14ac:dyDescent="0.2">
      <c r="A338" s="18">
        <v>2895</v>
      </c>
      <c r="B338" s="18">
        <v>1</v>
      </c>
      <c r="C338" s="3" t="s">
        <v>335</v>
      </c>
      <c r="D338" s="3">
        <f>Levy!F338</f>
        <v>956741</v>
      </c>
      <c r="E338" s="3">
        <f>Levy!G338</f>
        <v>69137</v>
      </c>
      <c r="F338" s="3">
        <f>Levy!H338</f>
        <v>0</v>
      </c>
      <c r="G338" s="3">
        <f>Levy!I338</f>
        <v>521446</v>
      </c>
      <c r="H338" s="3">
        <f>Levy!J338</f>
        <v>120421</v>
      </c>
      <c r="I338" s="154">
        <v>0</v>
      </c>
      <c r="J338" s="19">
        <v>5000</v>
      </c>
      <c r="K338" s="19">
        <v>22982.400000000001</v>
      </c>
      <c r="L338" s="19">
        <v>0</v>
      </c>
      <c r="M338" s="3">
        <v>0</v>
      </c>
      <c r="N338" s="3">
        <v>0</v>
      </c>
      <c r="O338" s="3">
        <v>0</v>
      </c>
      <c r="P338" s="19">
        <v>5403.2</v>
      </c>
      <c r="Q338" s="19">
        <v>0</v>
      </c>
      <c r="R338" s="19">
        <v>-1951.35</v>
      </c>
      <c r="S338" s="19">
        <v>0</v>
      </c>
      <c r="T338" s="3">
        <v>0</v>
      </c>
      <c r="U338" s="3">
        <v>0</v>
      </c>
      <c r="V338" s="21">
        <v>0</v>
      </c>
      <c r="W338" s="21">
        <v>0</v>
      </c>
      <c r="X338" s="3">
        <v>13469.21</v>
      </c>
      <c r="Y338" s="21">
        <v>40827.550000000003</v>
      </c>
      <c r="Z338" s="154">
        <f>Levy!U338</f>
        <v>0</v>
      </c>
      <c r="AA338" s="3">
        <f>Levy!V338</f>
        <v>0</v>
      </c>
      <c r="AB338" s="3">
        <f t="shared" si="21"/>
        <v>31434.25</v>
      </c>
      <c r="AC338" s="3">
        <f t="shared" si="23"/>
        <v>545679.54</v>
      </c>
      <c r="AD338" s="3">
        <f t="shared" si="24"/>
        <v>120421</v>
      </c>
      <c r="AE338" s="3">
        <f>ROUND(MAX(0,(D338-V338)*Shift11!$B$3),2)</f>
        <v>464976.13</v>
      </c>
      <c r="AF338" s="3">
        <f t="shared" si="22"/>
        <v>464976.13</v>
      </c>
    </row>
    <row r="339" spans="1:32" x14ac:dyDescent="0.2">
      <c r="A339" s="18">
        <v>2897</v>
      </c>
      <c r="B339" s="18">
        <v>1</v>
      </c>
      <c r="C339" s="3" t="s">
        <v>336</v>
      </c>
      <c r="D339" s="3">
        <f>Levy!F339</f>
        <v>373155</v>
      </c>
      <c r="E339" s="3">
        <f>Levy!G339</f>
        <v>94565</v>
      </c>
      <c r="F339" s="3">
        <f>Levy!H339</f>
        <v>0</v>
      </c>
      <c r="G339" s="3">
        <f>Levy!I339</f>
        <v>275131</v>
      </c>
      <c r="H339" s="3">
        <f>Levy!J339</f>
        <v>108758</v>
      </c>
      <c r="I339" s="154">
        <v>0</v>
      </c>
      <c r="J339" s="19">
        <v>0</v>
      </c>
      <c r="K339" s="19">
        <v>0</v>
      </c>
      <c r="L339" s="19">
        <v>0</v>
      </c>
      <c r="M339" s="3">
        <v>0</v>
      </c>
      <c r="N339" s="3">
        <v>0</v>
      </c>
      <c r="O339" s="3">
        <v>0</v>
      </c>
      <c r="P339" s="19">
        <v>10313.73</v>
      </c>
      <c r="Q339" s="19">
        <v>-7827.43</v>
      </c>
      <c r="R339" s="19">
        <v>0</v>
      </c>
      <c r="S339" s="19">
        <v>0</v>
      </c>
      <c r="T339" s="3">
        <v>0</v>
      </c>
      <c r="U339" s="3">
        <v>0</v>
      </c>
      <c r="V339" s="21">
        <v>0</v>
      </c>
      <c r="W339" s="21">
        <v>0</v>
      </c>
      <c r="X339" s="3">
        <v>0</v>
      </c>
      <c r="Y339" s="21">
        <v>0</v>
      </c>
      <c r="Z339" s="154">
        <f>Levy!U339</f>
        <v>0</v>
      </c>
      <c r="AA339" s="3">
        <f>Levy!V339</f>
        <v>0</v>
      </c>
      <c r="AB339" s="3">
        <f t="shared" si="21"/>
        <v>2486.2999999999993</v>
      </c>
      <c r="AC339" s="3">
        <f t="shared" si="23"/>
        <v>367209.7</v>
      </c>
      <c r="AD339" s="3">
        <f t="shared" si="24"/>
        <v>108758</v>
      </c>
      <c r="AE339" s="3">
        <f>ROUND(MAX(0,(D339-V339)*Shift11!$B$3),2)</f>
        <v>181353.33</v>
      </c>
      <c r="AF339" s="3">
        <f t="shared" si="22"/>
        <v>181353.33</v>
      </c>
    </row>
    <row r="340" spans="1:32" x14ac:dyDescent="0.2">
      <c r="A340" s="18">
        <v>2898</v>
      </c>
      <c r="B340" s="18">
        <v>1</v>
      </c>
      <c r="C340" s="3" t="s">
        <v>337</v>
      </c>
      <c r="D340" s="3">
        <f>Levy!F340</f>
        <v>138690</v>
      </c>
      <c r="E340" s="3">
        <f>Levy!G340</f>
        <v>40067</v>
      </c>
      <c r="F340" s="3">
        <f>Levy!H340</f>
        <v>0</v>
      </c>
      <c r="G340" s="3">
        <f>Levy!I340</f>
        <v>233051</v>
      </c>
      <c r="H340" s="3">
        <f>Levy!J340</f>
        <v>39019</v>
      </c>
      <c r="I340" s="154">
        <v>0</v>
      </c>
      <c r="J340" s="19">
        <v>10000</v>
      </c>
      <c r="K340" s="19">
        <v>12140.8</v>
      </c>
      <c r="L340" s="19">
        <v>0</v>
      </c>
      <c r="M340" s="3">
        <v>0</v>
      </c>
      <c r="N340" s="3">
        <v>0</v>
      </c>
      <c r="O340" s="3">
        <v>0</v>
      </c>
      <c r="P340" s="19">
        <v>1805.42</v>
      </c>
      <c r="Q340" s="19">
        <v>0</v>
      </c>
      <c r="R340" s="19">
        <v>488</v>
      </c>
      <c r="S340" s="19">
        <v>0</v>
      </c>
      <c r="T340" s="3">
        <v>0</v>
      </c>
      <c r="U340" s="3">
        <v>0</v>
      </c>
      <c r="V340" s="21">
        <v>0</v>
      </c>
      <c r="W340" s="21">
        <v>0</v>
      </c>
      <c r="X340" s="3">
        <v>0</v>
      </c>
      <c r="Y340" s="21">
        <v>115844.14</v>
      </c>
      <c r="Z340" s="154">
        <f>Levy!U340</f>
        <v>0</v>
      </c>
      <c r="AA340" s="3">
        <f>Levy!V340</f>
        <v>0</v>
      </c>
      <c r="AB340" s="3">
        <f t="shared" si="21"/>
        <v>24434.22</v>
      </c>
      <c r="AC340" s="3">
        <f t="shared" si="23"/>
        <v>248683.78</v>
      </c>
      <c r="AD340" s="3">
        <f t="shared" si="24"/>
        <v>39019</v>
      </c>
      <c r="AE340" s="3">
        <f>ROUND(MAX(0,(D340-V340)*Shift11!$B$3),2)</f>
        <v>67403.34</v>
      </c>
      <c r="AF340" s="3">
        <f t="shared" si="22"/>
        <v>115844.14</v>
      </c>
    </row>
    <row r="341" spans="1:32" x14ac:dyDescent="0.2">
      <c r="A341" s="18">
        <v>2899</v>
      </c>
      <c r="B341" s="18">
        <v>1</v>
      </c>
      <c r="C341" s="3" t="s">
        <v>503</v>
      </c>
      <c r="D341" s="3">
        <f>Levy!F341</f>
        <v>304383</v>
      </c>
      <c r="E341" s="3">
        <f>Levy!G341</f>
        <v>127677</v>
      </c>
      <c r="F341" s="3">
        <f>Levy!H341</f>
        <v>0</v>
      </c>
      <c r="G341" s="3">
        <f>Levy!I341</f>
        <v>437589</v>
      </c>
      <c r="H341" s="3">
        <f>Levy!J341</f>
        <v>75903</v>
      </c>
      <c r="I341" s="154">
        <v>0</v>
      </c>
      <c r="J341" s="19">
        <v>5000</v>
      </c>
      <c r="K341" s="19">
        <v>32996.800000000003</v>
      </c>
      <c r="L341" s="19">
        <v>0</v>
      </c>
      <c r="M341" s="3">
        <v>0</v>
      </c>
      <c r="N341" s="3">
        <v>0</v>
      </c>
      <c r="O341" s="3">
        <v>0</v>
      </c>
      <c r="P341" s="19">
        <v>-4089.02</v>
      </c>
      <c r="Q341" s="19">
        <v>0</v>
      </c>
      <c r="R341" s="19">
        <v>-1107.2</v>
      </c>
      <c r="S341" s="19">
        <v>0</v>
      </c>
      <c r="T341" s="3">
        <v>0</v>
      </c>
      <c r="U341" s="3">
        <v>0</v>
      </c>
      <c r="V341" s="21">
        <v>0</v>
      </c>
      <c r="W341" s="21">
        <v>0</v>
      </c>
      <c r="X341" s="3">
        <v>0</v>
      </c>
      <c r="Y341" s="21">
        <v>24224.82</v>
      </c>
      <c r="Z341" s="154">
        <f>Levy!U341</f>
        <v>0</v>
      </c>
      <c r="AA341" s="3">
        <f>Levy!V341</f>
        <v>0</v>
      </c>
      <c r="AB341" s="3">
        <f>SUM(I341:T341)</f>
        <v>32800.580000000009</v>
      </c>
      <c r="AC341" s="3">
        <f t="shared" si="23"/>
        <v>532465.42000000004</v>
      </c>
      <c r="AD341" s="3">
        <f t="shared" si="24"/>
        <v>75903</v>
      </c>
      <c r="AE341" s="3">
        <f>ROUND(MAX(0,(D341-V341)*Shift11!$B$3),2)</f>
        <v>147930.14000000001</v>
      </c>
      <c r="AF341" s="3">
        <f>MAX(AE341,Y341)</f>
        <v>147930.14000000001</v>
      </c>
    </row>
    <row r="342" spans="1:32" x14ac:dyDescent="0.2">
      <c r="A342" s="18">
        <v>2902</v>
      </c>
      <c r="B342" s="18">
        <v>1</v>
      </c>
      <c r="C342" s="3" t="s">
        <v>502</v>
      </c>
      <c r="D342" s="3">
        <f>Levy!F342</f>
        <v>224844</v>
      </c>
      <c r="E342" s="3">
        <f>Levy!G342</f>
        <v>36837</v>
      </c>
      <c r="F342" s="3">
        <f>Levy!H342</f>
        <v>0</v>
      </c>
      <c r="G342" s="3">
        <f>Levy!I342</f>
        <v>221969</v>
      </c>
      <c r="H342" s="3">
        <f>Levy!J342</f>
        <v>93522</v>
      </c>
      <c r="I342" s="154">
        <v>0</v>
      </c>
      <c r="J342" s="19">
        <v>11442.04</v>
      </c>
      <c r="K342" s="19">
        <v>12531.2</v>
      </c>
      <c r="L342" s="19">
        <v>0</v>
      </c>
      <c r="M342" s="3">
        <v>0</v>
      </c>
      <c r="N342" s="3">
        <v>0</v>
      </c>
      <c r="O342" s="3">
        <v>0</v>
      </c>
      <c r="P342" s="19">
        <v>3540.73</v>
      </c>
      <c r="Q342" s="19">
        <v>0</v>
      </c>
      <c r="R342" s="19">
        <v>268.31</v>
      </c>
      <c r="S342" s="19">
        <v>0</v>
      </c>
      <c r="T342" s="3">
        <v>0</v>
      </c>
      <c r="U342" s="3">
        <v>0</v>
      </c>
      <c r="V342" s="21">
        <v>0</v>
      </c>
      <c r="W342" s="21">
        <v>0</v>
      </c>
      <c r="X342" s="3">
        <v>479.17</v>
      </c>
      <c r="Y342" s="21">
        <v>56182.83</v>
      </c>
      <c r="Z342" s="154">
        <f>Levy!U342</f>
        <v>0</v>
      </c>
      <c r="AA342" s="3">
        <f>Levy!V342</f>
        <v>0</v>
      </c>
      <c r="AB342" s="3">
        <f>SUM(I342:T342)</f>
        <v>27782.280000000002</v>
      </c>
      <c r="AC342" s="3">
        <f t="shared" si="23"/>
        <v>230544.55</v>
      </c>
      <c r="AD342" s="3">
        <f t="shared" si="24"/>
        <v>93522</v>
      </c>
      <c r="AE342" s="3">
        <f>ROUND(MAX(0,(D342-V342)*Shift11!$B$3),2)</f>
        <v>109274.18</v>
      </c>
      <c r="AF342" s="3">
        <f>MAX(AE342,Y342)</f>
        <v>109274.18</v>
      </c>
    </row>
    <row r="343" spans="1:32" x14ac:dyDescent="0.2">
      <c r="A343" s="18">
        <v>2903</v>
      </c>
      <c r="B343" s="18">
        <v>1</v>
      </c>
      <c r="C343" s="3" t="s">
        <v>649</v>
      </c>
      <c r="D343" s="3">
        <f>Levy!F343</f>
        <v>364865.48</v>
      </c>
      <c r="E343" s="3">
        <f>Levy!G343</f>
        <v>25432.73</v>
      </c>
      <c r="F343" s="3">
        <f>Levy!H343</f>
        <v>0</v>
      </c>
      <c r="G343" s="3">
        <f>Levy!I343</f>
        <v>492126.37</v>
      </c>
      <c r="H343" s="3">
        <f>Levy!J343</f>
        <v>50041.79</v>
      </c>
      <c r="I343" s="154">
        <v>0</v>
      </c>
      <c r="J343" s="19">
        <v>0</v>
      </c>
      <c r="K343" s="19">
        <v>17446.849999999999</v>
      </c>
      <c r="L343" s="19">
        <v>0</v>
      </c>
      <c r="M343" s="3">
        <v>0</v>
      </c>
      <c r="N343" s="3">
        <v>0</v>
      </c>
      <c r="O343" s="3">
        <v>0</v>
      </c>
      <c r="P343" s="19">
        <v>0</v>
      </c>
      <c r="Q343" s="19">
        <v>0</v>
      </c>
      <c r="R343" s="19">
        <v>0</v>
      </c>
      <c r="S343" s="19">
        <v>0</v>
      </c>
      <c r="T343" s="3">
        <v>0</v>
      </c>
      <c r="U343" s="3">
        <v>0</v>
      </c>
      <c r="V343" s="3">
        <v>0</v>
      </c>
      <c r="W343" s="3">
        <v>0</v>
      </c>
      <c r="X343" s="3">
        <v>0</v>
      </c>
      <c r="Y343" s="21">
        <v>78903.95</v>
      </c>
      <c r="Z343" s="154">
        <f>Levy!U343</f>
        <v>0</v>
      </c>
      <c r="AA343" s="3">
        <f>Levy!V343</f>
        <v>0</v>
      </c>
      <c r="AB343" s="3">
        <f>SUM(I343:T343)</f>
        <v>17446.849999999999</v>
      </c>
      <c r="AC343" s="3">
        <f t="shared" si="23"/>
        <v>500112.25</v>
      </c>
      <c r="AD343" s="3">
        <f t="shared" si="24"/>
        <v>50041.79</v>
      </c>
      <c r="AE343" s="3">
        <f>ROUND(MAX(0,(D343-V343)*Shift11!$B$3),2)</f>
        <v>177324.62</v>
      </c>
      <c r="AF343" s="3">
        <f>MAX(AE343,Y343)</f>
        <v>177324.62</v>
      </c>
    </row>
    <row r="344" spans="1:32" x14ac:dyDescent="0.2">
      <c r="A344" s="18">
        <v>2904</v>
      </c>
      <c r="B344" s="18">
        <v>1</v>
      </c>
      <c r="C344" s="3" t="s">
        <v>650</v>
      </c>
      <c r="D344" s="3">
        <f>Levy!F344</f>
        <v>531902</v>
      </c>
      <c r="E344" s="3">
        <f>Levy!G344</f>
        <v>77507</v>
      </c>
      <c r="F344" s="3">
        <f>Levy!H344</f>
        <v>0</v>
      </c>
      <c r="G344" s="3">
        <f>Levy!I344</f>
        <v>387108</v>
      </c>
      <c r="H344" s="3">
        <f>Levy!J344</f>
        <v>74003</v>
      </c>
      <c r="I344" s="154">
        <v>0</v>
      </c>
      <c r="J344" s="19">
        <v>18000</v>
      </c>
      <c r="K344" s="19">
        <v>18378.79</v>
      </c>
      <c r="L344" s="19">
        <v>0</v>
      </c>
      <c r="M344" s="3">
        <v>0</v>
      </c>
      <c r="N344" s="3">
        <v>0</v>
      </c>
      <c r="O344" s="3">
        <v>0</v>
      </c>
      <c r="P344" s="19">
        <v>5538.29</v>
      </c>
      <c r="Q344" s="19">
        <v>0</v>
      </c>
      <c r="R344" s="19">
        <v>0</v>
      </c>
      <c r="S344" s="19">
        <v>0</v>
      </c>
      <c r="T344" s="3">
        <v>0</v>
      </c>
      <c r="U344" s="3">
        <v>0</v>
      </c>
      <c r="V344" s="3">
        <v>0</v>
      </c>
      <c r="W344" s="3">
        <v>0</v>
      </c>
      <c r="X344" s="3">
        <v>4004.21</v>
      </c>
      <c r="Y344" s="21">
        <v>99195.199999999997</v>
      </c>
      <c r="Z344" s="154">
        <f>Levy!U344</f>
        <v>0</v>
      </c>
      <c r="AA344" s="3">
        <f>Levy!V344</f>
        <v>0</v>
      </c>
      <c r="AB344" s="3">
        <f>SUM(I344:T344)</f>
        <v>41917.08</v>
      </c>
      <c r="AC344" s="3">
        <f t="shared" si="23"/>
        <v>418693.71</v>
      </c>
      <c r="AD344" s="3">
        <f t="shared" si="24"/>
        <v>74003</v>
      </c>
      <c r="AE344" s="3">
        <f>ROUND(MAX(0,(D344-V344)*Shift11!$B$3),2)</f>
        <v>258504.37</v>
      </c>
      <c r="AF344" s="3">
        <f>MAX(AE344,Y344)</f>
        <v>258504.37</v>
      </c>
    </row>
    <row r="346" spans="1:32" x14ac:dyDescent="0.2">
      <c r="A346" s="170" t="s">
        <v>704</v>
      </c>
    </row>
    <row r="347" spans="1:32" x14ac:dyDescent="0.2">
      <c r="Y347" s="163"/>
    </row>
  </sheetData>
  <phoneticPr fontId="0" type="noConversion"/>
  <pageMargins left="0.5" right="0.5" top="1" bottom="1" header="0.5" footer="0.5"/>
  <pageSetup scale="66" fitToWidth="2" fitToHeight="0" pageOrder="overThenDown" orientation="landscape" horizontalDpi="300" verticalDpi="300" r:id="rId1"/>
  <headerFooter alignWithMargins="0">
    <oddFooter>&amp;C&amp;P of &amp;N</oddFooter>
  </headerFooter>
  <ignoredErrors>
    <ignoredError sqref="AB8:AB344"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44"/>
  <sheetViews>
    <sheetView workbookViewId="0">
      <pane xSplit="3" ySplit="7" topLeftCell="D8" activePane="bottomRight" state="frozen"/>
      <selection pane="topRight" activeCell="D1" sqref="D1"/>
      <selection pane="bottomLeft" activeCell="A8" sqref="A8"/>
      <selection pane="bottomRight" activeCell="O1" sqref="O1"/>
    </sheetView>
  </sheetViews>
  <sheetFormatPr defaultRowHeight="11.25" x14ac:dyDescent="0.2"/>
  <cols>
    <col min="1" max="2" width="6.83203125" style="5" customWidth="1"/>
    <col min="3" max="3" width="20.83203125" style="2" customWidth="1"/>
    <col min="4" max="4" width="14.83203125" style="2" customWidth="1"/>
    <col min="5" max="5" width="13.83203125" style="2" customWidth="1"/>
    <col min="6" max="6" width="14.83203125" style="2" customWidth="1"/>
    <col min="7" max="14" width="13.83203125" style="2" customWidth="1"/>
    <col min="15" max="15" width="14.83203125" style="3" customWidth="1"/>
    <col min="16" max="16384" width="9.33203125" style="2"/>
  </cols>
  <sheetData>
    <row r="1" spans="1:15" x14ac:dyDescent="0.2">
      <c r="A1" s="11" t="str">
        <f>"Actual Pay "&amp;Instructions!P2&amp;" Gross Shift"</f>
        <v>Actual Pay Pay 2010 Gross Shift</v>
      </c>
      <c r="O1" s="144">
        <f>Report!I1</f>
        <v>40795</v>
      </c>
    </row>
    <row r="2" spans="1:15" x14ac:dyDescent="0.2">
      <c r="G2" s="3"/>
    </row>
    <row r="3" spans="1:15" x14ac:dyDescent="0.2">
      <c r="A3" s="5" t="s">
        <v>504</v>
      </c>
    </row>
    <row r="4" spans="1:15" s="8" customFormat="1" ht="22.5" x14ac:dyDescent="0.2">
      <c r="A4" s="6"/>
      <c r="B4" s="6"/>
      <c r="D4" s="9" t="s">
        <v>361</v>
      </c>
      <c r="E4" s="8" t="s">
        <v>362</v>
      </c>
      <c r="F4" s="8" t="s">
        <v>363</v>
      </c>
      <c r="G4" s="8" t="s">
        <v>360</v>
      </c>
      <c r="H4" s="8" t="s">
        <v>464</v>
      </c>
      <c r="I4" s="152" t="s">
        <v>364</v>
      </c>
      <c r="J4" s="8" t="s">
        <v>365</v>
      </c>
      <c r="K4" s="8" t="s">
        <v>366</v>
      </c>
      <c r="L4" s="8" t="s">
        <v>498</v>
      </c>
      <c r="M4" s="9" t="s">
        <v>358</v>
      </c>
      <c r="N4" s="9" t="s">
        <v>499</v>
      </c>
      <c r="O4" s="9" t="s">
        <v>500</v>
      </c>
    </row>
    <row r="6" spans="1:15" x14ac:dyDescent="0.2">
      <c r="C6" s="2" t="s">
        <v>347</v>
      </c>
      <c r="D6" s="3">
        <f>SUM(D8:D344)</f>
        <v>0</v>
      </c>
      <c r="E6" s="3">
        <f t="shared" ref="E6:O6" si="0">SUM(E8:E344)</f>
        <v>0</v>
      </c>
      <c r="F6" s="3">
        <f t="shared" si="0"/>
        <v>114228540.45999998</v>
      </c>
      <c r="G6" s="3">
        <f t="shared" si="0"/>
        <v>4282529.1899999995</v>
      </c>
      <c r="H6" s="3">
        <f t="shared" si="0"/>
        <v>14631898.999999989</v>
      </c>
      <c r="I6" s="3">
        <f t="shared" si="0"/>
        <v>27242973.809999995</v>
      </c>
      <c r="J6" s="3">
        <f t="shared" si="0"/>
        <v>-169365.96</v>
      </c>
      <c r="K6" s="3">
        <f t="shared" si="0"/>
        <v>5742373.0899999933</v>
      </c>
      <c r="L6" s="3">
        <f t="shared" si="0"/>
        <v>0</v>
      </c>
      <c r="M6" s="3">
        <f t="shared" si="0"/>
        <v>0</v>
      </c>
      <c r="N6" s="3">
        <f t="shared" si="0"/>
        <v>0</v>
      </c>
      <c r="O6" s="3">
        <f t="shared" si="0"/>
        <v>165958949.58999979</v>
      </c>
    </row>
    <row r="8" spans="1:15" x14ac:dyDescent="0.2">
      <c r="A8" s="5">
        <v>1</v>
      </c>
      <c r="B8" s="5">
        <v>1</v>
      </c>
      <c r="C8" s="2" t="s">
        <v>6</v>
      </c>
      <c r="D8" s="2">
        <v>0</v>
      </c>
      <c r="E8" s="2">
        <v>0</v>
      </c>
      <c r="F8" s="2">
        <v>141143.88</v>
      </c>
      <c r="G8" s="2">
        <v>0</v>
      </c>
      <c r="H8" s="2">
        <v>25634.829999999998</v>
      </c>
      <c r="I8" s="2">
        <v>0</v>
      </c>
      <c r="J8" s="2">
        <v>0</v>
      </c>
      <c r="K8" s="2">
        <v>-1637.25</v>
      </c>
      <c r="L8" s="2">
        <v>0</v>
      </c>
      <c r="M8" s="2">
        <v>0</v>
      </c>
      <c r="N8" s="2">
        <v>0</v>
      </c>
      <c r="O8" s="3">
        <f>SUM(D8:N8)</f>
        <v>165141.46</v>
      </c>
    </row>
    <row r="9" spans="1:15" x14ac:dyDescent="0.2">
      <c r="A9" s="5">
        <v>1.2</v>
      </c>
      <c r="B9" s="5">
        <v>3</v>
      </c>
      <c r="C9" s="2" t="s">
        <v>7</v>
      </c>
      <c r="D9" s="2">
        <v>0</v>
      </c>
      <c r="E9" s="2">
        <v>0</v>
      </c>
      <c r="F9" s="2">
        <v>10049626.5</v>
      </c>
      <c r="G9" s="2">
        <v>1205612.71</v>
      </c>
      <c r="H9" s="2">
        <v>529992.75</v>
      </c>
      <c r="I9" s="2">
        <v>8903079.2799999993</v>
      </c>
      <c r="J9" s="2">
        <v>0</v>
      </c>
      <c r="K9" s="2">
        <v>-482856.80000000005</v>
      </c>
      <c r="L9" s="2">
        <v>0</v>
      </c>
      <c r="M9" s="2">
        <v>0</v>
      </c>
      <c r="N9" s="2">
        <v>0</v>
      </c>
      <c r="O9" s="3">
        <f t="shared" ref="O9:O71" si="1">SUM(D9:N9)</f>
        <v>20205454.440000001</v>
      </c>
    </row>
    <row r="10" spans="1:15" x14ac:dyDescent="0.2">
      <c r="A10" s="5">
        <v>2</v>
      </c>
      <c r="B10" s="5">
        <v>1</v>
      </c>
      <c r="C10" s="2" t="s">
        <v>8</v>
      </c>
      <c r="D10" s="2">
        <v>0</v>
      </c>
      <c r="E10" s="2">
        <v>0</v>
      </c>
      <c r="F10" s="2">
        <v>0</v>
      </c>
      <c r="G10" s="2">
        <v>0</v>
      </c>
      <c r="H10" s="2">
        <v>10000</v>
      </c>
      <c r="I10" s="2">
        <v>0</v>
      </c>
      <c r="J10" s="2">
        <v>0</v>
      </c>
      <c r="K10" s="2">
        <v>3620.28</v>
      </c>
      <c r="L10" s="2">
        <v>0</v>
      </c>
      <c r="M10" s="2">
        <v>0</v>
      </c>
      <c r="N10" s="2">
        <v>0</v>
      </c>
      <c r="O10" s="3">
        <f t="shared" si="1"/>
        <v>13620.28</v>
      </c>
    </row>
    <row r="11" spans="1:15" x14ac:dyDescent="0.2">
      <c r="A11" s="5">
        <v>4</v>
      </c>
      <c r="B11" s="5">
        <v>1</v>
      </c>
      <c r="C11" s="2" t="s">
        <v>9</v>
      </c>
      <c r="D11" s="2">
        <v>0</v>
      </c>
      <c r="E11" s="2">
        <v>0</v>
      </c>
      <c r="F11" s="2">
        <v>51784.65</v>
      </c>
      <c r="G11" s="2">
        <v>0</v>
      </c>
      <c r="H11" s="2">
        <v>10000</v>
      </c>
      <c r="I11" s="2">
        <v>0</v>
      </c>
      <c r="J11" s="2">
        <v>0</v>
      </c>
      <c r="K11" s="2">
        <v>9613.5499999999993</v>
      </c>
      <c r="L11" s="2">
        <v>0</v>
      </c>
      <c r="M11" s="2">
        <v>0</v>
      </c>
      <c r="N11" s="2">
        <v>0</v>
      </c>
      <c r="O11" s="3">
        <f t="shared" si="1"/>
        <v>71398.2</v>
      </c>
    </row>
    <row r="12" spans="1:15" x14ac:dyDescent="0.2">
      <c r="A12" s="5">
        <v>6</v>
      </c>
      <c r="B12" s="5">
        <v>3</v>
      </c>
      <c r="C12" s="2" t="s">
        <v>10</v>
      </c>
      <c r="D12" s="2">
        <v>0</v>
      </c>
      <c r="E12" s="2">
        <v>0</v>
      </c>
      <c r="F12" s="2">
        <v>360711.07</v>
      </c>
      <c r="G12" s="2">
        <v>0</v>
      </c>
      <c r="H12" s="2">
        <v>60380</v>
      </c>
      <c r="I12" s="2">
        <v>0</v>
      </c>
      <c r="J12" s="2">
        <v>0</v>
      </c>
      <c r="K12" s="2">
        <v>58851.86</v>
      </c>
      <c r="L12" s="2">
        <v>0</v>
      </c>
      <c r="M12" s="2">
        <v>0</v>
      </c>
      <c r="N12" s="2">
        <v>0</v>
      </c>
      <c r="O12" s="3">
        <f t="shared" si="1"/>
        <v>479942.93</v>
      </c>
    </row>
    <row r="13" spans="1:15" x14ac:dyDescent="0.2">
      <c r="A13" s="5">
        <v>11</v>
      </c>
      <c r="B13" s="5">
        <v>1</v>
      </c>
      <c r="C13" s="2" t="s">
        <v>11</v>
      </c>
      <c r="D13" s="2">
        <v>0</v>
      </c>
      <c r="E13" s="2">
        <v>0</v>
      </c>
      <c r="F13" s="2">
        <v>3515884.7</v>
      </c>
      <c r="G13" s="2">
        <v>197692.1</v>
      </c>
      <c r="H13" s="2">
        <v>803790.4</v>
      </c>
      <c r="I13" s="2">
        <v>0</v>
      </c>
      <c r="J13" s="2">
        <v>0</v>
      </c>
      <c r="K13" s="2">
        <v>541052.26</v>
      </c>
      <c r="L13" s="2">
        <v>0</v>
      </c>
      <c r="M13" s="2">
        <v>0</v>
      </c>
      <c r="N13" s="2">
        <v>0</v>
      </c>
      <c r="O13" s="3">
        <f t="shared" si="1"/>
        <v>5058419.46</v>
      </c>
    </row>
    <row r="14" spans="1:15" x14ac:dyDescent="0.2">
      <c r="A14" s="5">
        <v>12</v>
      </c>
      <c r="B14" s="5">
        <v>1</v>
      </c>
      <c r="C14" s="2" t="s">
        <v>12</v>
      </c>
      <c r="D14" s="2">
        <v>0</v>
      </c>
      <c r="E14" s="2">
        <v>0</v>
      </c>
      <c r="F14" s="2">
        <v>320094.52</v>
      </c>
      <c r="G14" s="2">
        <v>16533.75</v>
      </c>
      <c r="H14" s="2">
        <v>98681.4</v>
      </c>
      <c r="I14" s="2">
        <v>0</v>
      </c>
      <c r="J14" s="2">
        <v>0</v>
      </c>
      <c r="K14" s="2">
        <v>28938.73</v>
      </c>
      <c r="L14" s="2">
        <v>0</v>
      </c>
      <c r="M14" s="2">
        <v>0</v>
      </c>
      <c r="N14" s="2">
        <v>0</v>
      </c>
      <c r="O14" s="3">
        <f t="shared" si="1"/>
        <v>464248.4</v>
      </c>
    </row>
    <row r="15" spans="1:15" x14ac:dyDescent="0.2">
      <c r="A15" s="5">
        <v>13</v>
      </c>
      <c r="B15" s="5">
        <v>1</v>
      </c>
      <c r="C15" s="2" t="s">
        <v>13</v>
      </c>
      <c r="D15" s="2">
        <v>0</v>
      </c>
      <c r="E15" s="2">
        <v>0</v>
      </c>
      <c r="F15" s="2">
        <v>848958.71</v>
      </c>
      <c r="G15" s="2">
        <v>0</v>
      </c>
      <c r="H15" s="2">
        <v>52699.200000000004</v>
      </c>
      <c r="I15" s="2">
        <v>0</v>
      </c>
      <c r="J15" s="2">
        <v>0</v>
      </c>
      <c r="K15" s="2">
        <v>42477.770000000004</v>
      </c>
      <c r="L15" s="2">
        <v>0</v>
      </c>
      <c r="M15" s="2">
        <v>0</v>
      </c>
      <c r="N15" s="2">
        <v>0</v>
      </c>
      <c r="O15" s="3">
        <f t="shared" si="1"/>
        <v>944135.67999999993</v>
      </c>
    </row>
    <row r="16" spans="1:15" x14ac:dyDescent="0.2">
      <c r="A16" s="5">
        <v>14</v>
      </c>
      <c r="B16" s="5">
        <v>1</v>
      </c>
      <c r="C16" s="2" t="s">
        <v>14</v>
      </c>
      <c r="D16" s="2">
        <v>0</v>
      </c>
      <c r="E16" s="2">
        <v>0</v>
      </c>
      <c r="F16" s="2">
        <v>468605.33</v>
      </c>
      <c r="G16" s="2">
        <v>0</v>
      </c>
      <c r="H16" s="2">
        <v>58793.07</v>
      </c>
      <c r="I16" s="2">
        <v>0</v>
      </c>
      <c r="J16" s="2">
        <v>0</v>
      </c>
      <c r="K16" s="2">
        <v>68779.61</v>
      </c>
      <c r="L16" s="2">
        <v>0</v>
      </c>
      <c r="M16" s="2">
        <v>0</v>
      </c>
      <c r="N16" s="2">
        <v>0</v>
      </c>
      <c r="O16" s="3">
        <f t="shared" si="1"/>
        <v>596178.01</v>
      </c>
    </row>
    <row r="17" spans="1:15" x14ac:dyDescent="0.2">
      <c r="A17" s="5">
        <v>15</v>
      </c>
      <c r="B17" s="5">
        <v>1</v>
      </c>
      <c r="C17" s="2" t="s">
        <v>15</v>
      </c>
      <c r="D17" s="2">
        <v>0</v>
      </c>
      <c r="E17" s="2">
        <v>0</v>
      </c>
      <c r="F17" s="2">
        <v>288492.78999999998</v>
      </c>
      <c r="G17" s="2">
        <v>0</v>
      </c>
      <c r="H17" s="2">
        <v>106376</v>
      </c>
      <c r="I17" s="2">
        <v>0</v>
      </c>
      <c r="J17" s="2">
        <v>0</v>
      </c>
      <c r="K17" s="2">
        <v>97236.77</v>
      </c>
      <c r="L17" s="2">
        <v>0</v>
      </c>
      <c r="M17" s="2">
        <v>0</v>
      </c>
      <c r="N17" s="2">
        <v>0</v>
      </c>
      <c r="O17" s="3">
        <f t="shared" si="1"/>
        <v>492105.56</v>
      </c>
    </row>
    <row r="18" spans="1:15" x14ac:dyDescent="0.2">
      <c r="A18" s="5">
        <v>16</v>
      </c>
      <c r="B18" s="5">
        <v>1</v>
      </c>
      <c r="C18" s="2" t="s">
        <v>16</v>
      </c>
      <c r="D18" s="2">
        <v>0</v>
      </c>
      <c r="E18" s="2">
        <v>0</v>
      </c>
      <c r="F18" s="2">
        <v>804793.86</v>
      </c>
      <c r="G18" s="2">
        <v>73286.44</v>
      </c>
      <c r="H18" s="2">
        <v>68475.460000000006</v>
      </c>
      <c r="I18" s="2">
        <v>0</v>
      </c>
      <c r="J18" s="2">
        <v>0</v>
      </c>
      <c r="K18" s="2">
        <v>64941.14</v>
      </c>
      <c r="L18" s="2">
        <v>0</v>
      </c>
      <c r="M18" s="2">
        <v>0</v>
      </c>
      <c r="N18" s="2">
        <v>0</v>
      </c>
      <c r="O18" s="3">
        <f t="shared" si="1"/>
        <v>1011496.9</v>
      </c>
    </row>
    <row r="19" spans="1:15" x14ac:dyDescent="0.2">
      <c r="A19" s="5">
        <v>22</v>
      </c>
      <c r="B19" s="5">
        <v>1</v>
      </c>
      <c r="C19" s="2" t="s">
        <v>17</v>
      </c>
      <c r="D19" s="2">
        <v>0</v>
      </c>
      <c r="E19" s="2">
        <v>0</v>
      </c>
      <c r="F19" s="2">
        <v>133298.49</v>
      </c>
      <c r="G19" s="2">
        <v>0</v>
      </c>
      <c r="H19" s="2">
        <v>48230.37</v>
      </c>
      <c r="I19" s="2">
        <v>0</v>
      </c>
      <c r="J19" s="2">
        <v>0</v>
      </c>
      <c r="K19" s="2">
        <v>5748.75</v>
      </c>
      <c r="L19" s="2">
        <v>0</v>
      </c>
      <c r="M19" s="2">
        <v>0</v>
      </c>
      <c r="N19" s="2">
        <v>0</v>
      </c>
      <c r="O19" s="3">
        <f t="shared" si="1"/>
        <v>187277.61</v>
      </c>
    </row>
    <row r="20" spans="1:15" x14ac:dyDescent="0.2">
      <c r="A20" s="5">
        <v>23</v>
      </c>
      <c r="B20" s="5">
        <v>1</v>
      </c>
      <c r="C20" s="2" t="s">
        <v>18</v>
      </c>
      <c r="D20" s="2">
        <v>0</v>
      </c>
      <c r="E20" s="2">
        <v>0</v>
      </c>
      <c r="F20" s="2">
        <v>0</v>
      </c>
      <c r="G20" s="2">
        <v>0</v>
      </c>
      <c r="H20" s="2">
        <v>24222.38</v>
      </c>
      <c r="I20" s="2">
        <v>0</v>
      </c>
      <c r="J20" s="2">
        <v>0</v>
      </c>
      <c r="K20" s="2">
        <v>-41258.36</v>
      </c>
      <c r="L20" s="2">
        <v>0</v>
      </c>
      <c r="M20" s="2">
        <v>0</v>
      </c>
      <c r="N20" s="2">
        <v>0</v>
      </c>
      <c r="O20" s="3">
        <f t="shared" si="1"/>
        <v>-17035.98</v>
      </c>
    </row>
    <row r="21" spans="1:15" x14ac:dyDescent="0.2">
      <c r="A21" s="5">
        <v>25</v>
      </c>
      <c r="B21" s="5">
        <v>1</v>
      </c>
      <c r="C21" s="2" t="s">
        <v>348</v>
      </c>
      <c r="D21" s="2">
        <v>0</v>
      </c>
      <c r="E21" s="2">
        <v>0</v>
      </c>
      <c r="F21" s="2">
        <v>0</v>
      </c>
      <c r="G21" s="2">
        <v>0</v>
      </c>
      <c r="H21" s="2">
        <v>0</v>
      </c>
      <c r="I21" s="2">
        <v>0</v>
      </c>
      <c r="J21" s="2">
        <v>0</v>
      </c>
      <c r="K21" s="2">
        <v>0</v>
      </c>
      <c r="L21" s="2">
        <v>0</v>
      </c>
      <c r="M21" s="2">
        <v>0</v>
      </c>
      <c r="N21" s="2">
        <v>0</v>
      </c>
      <c r="O21" s="3">
        <f t="shared" si="1"/>
        <v>0</v>
      </c>
    </row>
    <row r="22" spans="1:15" x14ac:dyDescent="0.2">
      <c r="A22" s="5">
        <v>31</v>
      </c>
      <c r="B22" s="5">
        <v>1</v>
      </c>
      <c r="C22" s="2" t="s">
        <v>19</v>
      </c>
      <c r="D22" s="2">
        <v>0</v>
      </c>
      <c r="E22" s="2">
        <v>0</v>
      </c>
      <c r="F22" s="2">
        <v>195530.98</v>
      </c>
      <c r="G22" s="2">
        <v>0</v>
      </c>
      <c r="H22" s="2">
        <v>95528.71</v>
      </c>
      <c r="I22" s="2">
        <v>0</v>
      </c>
      <c r="J22" s="2">
        <v>0</v>
      </c>
      <c r="K22" s="2">
        <v>4804.8100000000013</v>
      </c>
      <c r="L22" s="2">
        <v>0</v>
      </c>
      <c r="M22" s="2">
        <v>0</v>
      </c>
      <c r="N22" s="2">
        <v>0</v>
      </c>
      <c r="O22" s="3">
        <f t="shared" si="1"/>
        <v>295864.5</v>
      </c>
    </row>
    <row r="23" spans="1:15" x14ac:dyDescent="0.2">
      <c r="A23" s="5">
        <v>32</v>
      </c>
      <c r="B23" s="5">
        <v>1</v>
      </c>
      <c r="C23" s="2" t="s">
        <v>20</v>
      </c>
      <c r="D23" s="2">
        <v>0</v>
      </c>
      <c r="E23" s="2">
        <v>0</v>
      </c>
      <c r="F23" s="2">
        <v>0</v>
      </c>
      <c r="G23" s="2">
        <v>0</v>
      </c>
      <c r="H23" s="2">
        <v>18345.52</v>
      </c>
      <c r="I23" s="2">
        <v>0</v>
      </c>
      <c r="J23" s="2">
        <v>0</v>
      </c>
      <c r="K23" s="2">
        <v>-4417.3</v>
      </c>
      <c r="L23" s="2">
        <v>0</v>
      </c>
      <c r="M23" s="2">
        <v>0</v>
      </c>
      <c r="N23" s="2">
        <v>0</v>
      </c>
      <c r="O23" s="3">
        <f t="shared" si="1"/>
        <v>13928.220000000001</v>
      </c>
    </row>
    <row r="24" spans="1:15" x14ac:dyDescent="0.2">
      <c r="A24" s="5">
        <v>36</v>
      </c>
      <c r="B24" s="5">
        <v>1</v>
      </c>
      <c r="C24" s="2" t="s">
        <v>21</v>
      </c>
      <c r="D24" s="2">
        <v>0</v>
      </c>
      <c r="E24" s="2">
        <v>0</v>
      </c>
      <c r="F24" s="2">
        <v>0</v>
      </c>
      <c r="G24" s="2">
        <v>0</v>
      </c>
      <c r="H24" s="2">
        <v>0</v>
      </c>
      <c r="I24" s="2">
        <v>0</v>
      </c>
      <c r="J24" s="2">
        <v>0</v>
      </c>
      <c r="K24" s="2">
        <v>0</v>
      </c>
      <c r="L24" s="2">
        <v>0</v>
      </c>
      <c r="M24" s="2">
        <v>0</v>
      </c>
      <c r="N24" s="2">
        <v>0</v>
      </c>
      <c r="O24" s="3">
        <f t="shared" si="1"/>
        <v>0</v>
      </c>
    </row>
    <row r="25" spans="1:15" x14ac:dyDescent="0.2">
      <c r="A25" s="5">
        <v>38</v>
      </c>
      <c r="B25" s="5">
        <v>1</v>
      </c>
      <c r="C25" s="2" t="s">
        <v>22</v>
      </c>
      <c r="D25" s="2">
        <v>0</v>
      </c>
      <c r="E25" s="2">
        <v>0</v>
      </c>
      <c r="F25" s="2">
        <v>149.12</v>
      </c>
      <c r="G25" s="2">
        <v>0</v>
      </c>
      <c r="H25" s="2">
        <v>919.97</v>
      </c>
      <c r="I25" s="2">
        <v>0</v>
      </c>
      <c r="J25" s="2">
        <v>0</v>
      </c>
      <c r="K25" s="2">
        <v>0</v>
      </c>
      <c r="L25" s="2">
        <v>0</v>
      </c>
      <c r="M25" s="2">
        <v>0</v>
      </c>
      <c r="N25" s="2">
        <v>0</v>
      </c>
      <c r="O25" s="3">
        <f t="shared" si="1"/>
        <v>1069.0900000000001</v>
      </c>
    </row>
    <row r="26" spans="1:15" x14ac:dyDescent="0.2">
      <c r="A26" s="5">
        <v>47</v>
      </c>
      <c r="B26" s="5">
        <v>1</v>
      </c>
      <c r="C26" s="2" t="s">
        <v>23</v>
      </c>
      <c r="D26" s="2">
        <v>0</v>
      </c>
      <c r="E26" s="2">
        <v>0</v>
      </c>
      <c r="F26" s="2">
        <v>133802</v>
      </c>
      <c r="G26" s="2">
        <v>0</v>
      </c>
      <c r="H26" s="2">
        <v>59511.14</v>
      </c>
      <c r="I26" s="2">
        <v>0</v>
      </c>
      <c r="J26" s="2">
        <v>0</v>
      </c>
      <c r="K26" s="2">
        <v>43330.17</v>
      </c>
      <c r="L26" s="2">
        <v>0</v>
      </c>
      <c r="M26" s="2">
        <v>0</v>
      </c>
      <c r="N26" s="2">
        <v>0</v>
      </c>
      <c r="O26" s="3">
        <f t="shared" si="1"/>
        <v>236643.31</v>
      </c>
    </row>
    <row r="27" spans="1:15" x14ac:dyDescent="0.2">
      <c r="A27" s="5">
        <v>51</v>
      </c>
      <c r="B27" s="5">
        <v>1</v>
      </c>
      <c r="C27" s="2" t="s">
        <v>24</v>
      </c>
      <c r="D27" s="2">
        <v>0</v>
      </c>
      <c r="E27" s="2">
        <v>0</v>
      </c>
      <c r="F27" s="2">
        <v>32144.54</v>
      </c>
      <c r="G27" s="2">
        <v>0</v>
      </c>
      <c r="H27" s="2">
        <v>30344</v>
      </c>
      <c r="I27" s="2">
        <v>0</v>
      </c>
      <c r="J27" s="2">
        <v>0</v>
      </c>
      <c r="K27" s="2">
        <v>2757.14</v>
      </c>
      <c r="L27" s="2">
        <v>0</v>
      </c>
      <c r="M27" s="2">
        <v>0</v>
      </c>
      <c r="N27" s="2">
        <v>0</v>
      </c>
      <c r="O27" s="3">
        <f t="shared" si="1"/>
        <v>65245.68</v>
      </c>
    </row>
    <row r="28" spans="1:15" x14ac:dyDescent="0.2">
      <c r="A28" s="5">
        <v>75</v>
      </c>
      <c r="B28" s="5">
        <v>1</v>
      </c>
      <c r="C28" s="2" t="s">
        <v>25</v>
      </c>
      <c r="D28" s="2">
        <v>0</v>
      </c>
      <c r="E28" s="2">
        <v>0</v>
      </c>
      <c r="F28" s="2">
        <v>59511.62</v>
      </c>
      <c r="G28" s="2">
        <v>0</v>
      </c>
      <c r="H28" s="2">
        <v>11904</v>
      </c>
      <c r="I28" s="2">
        <v>0</v>
      </c>
      <c r="J28" s="2">
        <v>0</v>
      </c>
      <c r="K28" s="2">
        <v>26768.23</v>
      </c>
      <c r="L28" s="2">
        <v>0</v>
      </c>
      <c r="M28" s="2">
        <v>0</v>
      </c>
      <c r="N28" s="2">
        <v>0</v>
      </c>
      <c r="O28" s="3">
        <f t="shared" si="1"/>
        <v>98183.849999999991</v>
      </c>
    </row>
    <row r="29" spans="1:15" x14ac:dyDescent="0.2">
      <c r="A29" s="5">
        <v>77</v>
      </c>
      <c r="B29" s="5">
        <v>1</v>
      </c>
      <c r="C29" s="2" t="s">
        <v>26</v>
      </c>
      <c r="D29" s="2">
        <v>0</v>
      </c>
      <c r="E29" s="2">
        <v>0</v>
      </c>
      <c r="F29" s="2">
        <v>751973.08</v>
      </c>
      <c r="G29" s="2">
        <v>0</v>
      </c>
      <c r="H29" s="2">
        <v>131813.87000000002</v>
      </c>
      <c r="I29" s="2">
        <v>0</v>
      </c>
      <c r="J29" s="2">
        <v>0</v>
      </c>
      <c r="K29" s="2">
        <v>58020.84</v>
      </c>
      <c r="L29" s="2">
        <v>0</v>
      </c>
      <c r="M29" s="2">
        <v>0</v>
      </c>
      <c r="N29" s="2">
        <v>0</v>
      </c>
      <c r="O29" s="3">
        <f t="shared" si="1"/>
        <v>941807.78999999992</v>
      </c>
    </row>
    <row r="30" spans="1:15" x14ac:dyDescent="0.2">
      <c r="A30" s="5">
        <v>81</v>
      </c>
      <c r="B30" s="5">
        <v>1</v>
      </c>
      <c r="C30" s="2" t="s">
        <v>27</v>
      </c>
      <c r="D30" s="2">
        <v>0</v>
      </c>
      <c r="E30" s="2">
        <v>0</v>
      </c>
      <c r="F30" s="2">
        <v>65568.179999999993</v>
      </c>
      <c r="G30" s="2">
        <v>0</v>
      </c>
      <c r="H30" s="2">
        <v>10000</v>
      </c>
      <c r="I30" s="2">
        <v>0</v>
      </c>
      <c r="J30" s="2">
        <v>0</v>
      </c>
      <c r="K30" s="2">
        <v>2550.37</v>
      </c>
      <c r="L30" s="2">
        <v>0</v>
      </c>
      <c r="M30" s="2">
        <v>0</v>
      </c>
      <c r="N30" s="2">
        <v>0</v>
      </c>
      <c r="O30" s="3">
        <f t="shared" si="1"/>
        <v>78118.549999999988</v>
      </c>
    </row>
    <row r="31" spans="1:15" x14ac:dyDescent="0.2">
      <c r="A31" s="5">
        <v>84</v>
      </c>
      <c r="B31" s="5">
        <v>1</v>
      </c>
      <c r="C31" s="2" t="s">
        <v>28</v>
      </c>
      <c r="D31" s="2">
        <v>0</v>
      </c>
      <c r="E31" s="2">
        <v>0</v>
      </c>
      <c r="F31" s="2">
        <v>64890.080000000002</v>
      </c>
      <c r="G31" s="2">
        <v>0</v>
      </c>
      <c r="H31" s="2">
        <v>15879.66</v>
      </c>
      <c r="I31" s="2">
        <v>0</v>
      </c>
      <c r="J31" s="2">
        <v>0</v>
      </c>
      <c r="K31" s="2">
        <v>26806.78</v>
      </c>
      <c r="L31" s="2">
        <v>0</v>
      </c>
      <c r="M31" s="2">
        <v>0</v>
      </c>
      <c r="N31" s="2">
        <v>0</v>
      </c>
      <c r="O31" s="3">
        <f t="shared" si="1"/>
        <v>107576.52</v>
      </c>
    </row>
    <row r="32" spans="1:15" x14ac:dyDescent="0.2">
      <c r="A32" s="5">
        <v>85</v>
      </c>
      <c r="B32" s="5">
        <v>1</v>
      </c>
      <c r="C32" s="2" t="s">
        <v>29</v>
      </c>
      <c r="D32" s="2">
        <v>0</v>
      </c>
      <c r="E32" s="2">
        <v>0</v>
      </c>
      <c r="F32" s="2">
        <v>0</v>
      </c>
      <c r="G32" s="2">
        <v>0</v>
      </c>
      <c r="H32" s="2">
        <v>20777.87</v>
      </c>
      <c r="I32" s="2">
        <v>0</v>
      </c>
      <c r="J32" s="2">
        <v>0</v>
      </c>
      <c r="K32" s="2">
        <v>-296.09000000000015</v>
      </c>
      <c r="L32" s="2">
        <v>0</v>
      </c>
      <c r="M32" s="2">
        <v>0</v>
      </c>
      <c r="N32" s="2">
        <v>0</v>
      </c>
      <c r="O32" s="3">
        <f t="shared" si="1"/>
        <v>20481.78</v>
      </c>
    </row>
    <row r="33" spans="1:15" x14ac:dyDescent="0.2">
      <c r="A33" s="5">
        <v>88</v>
      </c>
      <c r="B33" s="5">
        <v>1</v>
      </c>
      <c r="C33" s="2" t="s">
        <v>30</v>
      </c>
      <c r="D33" s="2">
        <v>0</v>
      </c>
      <c r="E33" s="2">
        <v>0</v>
      </c>
      <c r="F33" s="2">
        <v>135266</v>
      </c>
      <c r="G33" s="2">
        <v>97377.63</v>
      </c>
      <c r="H33" s="2">
        <v>52316.14</v>
      </c>
      <c r="I33" s="2">
        <v>0</v>
      </c>
      <c r="J33" s="2">
        <v>0</v>
      </c>
      <c r="K33" s="2">
        <v>49345.96</v>
      </c>
      <c r="L33" s="2">
        <v>0</v>
      </c>
      <c r="M33" s="2">
        <v>0</v>
      </c>
      <c r="N33" s="2">
        <v>0</v>
      </c>
      <c r="O33" s="3">
        <f t="shared" si="1"/>
        <v>334305.73000000004</v>
      </c>
    </row>
    <row r="34" spans="1:15" x14ac:dyDescent="0.2">
      <c r="A34" s="5">
        <v>91</v>
      </c>
      <c r="B34" s="5">
        <v>1</v>
      </c>
      <c r="C34" s="2" t="s">
        <v>31</v>
      </c>
      <c r="D34" s="2">
        <v>0</v>
      </c>
      <c r="E34" s="2">
        <v>0</v>
      </c>
      <c r="F34" s="2">
        <v>19807.54</v>
      </c>
      <c r="G34" s="2">
        <v>0</v>
      </c>
      <c r="H34" s="2">
        <v>10000</v>
      </c>
      <c r="I34" s="2">
        <v>0</v>
      </c>
      <c r="J34" s="2">
        <v>0</v>
      </c>
      <c r="K34" s="2">
        <v>9671.16</v>
      </c>
      <c r="L34" s="2">
        <v>0</v>
      </c>
      <c r="M34" s="2">
        <v>0</v>
      </c>
      <c r="N34" s="2">
        <v>0</v>
      </c>
      <c r="O34" s="3">
        <f t="shared" si="1"/>
        <v>39478.699999999997</v>
      </c>
    </row>
    <row r="35" spans="1:15" x14ac:dyDescent="0.2">
      <c r="A35" s="5">
        <v>93</v>
      </c>
      <c r="B35" s="5">
        <v>1</v>
      </c>
      <c r="C35" s="2" t="s">
        <v>32</v>
      </c>
      <c r="D35" s="2">
        <v>0</v>
      </c>
      <c r="E35" s="2">
        <v>0</v>
      </c>
      <c r="F35" s="2">
        <v>27479.15</v>
      </c>
      <c r="G35" s="2">
        <v>0</v>
      </c>
      <c r="H35" s="2">
        <v>10000</v>
      </c>
      <c r="I35" s="2">
        <v>0</v>
      </c>
      <c r="J35" s="2">
        <v>0</v>
      </c>
      <c r="K35" s="2">
        <v>9838.5400000000009</v>
      </c>
      <c r="L35" s="2">
        <v>0</v>
      </c>
      <c r="M35" s="2">
        <v>0</v>
      </c>
      <c r="N35" s="2">
        <v>0</v>
      </c>
      <c r="O35" s="3">
        <f t="shared" si="1"/>
        <v>47317.69</v>
      </c>
    </row>
    <row r="36" spans="1:15" x14ac:dyDescent="0.2">
      <c r="A36" s="5">
        <v>94</v>
      </c>
      <c r="B36" s="5">
        <v>1</v>
      </c>
      <c r="C36" s="2" t="s">
        <v>33</v>
      </c>
      <c r="D36" s="2">
        <v>0</v>
      </c>
      <c r="E36" s="2">
        <v>0</v>
      </c>
      <c r="F36" s="2">
        <v>91861.41</v>
      </c>
      <c r="G36" s="2">
        <v>0</v>
      </c>
      <c r="H36" s="2">
        <v>34548.25</v>
      </c>
      <c r="I36" s="2">
        <v>19234.32</v>
      </c>
      <c r="J36" s="2">
        <v>0</v>
      </c>
      <c r="K36" s="2">
        <v>20978.86</v>
      </c>
      <c r="L36" s="2">
        <v>0</v>
      </c>
      <c r="M36" s="2">
        <v>0</v>
      </c>
      <c r="N36" s="2">
        <v>0</v>
      </c>
      <c r="O36" s="3">
        <f t="shared" si="1"/>
        <v>166622.84000000003</v>
      </c>
    </row>
    <row r="37" spans="1:15" x14ac:dyDescent="0.2">
      <c r="A37" s="5">
        <v>95</v>
      </c>
      <c r="B37" s="5">
        <v>1</v>
      </c>
      <c r="C37" s="2" t="s">
        <v>34</v>
      </c>
      <c r="D37" s="2">
        <v>0</v>
      </c>
      <c r="E37" s="2">
        <v>0</v>
      </c>
      <c r="F37" s="2">
        <v>0</v>
      </c>
      <c r="G37" s="2">
        <v>0</v>
      </c>
      <c r="H37" s="2">
        <v>10000</v>
      </c>
      <c r="I37" s="2">
        <v>0</v>
      </c>
      <c r="J37" s="2">
        <v>0</v>
      </c>
      <c r="K37" s="2">
        <v>85.12</v>
      </c>
      <c r="L37" s="2">
        <v>0</v>
      </c>
      <c r="M37" s="2">
        <v>0</v>
      </c>
      <c r="N37" s="2">
        <v>0</v>
      </c>
      <c r="O37" s="3">
        <f t="shared" si="1"/>
        <v>10085.120000000001</v>
      </c>
    </row>
    <row r="38" spans="1:15" x14ac:dyDescent="0.2">
      <c r="A38" s="5">
        <v>97</v>
      </c>
      <c r="B38" s="5">
        <v>1</v>
      </c>
      <c r="C38" s="2" t="s">
        <v>35</v>
      </c>
      <c r="D38" s="2">
        <v>0</v>
      </c>
      <c r="E38" s="2">
        <v>0</v>
      </c>
      <c r="F38" s="2">
        <v>31851.86</v>
      </c>
      <c r="G38" s="2">
        <v>0</v>
      </c>
      <c r="H38" s="2">
        <v>0</v>
      </c>
      <c r="I38" s="2">
        <v>0</v>
      </c>
      <c r="J38" s="2">
        <v>0</v>
      </c>
      <c r="K38" s="2">
        <v>28695.22</v>
      </c>
      <c r="L38" s="2">
        <v>0</v>
      </c>
      <c r="M38" s="2">
        <v>0</v>
      </c>
      <c r="N38" s="2">
        <v>0</v>
      </c>
      <c r="O38" s="3">
        <f t="shared" si="1"/>
        <v>60547.08</v>
      </c>
    </row>
    <row r="39" spans="1:15" x14ac:dyDescent="0.2">
      <c r="A39" s="5">
        <v>99</v>
      </c>
      <c r="B39" s="5">
        <v>1</v>
      </c>
      <c r="C39" s="2" t="s">
        <v>36</v>
      </c>
      <c r="D39" s="2">
        <v>0</v>
      </c>
      <c r="E39" s="2">
        <v>0</v>
      </c>
      <c r="F39" s="2">
        <v>29606.959999999999</v>
      </c>
      <c r="G39" s="2">
        <v>11758.5</v>
      </c>
      <c r="H39" s="2">
        <v>21656</v>
      </c>
      <c r="I39" s="2">
        <v>0</v>
      </c>
      <c r="J39" s="2">
        <v>0</v>
      </c>
      <c r="K39" s="2">
        <v>-1291.73</v>
      </c>
      <c r="L39" s="2">
        <v>0</v>
      </c>
      <c r="M39" s="2">
        <v>0</v>
      </c>
      <c r="N39" s="2">
        <v>0</v>
      </c>
      <c r="O39" s="3">
        <f t="shared" si="1"/>
        <v>61729.729999999996</v>
      </c>
    </row>
    <row r="40" spans="1:15" x14ac:dyDescent="0.2">
      <c r="A40" s="5">
        <v>100</v>
      </c>
      <c r="B40" s="5">
        <v>1</v>
      </c>
      <c r="C40" s="2" t="s">
        <v>37</v>
      </c>
      <c r="D40" s="2">
        <v>0</v>
      </c>
      <c r="E40" s="2">
        <v>0</v>
      </c>
      <c r="F40" s="2">
        <v>14322.89</v>
      </c>
      <c r="G40" s="2">
        <v>10979.92</v>
      </c>
      <c r="H40" s="2">
        <v>10000</v>
      </c>
      <c r="I40" s="2">
        <v>0</v>
      </c>
      <c r="J40" s="2">
        <v>0</v>
      </c>
      <c r="K40" s="2">
        <v>9441.2099999999991</v>
      </c>
      <c r="L40" s="2">
        <v>0</v>
      </c>
      <c r="M40" s="2">
        <v>0</v>
      </c>
      <c r="N40" s="2">
        <v>0</v>
      </c>
      <c r="O40" s="3">
        <f t="shared" si="1"/>
        <v>44744.02</v>
      </c>
    </row>
    <row r="41" spans="1:15" x14ac:dyDescent="0.2">
      <c r="A41" s="5">
        <v>108</v>
      </c>
      <c r="B41" s="5">
        <v>1</v>
      </c>
      <c r="C41" s="2" t="s">
        <v>38</v>
      </c>
      <c r="D41" s="2">
        <v>0</v>
      </c>
      <c r="E41" s="2">
        <v>0</v>
      </c>
      <c r="F41" s="2">
        <v>63073.58</v>
      </c>
      <c r="G41" s="2">
        <v>0</v>
      </c>
      <c r="H41" s="2">
        <v>23427.89</v>
      </c>
      <c r="I41" s="2">
        <v>0</v>
      </c>
      <c r="J41" s="2">
        <v>0</v>
      </c>
      <c r="K41" s="2">
        <v>19117.88</v>
      </c>
      <c r="L41" s="2">
        <v>0</v>
      </c>
      <c r="M41" s="2">
        <v>0</v>
      </c>
      <c r="N41" s="2">
        <v>0</v>
      </c>
      <c r="O41" s="3">
        <f t="shared" si="1"/>
        <v>105619.35</v>
      </c>
    </row>
    <row r="42" spans="1:15" x14ac:dyDescent="0.2">
      <c r="A42" s="5">
        <v>110</v>
      </c>
      <c r="B42" s="5">
        <v>1</v>
      </c>
      <c r="C42" s="2" t="s">
        <v>39</v>
      </c>
      <c r="D42" s="2">
        <v>0</v>
      </c>
      <c r="E42" s="2">
        <v>0</v>
      </c>
      <c r="F42" s="2">
        <v>263386.8</v>
      </c>
      <c r="G42" s="2">
        <v>47580.01</v>
      </c>
      <c r="H42" s="2">
        <v>51073.18</v>
      </c>
      <c r="I42" s="2">
        <v>0</v>
      </c>
      <c r="J42" s="2">
        <v>0</v>
      </c>
      <c r="K42" s="2">
        <v>9354.99</v>
      </c>
      <c r="L42" s="2">
        <v>0</v>
      </c>
      <c r="M42" s="2">
        <v>0</v>
      </c>
      <c r="N42" s="2">
        <v>0</v>
      </c>
      <c r="O42" s="3">
        <f t="shared" si="1"/>
        <v>371394.98</v>
      </c>
    </row>
    <row r="43" spans="1:15" x14ac:dyDescent="0.2">
      <c r="A43" s="5">
        <v>111</v>
      </c>
      <c r="B43" s="5">
        <v>1</v>
      </c>
      <c r="C43" s="2" t="s">
        <v>40</v>
      </c>
      <c r="D43" s="2">
        <v>0</v>
      </c>
      <c r="E43" s="2">
        <v>0</v>
      </c>
      <c r="F43" s="2">
        <v>53287.46</v>
      </c>
      <c r="G43" s="2">
        <v>14098.14</v>
      </c>
      <c r="H43" s="2">
        <v>30516</v>
      </c>
      <c r="I43" s="2">
        <v>0</v>
      </c>
      <c r="J43" s="2">
        <v>0</v>
      </c>
      <c r="K43" s="2">
        <v>9075.74</v>
      </c>
      <c r="L43" s="2">
        <v>0</v>
      </c>
      <c r="M43" s="2">
        <v>0</v>
      </c>
      <c r="N43" s="2">
        <v>0</v>
      </c>
      <c r="O43" s="3">
        <f t="shared" si="1"/>
        <v>106977.34000000001</v>
      </c>
    </row>
    <row r="44" spans="1:15" x14ac:dyDescent="0.2">
      <c r="A44" s="5">
        <v>112</v>
      </c>
      <c r="B44" s="5">
        <v>1</v>
      </c>
      <c r="C44" s="2" t="s">
        <v>41</v>
      </c>
      <c r="D44" s="2">
        <v>0</v>
      </c>
      <c r="E44" s="2">
        <v>0</v>
      </c>
      <c r="F44" s="2">
        <v>1809944.64</v>
      </c>
      <c r="G44" s="2">
        <v>41804.71</v>
      </c>
      <c r="H44" s="2">
        <v>121116.57</v>
      </c>
      <c r="I44" s="2">
        <v>0</v>
      </c>
      <c r="J44" s="2">
        <v>0</v>
      </c>
      <c r="K44" s="2">
        <v>62107.58</v>
      </c>
      <c r="L44" s="2">
        <v>0</v>
      </c>
      <c r="M44" s="2">
        <v>0</v>
      </c>
      <c r="N44" s="2">
        <v>0</v>
      </c>
      <c r="O44" s="3">
        <f t="shared" si="1"/>
        <v>2034973.5</v>
      </c>
    </row>
    <row r="45" spans="1:15" x14ac:dyDescent="0.2">
      <c r="A45" s="5">
        <v>113</v>
      </c>
      <c r="B45" s="5">
        <v>1</v>
      </c>
      <c r="C45" s="2" t="s">
        <v>42</v>
      </c>
      <c r="D45" s="2">
        <v>0</v>
      </c>
      <c r="E45" s="2">
        <v>0</v>
      </c>
      <c r="F45" s="2">
        <v>0</v>
      </c>
      <c r="G45" s="2">
        <v>0</v>
      </c>
      <c r="H45" s="2">
        <v>20972.62</v>
      </c>
      <c r="I45" s="2">
        <v>0</v>
      </c>
      <c r="J45" s="2">
        <v>0</v>
      </c>
      <c r="K45" s="2">
        <v>29499.24</v>
      </c>
      <c r="L45" s="2">
        <v>0</v>
      </c>
      <c r="M45" s="2">
        <v>0</v>
      </c>
      <c r="N45" s="2">
        <v>0</v>
      </c>
      <c r="O45" s="3">
        <f t="shared" si="1"/>
        <v>50471.86</v>
      </c>
    </row>
    <row r="46" spans="1:15" x14ac:dyDescent="0.2">
      <c r="A46" s="5">
        <v>115</v>
      </c>
      <c r="B46" s="5">
        <v>1</v>
      </c>
      <c r="C46" s="2" t="s">
        <v>43</v>
      </c>
      <c r="D46" s="2">
        <v>0</v>
      </c>
      <c r="E46" s="2">
        <v>0</v>
      </c>
      <c r="F46" s="2">
        <v>0</v>
      </c>
      <c r="G46" s="2">
        <v>0</v>
      </c>
      <c r="H46" s="2">
        <v>14866.630000000001</v>
      </c>
      <c r="I46" s="2">
        <v>0</v>
      </c>
      <c r="J46" s="2">
        <v>0</v>
      </c>
      <c r="K46" s="2">
        <v>-10000</v>
      </c>
      <c r="L46" s="2">
        <v>0</v>
      </c>
      <c r="M46" s="2">
        <v>0</v>
      </c>
      <c r="N46" s="2">
        <v>0</v>
      </c>
      <c r="O46" s="3">
        <f t="shared" si="1"/>
        <v>4866.630000000001</v>
      </c>
    </row>
    <row r="47" spans="1:15" x14ac:dyDescent="0.2">
      <c r="A47" s="5">
        <v>116</v>
      </c>
      <c r="B47" s="5">
        <v>1</v>
      </c>
      <c r="C47" s="2" t="s">
        <v>44</v>
      </c>
      <c r="D47" s="2">
        <v>0</v>
      </c>
      <c r="E47" s="2">
        <v>0</v>
      </c>
      <c r="F47" s="2">
        <v>0</v>
      </c>
      <c r="G47" s="2">
        <v>0</v>
      </c>
      <c r="H47" s="2">
        <v>15164</v>
      </c>
      <c r="I47" s="2">
        <v>0</v>
      </c>
      <c r="J47" s="2">
        <v>0</v>
      </c>
      <c r="K47" s="2">
        <v>13370.58</v>
      </c>
      <c r="L47" s="2">
        <v>0</v>
      </c>
      <c r="M47" s="2">
        <v>0</v>
      </c>
      <c r="N47" s="2">
        <v>0</v>
      </c>
      <c r="O47" s="3">
        <f t="shared" si="1"/>
        <v>28534.58</v>
      </c>
    </row>
    <row r="48" spans="1:15" x14ac:dyDescent="0.2">
      <c r="A48" s="5">
        <v>118</v>
      </c>
      <c r="B48" s="5">
        <v>1</v>
      </c>
      <c r="C48" s="2" t="s">
        <v>45</v>
      </c>
      <c r="D48" s="2">
        <v>0</v>
      </c>
      <c r="E48" s="2">
        <v>0</v>
      </c>
      <c r="F48" s="2">
        <v>71477.7</v>
      </c>
      <c r="G48" s="2">
        <v>0</v>
      </c>
      <c r="H48" s="2">
        <v>11326.05</v>
      </c>
      <c r="I48" s="2">
        <v>0</v>
      </c>
      <c r="J48" s="2">
        <v>0</v>
      </c>
      <c r="K48" s="2">
        <v>-14202.63</v>
      </c>
      <c r="L48" s="2">
        <v>0</v>
      </c>
      <c r="M48" s="2">
        <v>0</v>
      </c>
      <c r="N48" s="2">
        <v>0</v>
      </c>
      <c r="O48" s="3">
        <f t="shared" si="1"/>
        <v>68601.119999999995</v>
      </c>
    </row>
    <row r="49" spans="1:15" x14ac:dyDescent="0.2">
      <c r="A49" s="5">
        <v>129</v>
      </c>
      <c r="B49" s="5">
        <v>1</v>
      </c>
      <c r="C49" s="2" t="s">
        <v>46</v>
      </c>
      <c r="D49" s="2">
        <v>0</v>
      </c>
      <c r="E49" s="2">
        <v>0</v>
      </c>
      <c r="F49" s="2">
        <v>76642.47</v>
      </c>
      <c r="G49" s="2">
        <v>0</v>
      </c>
      <c r="H49" s="2">
        <v>79989.17</v>
      </c>
      <c r="I49" s="2">
        <v>0</v>
      </c>
      <c r="J49" s="2">
        <v>0</v>
      </c>
      <c r="K49" s="2">
        <v>-7618.4199999999983</v>
      </c>
      <c r="L49" s="2">
        <v>0</v>
      </c>
      <c r="M49" s="2">
        <v>0</v>
      </c>
      <c r="N49" s="2">
        <v>0</v>
      </c>
      <c r="O49" s="3">
        <f t="shared" si="1"/>
        <v>149013.22000000003</v>
      </c>
    </row>
    <row r="50" spans="1:15" x14ac:dyDescent="0.2">
      <c r="A50" s="5">
        <v>138</v>
      </c>
      <c r="B50" s="5">
        <v>1</v>
      </c>
      <c r="C50" s="2" t="s">
        <v>47</v>
      </c>
      <c r="D50" s="2">
        <v>0</v>
      </c>
      <c r="E50" s="2">
        <v>0</v>
      </c>
      <c r="F50" s="2">
        <v>124195.25</v>
      </c>
      <c r="G50" s="2">
        <v>0</v>
      </c>
      <c r="H50" s="2">
        <v>57312.14</v>
      </c>
      <c r="I50" s="2">
        <v>0</v>
      </c>
      <c r="J50" s="2">
        <v>0</v>
      </c>
      <c r="K50" s="2">
        <v>37454.21</v>
      </c>
      <c r="L50" s="2">
        <v>0</v>
      </c>
      <c r="M50" s="2">
        <v>0</v>
      </c>
      <c r="N50" s="2">
        <v>0</v>
      </c>
      <c r="O50" s="3">
        <f t="shared" si="1"/>
        <v>218961.6</v>
      </c>
    </row>
    <row r="51" spans="1:15" x14ac:dyDescent="0.2">
      <c r="A51" s="5">
        <v>139</v>
      </c>
      <c r="B51" s="5">
        <v>1</v>
      </c>
      <c r="C51" s="2" t="s">
        <v>48</v>
      </c>
      <c r="D51" s="2">
        <v>0</v>
      </c>
      <c r="E51" s="2">
        <v>0</v>
      </c>
      <c r="F51" s="2">
        <v>0</v>
      </c>
      <c r="G51" s="2">
        <v>0</v>
      </c>
      <c r="H51" s="2">
        <v>18361.599999999999</v>
      </c>
      <c r="I51" s="2">
        <v>0</v>
      </c>
      <c r="J51" s="2">
        <v>-7914.05</v>
      </c>
      <c r="K51" s="2">
        <v>12639.9</v>
      </c>
      <c r="L51" s="2">
        <v>0</v>
      </c>
      <c r="M51" s="2">
        <v>0</v>
      </c>
      <c r="N51" s="2">
        <v>0</v>
      </c>
      <c r="O51" s="3">
        <f t="shared" si="1"/>
        <v>23087.449999999997</v>
      </c>
    </row>
    <row r="52" spans="1:15" x14ac:dyDescent="0.2">
      <c r="A52" s="5">
        <v>146</v>
      </c>
      <c r="B52" s="5">
        <v>1</v>
      </c>
      <c r="C52" s="2" t="s">
        <v>49</v>
      </c>
      <c r="D52" s="2">
        <v>0</v>
      </c>
      <c r="E52" s="2">
        <v>0</v>
      </c>
      <c r="F52" s="2">
        <v>47325.63</v>
      </c>
      <c r="G52" s="2">
        <v>0</v>
      </c>
      <c r="H52" s="2">
        <v>13725.220000000001</v>
      </c>
      <c r="I52" s="2">
        <v>0</v>
      </c>
      <c r="J52" s="2">
        <v>0</v>
      </c>
      <c r="K52" s="2">
        <v>8913.26</v>
      </c>
      <c r="L52" s="2">
        <v>0</v>
      </c>
      <c r="M52" s="2">
        <v>0</v>
      </c>
      <c r="N52" s="2">
        <v>0</v>
      </c>
      <c r="O52" s="3">
        <f t="shared" si="1"/>
        <v>69964.11</v>
      </c>
    </row>
    <row r="53" spans="1:15" x14ac:dyDescent="0.2">
      <c r="A53" s="5">
        <v>150</v>
      </c>
      <c r="B53" s="5">
        <v>1</v>
      </c>
      <c r="C53" s="2" t="s">
        <v>50</v>
      </c>
      <c r="D53" s="2">
        <v>0</v>
      </c>
      <c r="E53" s="2">
        <v>0</v>
      </c>
      <c r="F53" s="2">
        <v>27885.64</v>
      </c>
      <c r="G53" s="2">
        <v>0</v>
      </c>
      <c r="H53" s="2">
        <v>15444.880000000001</v>
      </c>
      <c r="I53" s="2">
        <v>0</v>
      </c>
      <c r="J53" s="2">
        <v>0</v>
      </c>
      <c r="K53" s="2">
        <v>-853.2299999999999</v>
      </c>
      <c r="L53" s="2">
        <v>0</v>
      </c>
      <c r="M53" s="2">
        <v>0</v>
      </c>
      <c r="N53" s="2">
        <v>0</v>
      </c>
      <c r="O53" s="3">
        <f t="shared" si="1"/>
        <v>42477.29</v>
      </c>
    </row>
    <row r="54" spans="1:15" x14ac:dyDescent="0.2">
      <c r="A54" s="5">
        <v>152</v>
      </c>
      <c r="B54" s="5">
        <v>1</v>
      </c>
      <c r="C54" s="2" t="s">
        <v>51</v>
      </c>
      <c r="D54" s="2">
        <v>0</v>
      </c>
      <c r="E54" s="2">
        <v>0</v>
      </c>
      <c r="F54" s="2">
        <v>260799.18</v>
      </c>
      <c r="G54" s="2">
        <v>0</v>
      </c>
      <c r="H54" s="2">
        <v>100056.2</v>
      </c>
      <c r="I54" s="2">
        <v>0</v>
      </c>
      <c r="J54" s="2">
        <v>0</v>
      </c>
      <c r="K54" s="2">
        <v>29047</v>
      </c>
      <c r="L54" s="2">
        <v>0</v>
      </c>
      <c r="M54" s="2">
        <v>0</v>
      </c>
      <c r="N54" s="2">
        <v>0</v>
      </c>
      <c r="O54" s="3">
        <f t="shared" si="1"/>
        <v>389902.38</v>
      </c>
    </row>
    <row r="55" spans="1:15" x14ac:dyDescent="0.2">
      <c r="A55" s="5">
        <v>162</v>
      </c>
      <c r="B55" s="5">
        <v>1</v>
      </c>
      <c r="C55" s="2" t="s">
        <v>52</v>
      </c>
      <c r="D55" s="2">
        <v>0</v>
      </c>
      <c r="E55" s="2">
        <v>0</v>
      </c>
      <c r="F55" s="2">
        <v>0</v>
      </c>
      <c r="G55" s="2">
        <v>0</v>
      </c>
      <c r="H55" s="2">
        <v>21062.29</v>
      </c>
      <c r="I55" s="2">
        <v>0</v>
      </c>
      <c r="J55" s="2">
        <v>0</v>
      </c>
      <c r="K55" s="2">
        <v>-4541.16</v>
      </c>
      <c r="L55" s="2">
        <v>0</v>
      </c>
      <c r="M55" s="2">
        <v>0</v>
      </c>
      <c r="N55" s="2">
        <v>0</v>
      </c>
      <c r="O55" s="3">
        <f t="shared" si="1"/>
        <v>16521.13</v>
      </c>
    </row>
    <row r="56" spans="1:15" x14ac:dyDescent="0.2">
      <c r="A56" s="5">
        <v>166</v>
      </c>
      <c r="B56" s="5">
        <v>1</v>
      </c>
      <c r="C56" s="2" t="s">
        <v>53</v>
      </c>
      <c r="D56" s="2">
        <v>0</v>
      </c>
      <c r="E56" s="2">
        <v>0</v>
      </c>
      <c r="F56" s="2">
        <v>32084.66</v>
      </c>
      <c r="G56" s="2">
        <v>0</v>
      </c>
      <c r="H56" s="2">
        <v>13338.099999999999</v>
      </c>
      <c r="I56" s="2">
        <v>0</v>
      </c>
      <c r="J56" s="2">
        <v>-6753.28</v>
      </c>
      <c r="K56" s="2">
        <v>9598.2199999999993</v>
      </c>
      <c r="L56" s="2">
        <v>0</v>
      </c>
      <c r="M56" s="2">
        <v>0</v>
      </c>
      <c r="N56" s="2">
        <v>0</v>
      </c>
      <c r="O56" s="3">
        <f t="shared" si="1"/>
        <v>48267.7</v>
      </c>
    </row>
    <row r="57" spans="1:15" x14ac:dyDescent="0.2">
      <c r="A57" s="5">
        <v>173</v>
      </c>
      <c r="B57" s="5">
        <v>1</v>
      </c>
      <c r="C57" s="2" t="s">
        <v>54</v>
      </c>
      <c r="D57" s="2">
        <v>0</v>
      </c>
      <c r="E57" s="2">
        <v>0</v>
      </c>
      <c r="F57" s="2">
        <v>90731.14</v>
      </c>
      <c r="G57" s="2">
        <v>4153.8</v>
      </c>
      <c r="H57" s="2">
        <v>16057.38</v>
      </c>
      <c r="I57" s="2">
        <v>0</v>
      </c>
      <c r="J57" s="2">
        <v>0</v>
      </c>
      <c r="K57" s="2">
        <v>4218.9400000000005</v>
      </c>
      <c r="L57" s="2">
        <v>0</v>
      </c>
      <c r="M57" s="2">
        <v>0</v>
      </c>
      <c r="N57" s="2">
        <v>0</v>
      </c>
      <c r="O57" s="3">
        <f t="shared" si="1"/>
        <v>115161.26000000001</v>
      </c>
    </row>
    <row r="58" spans="1:15" x14ac:dyDescent="0.2">
      <c r="A58" s="5">
        <v>177</v>
      </c>
      <c r="B58" s="5">
        <v>1</v>
      </c>
      <c r="C58" s="2" t="s">
        <v>55</v>
      </c>
      <c r="D58" s="2">
        <v>0</v>
      </c>
      <c r="E58" s="2">
        <v>0</v>
      </c>
      <c r="F58" s="2">
        <v>79181.69</v>
      </c>
      <c r="G58" s="2">
        <v>7877.23</v>
      </c>
      <c r="H58" s="2">
        <v>16862.8</v>
      </c>
      <c r="I58" s="2">
        <v>0</v>
      </c>
      <c r="J58" s="2">
        <v>-2000</v>
      </c>
      <c r="K58" s="2">
        <v>-9858.69</v>
      </c>
      <c r="L58" s="2">
        <v>0</v>
      </c>
      <c r="M58" s="2">
        <v>0</v>
      </c>
      <c r="N58" s="2">
        <v>0</v>
      </c>
      <c r="O58" s="3">
        <f t="shared" si="1"/>
        <v>92063.03</v>
      </c>
    </row>
    <row r="59" spans="1:15" x14ac:dyDescent="0.2">
      <c r="A59" s="5">
        <v>181</v>
      </c>
      <c r="B59" s="5">
        <v>1</v>
      </c>
      <c r="C59" s="2" t="s">
        <v>56</v>
      </c>
      <c r="D59" s="2">
        <v>0</v>
      </c>
      <c r="E59" s="2">
        <v>0</v>
      </c>
      <c r="F59" s="2">
        <v>381870.54</v>
      </c>
      <c r="G59" s="2">
        <v>0</v>
      </c>
      <c r="H59" s="2">
        <v>244585.03</v>
      </c>
      <c r="I59" s="2">
        <v>0</v>
      </c>
      <c r="J59" s="2">
        <v>0</v>
      </c>
      <c r="K59" s="2">
        <v>62347.31</v>
      </c>
      <c r="L59" s="2">
        <v>0</v>
      </c>
      <c r="M59" s="2">
        <v>0</v>
      </c>
      <c r="N59" s="2">
        <v>0</v>
      </c>
      <c r="O59" s="3">
        <f t="shared" si="1"/>
        <v>688802.87999999989</v>
      </c>
    </row>
    <row r="60" spans="1:15" x14ac:dyDescent="0.2">
      <c r="A60" s="5">
        <v>182</v>
      </c>
      <c r="B60" s="5">
        <v>1</v>
      </c>
      <c r="C60" s="2" t="s">
        <v>57</v>
      </c>
      <c r="D60" s="2">
        <v>0</v>
      </c>
      <c r="E60" s="2">
        <v>0</v>
      </c>
      <c r="F60" s="2">
        <v>41830.449999999997</v>
      </c>
      <c r="G60" s="2">
        <v>0</v>
      </c>
      <c r="H60" s="2">
        <v>27542.13</v>
      </c>
      <c r="I60" s="2">
        <v>0</v>
      </c>
      <c r="J60" s="2">
        <v>0</v>
      </c>
      <c r="K60" s="2">
        <v>-3189.9599999999991</v>
      </c>
      <c r="L60" s="2">
        <v>0</v>
      </c>
      <c r="M60" s="2">
        <v>0</v>
      </c>
      <c r="N60" s="2">
        <v>0</v>
      </c>
      <c r="O60" s="3">
        <f t="shared" si="1"/>
        <v>66182.62</v>
      </c>
    </row>
    <row r="61" spans="1:15" x14ac:dyDescent="0.2">
      <c r="A61" s="5">
        <v>186</v>
      </c>
      <c r="B61" s="5">
        <v>1</v>
      </c>
      <c r="C61" s="2" t="s">
        <v>58</v>
      </c>
      <c r="D61" s="2">
        <v>0</v>
      </c>
      <c r="E61" s="2">
        <v>0</v>
      </c>
      <c r="F61" s="2">
        <v>0</v>
      </c>
      <c r="G61" s="2">
        <v>0</v>
      </c>
      <c r="H61" s="2">
        <v>32444</v>
      </c>
      <c r="I61" s="2">
        <v>0</v>
      </c>
      <c r="J61" s="2">
        <v>0</v>
      </c>
      <c r="K61" s="2">
        <v>27112.48</v>
      </c>
      <c r="L61" s="2">
        <v>0</v>
      </c>
      <c r="M61" s="2">
        <v>0</v>
      </c>
      <c r="N61" s="2">
        <v>0</v>
      </c>
      <c r="O61" s="3">
        <f t="shared" si="1"/>
        <v>59556.479999999996</v>
      </c>
    </row>
    <row r="62" spans="1:15" x14ac:dyDescent="0.2">
      <c r="A62" s="5">
        <v>191</v>
      </c>
      <c r="B62" s="5">
        <v>1</v>
      </c>
      <c r="C62" s="2" t="s">
        <v>59</v>
      </c>
      <c r="D62" s="2">
        <v>0</v>
      </c>
      <c r="E62" s="2">
        <v>0</v>
      </c>
      <c r="F62" s="2">
        <v>3269341.23</v>
      </c>
      <c r="G62" s="2">
        <v>0</v>
      </c>
      <c r="H62" s="2">
        <v>207844.47</v>
      </c>
      <c r="I62" s="2">
        <v>0</v>
      </c>
      <c r="J62" s="2">
        <v>0</v>
      </c>
      <c r="K62" s="2">
        <v>155648.88</v>
      </c>
      <c r="L62" s="2">
        <v>0</v>
      </c>
      <c r="M62" s="2">
        <v>0</v>
      </c>
      <c r="N62" s="2">
        <v>0</v>
      </c>
      <c r="O62" s="3">
        <f t="shared" si="1"/>
        <v>3632834.58</v>
      </c>
    </row>
    <row r="63" spans="1:15" x14ac:dyDescent="0.2">
      <c r="A63" s="5">
        <v>192</v>
      </c>
      <c r="B63" s="5">
        <v>1</v>
      </c>
      <c r="C63" s="2" t="s">
        <v>60</v>
      </c>
      <c r="D63" s="2">
        <v>0</v>
      </c>
      <c r="E63" s="2">
        <v>0</v>
      </c>
      <c r="F63" s="2">
        <v>497003.31</v>
      </c>
      <c r="G63" s="2">
        <v>34108.79</v>
      </c>
      <c r="H63" s="2">
        <v>98792.05</v>
      </c>
      <c r="I63" s="2">
        <v>0</v>
      </c>
      <c r="J63" s="2">
        <v>0</v>
      </c>
      <c r="K63" s="2">
        <v>17090.400000000001</v>
      </c>
      <c r="L63" s="2">
        <v>0</v>
      </c>
      <c r="M63" s="2">
        <v>0</v>
      </c>
      <c r="N63" s="2">
        <v>0</v>
      </c>
      <c r="O63" s="3">
        <f t="shared" si="1"/>
        <v>646994.55000000005</v>
      </c>
    </row>
    <row r="64" spans="1:15" x14ac:dyDescent="0.2">
      <c r="A64" s="5">
        <v>194</v>
      </c>
      <c r="B64" s="5">
        <v>1</v>
      </c>
      <c r="C64" s="2" t="s">
        <v>61</v>
      </c>
      <c r="D64" s="2">
        <v>0</v>
      </c>
      <c r="E64" s="2">
        <v>0</v>
      </c>
      <c r="F64" s="2">
        <v>2328572.5699999998</v>
      </c>
      <c r="G64" s="2">
        <v>230506.25</v>
      </c>
      <c r="H64" s="2">
        <v>195855.41</v>
      </c>
      <c r="I64" s="2">
        <v>0</v>
      </c>
      <c r="J64" s="2">
        <v>0</v>
      </c>
      <c r="K64" s="2">
        <v>76281.64</v>
      </c>
      <c r="L64" s="2">
        <v>0</v>
      </c>
      <c r="M64" s="2">
        <v>0</v>
      </c>
      <c r="N64" s="2">
        <v>0</v>
      </c>
      <c r="O64" s="3">
        <f t="shared" si="1"/>
        <v>2831215.87</v>
      </c>
    </row>
    <row r="65" spans="1:15" x14ac:dyDescent="0.2">
      <c r="A65" s="5">
        <v>195</v>
      </c>
      <c r="B65" s="5">
        <v>1</v>
      </c>
      <c r="C65" s="2" t="s">
        <v>62</v>
      </c>
      <c r="D65" s="2">
        <v>0</v>
      </c>
      <c r="E65" s="2">
        <v>0</v>
      </c>
      <c r="F65" s="2">
        <v>139518.71</v>
      </c>
      <c r="G65" s="2">
        <v>0</v>
      </c>
      <c r="H65" s="2">
        <v>11161.6</v>
      </c>
      <c r="I65" s="2">
        <v>0</v>
      </c>
      <c r="J65" s="2">
        <v>0</v>
      </c>
      <c r="K65" s="2">
        <v>6039.57</v>
      </c>
      <c r="L65" s="2">
        <v>0</v>
      </c>
      <c r="M65" s="2">
        <v>0</v>
      </c>
      <c r="N65" s="2">
        <v>0</v>
      </c>
      <c r="O65" s="3">
        <f t="shared" si="1"/>
        <v>156719.88</v>
      </c>
    </row>
    <row r="66" spans="1:15" x14ac:dyDescent="0.2">
      <c r="A66" s="5">
        <v>196</v>
      </c>
      <c r="B66" s="5">
        <v>1</v>
      </c>
      <c r="C66" s="2" t="s">
        <v>63</v>
      </c>
      <c r="D66" s="2">
        <v>0</v>
      </c>
      <c r="E66" s="2">
        <v>0</v>
      </c>
      <c r="F66" s="2">
        <v>2902781.6</v>
      </c>
      <c r="G66" s="2">
        <v>0</v>
      </c>
      <c r="H66" s="2">
        <v>420260.56</v>
      </c>
      <c r="I66" s="2">
        <v>0</v>
      </c>
      <c r="J66" s="2">
        <v>0</v>
      </c>
      <c r="K66" s="2">
        <v>214008.65</v>
      </c>
      <c r="L66" s="2">
        <v>0</v>
      </c>
      <c r="M66" s="2">
        <v>0</v>
      </c>
      <c r="N66" s="2">
        <v>0</v>
      </c>
      <c r="O66" s="3">
        <f t="shared" si="1"/>
        <v>3537050.81</v>
      </c>
    </row>
    <row r="67" spans="1:15" x14ac:dyDescent="0.2">
      <c r="A67" s="5">
        <v>197</v>
      </c>
      <c r="B67" s="5">
        <v>1</v>
      </c>
      <c r="C67" s="2" t="s">
        <v>64</v>
      </c>
      <c r="D67" s="2">
        <v>0</v>
      </c>
      <c r="E67" s="2">
        <v>0</v>
      </c>
      <c r="F67" s="2">
        <v>1798011.75</v>
      </c>
      <c r="G67" s="2">
        <v>0</v>
      </c>
      <c r="H67" s="2">
        <v>73343.75</v>
      </c>
      <c r="I67" s="2">
        <v>0</v>
      </c>
      <c r="J67" s="2">
        <v>0</v>
      </c>
      <c r="K67" s="2">
        <v>35102.26</v>
      </c>
      <c r="L67" s="2">
        <v>0</v>
      </c>
      <c r="M67" s="2">
        <v>0</v>
      </c>
      <c r="N67" s="2">
        <v>0</v>
      </c>
      <c r="O67" s="3">
        <f t="shared" si="1"/>
        <v>1906457.76</v>
      </c>
    </row>
    <row r="68" spans="1:15" x14ac:dyDescent="0.2">
      <c r="A68" s="5">
        <v>199</v>
      </c>
      <c r="B68" s="5">
        <v>1</v>
      </c>
      <c r="C68" s="2" t="s">
        <v>65</v>
      </c>
      <c r="D68" s="2">
        <v>0</v>
      </c>
      <c r="E68" s="2">
        <v>0</v>
      </c>
      <c r="F68" s="2">
        <v>996898.87</v>
      </c>
      <c r="G68" s="2">
        <v>29000.73</v>
      </c>
      <c r="H68" s="2">
        <v>72404.799999999988</v>
      </c>
      <c r="I68" s="2">
        <v>0</v>
      </c>
      <c r="J68" s="2">
        <v>0</v>
      </c>
      <c r="K68" s="2">
        <v>40214.550000000003</v>
      </c>
      <c r="L68" s="2">
        <v>0</v>
      </c>
      <c r="M68" s="2">
        <v>0</v>
      </c>
      <c r="N68" s="2">
        <v>0</v>
      </c>
      <c r="O68" s="3">
        <f t="shared" si="1"/>
        <v>1138518.95</v>
      </c>
    </row>
    <row r="69" spans="1:15" x14ac:dyDescent="0.2">
      <c r="A69" s="5">
        <v>200</v>
      </c>
      <c r="B69" s="5">
        <v>1</v>
      </c>
      <c r="C69" s="2" t="s">
        <v>66</v>
      </c>
      <c r="D69" s="2">
        <v>0</v>
      </c>
      <c r="E69" s="2">
        <v>0</v>
      </c>
      <c r="F69" s="2">
        <v>552049.56000000006</v>
      </c>
      <c r="G69" s="2">
        <v>43073.06</v>
      </c>
      <c r="H69" s="2">
        <v>44307.61</v>
      </c>
      <c r="I69" s="2">
        <v>0</v>
      </c>
      <c r="J69" s="2">
        <v>0</v>
      </c>
      <c r="K69" s="2">
        <v>7764.6</v>
      </c>
      <c r="L69" s="2">
        <v>0</v>
      </c>
      <c r="M69" s="2">
        <v>0</v>
      </c>
      <c r="N69" s="2">
        <v>0</v>
      </c>
      <c r="O69" s="3">
        <f t="shared" si="1"/>
        <v>647194.83000000007</v>
      </c>
    </row>
    <row r="70" spans="1:15" x14ac:dyDescent="0.2">
      <c r="A70" s="5">
        <v>203</v>
      </c>
      <c r="B70" s="5">
        <v>1</v>
      </c>
      <c r="C70" s="2" t="s">
        <v>67</v>
      </c>
      <c r="D70" s="2">
        <v>0</v>
      </c>
      <c r="E70" s="2">
        <v>0</v>
      </c>
      <c r="F70" s="2">
        <v>0</v>
      </c>
      <c r="G70" s="2">
        <v>0</v>
      </c>
      <c r="H70" s="2">
        <v>16139.2</v>
      </c>
      <c r="I70" s="2">
        <v>0</v>
      </c>
      <c r="J70" s="2">
        <v>-3626.47</v>
      </c>
      <c r="K70" s="2">
        <v>186.30000000000018</v>
      </c>
      <c r="L70" s="2">
        <v>0</v>
      </c>
      <c r="M70" s="2">
        <v>0</v>
      </c>
      <c r="N70" s="2">
        <v>0</v>
      </c>
      <c r="O70" s="3">
        <f t="shared" si="1"/>
        <v>12699.030000000002</v>
      </c>
    </row>
    <row r="71" spans="1:15" x14ac:dyDescent="0.2">
      <c r="A71" s="5">
        <v>204</v>
      </c>
      <c r="B71" s="5">
        <v>1</v>
      </c>
      <c r="C71" s="2" t="s">
        <v>68</v>
      </c>
      <c r="D71" s="2">
        <v>0</v>
      </c>
      <c r="E71" s="2">
        <v>0</v>
      </c>
      <c r="F71" s="2">
        <v>66446.850000000006</v>
      </c>
      <c r="G71" s="2">
        <v>0</v>
      </c>
      <c r="H71" s="2">
        <v>33350.399999999994</v>
      </c>
      <c r="I71" s="2">
        <v>0</v>
      </c>
      <c r="J71" s="2">
        <v>0</v>
      </c>
      <c r="K71" s="2">
        <v>9000</v>
      </c>
      <c r="L71" s="2">
        <v>0</v>
      </c>
      <c r="M71" s="2">
        <v>0</v>
      </c>
      <c r="N71" s="2">
        <v>0</v>
      </c>
      <c r="O71" s="3">
        <f t="shared" si="1"/>
        <v>108797.25</v>
      </c>
    </row>
    <row r="72" spans="1:15" x14ac:dyDescent="0.2">
      <c r="A72" s="5">
        <v>206</v>
      </c>
      <c r="B72" s="5">
        <v>1</v>
      </c>
      <c r="C72" s="2" t="s">
        <v>69</v>
      </c>
      <c r="D72" s="2">
        <v>0</v>
      </c>
      <c r="E72" s="2">
        <v>0</v>
      </c>
      <c r="F72" s="2">
        <v>365570.81</v>
      </c>
      <c r="G72" s="2">
        <v>0</v>
      </c>
      <c r="H72" s="2">
        <v>82400.800000000003</v>
      </c>
      <c r="I72" s="2">
        <v>0</v>
      </c>
      <c r="J72" s="2">
        <v>0</v>
      </c>
      <c r="K72" s="2">
        <v>10209.619999999999</v>
      </c>
      <c r="L72" s="2">
        <v>0</v>
      </c>
      <c r="M72" s="2">
        <v>0</v>
      </c>
      <c r="N72" s="2">
        <v>0</v>
      </c>
      <c r="O72" s="3">
        <f t="shared" ref="O72:O132" si="2">SUM(D72:N72)</f>
        <v>458181.23</v>
      </c>
    </row>
    <row r="73" spans="1:15" x14ac:dyDescent="0.2">
      <c r="A73" s="5">
        <v>207</v>
      </c>
      <c r="B73" s="5">
        <v>1</v>
      </c>
      <c r="C73" s="2" t="s">
        <v>70</v>
      </c>
      <c r="D73" s="2">
        <v>0</v>
      </c>
      <c r="E73" s="2">
        <v>0</v>
      </c>
      <c r="F73" s="2">
        <v>0</v>
      </c>
      <c r="G73" s="2">
        <v>0</v>
      </c>
      <c r="H73" s="2">
        <v>10000</v>
      </c>
      <c r="I73" s="2">
        <v>0</v>
      </c>
      <c r="J73" s="2">
        <v>-139</v>
      </c>
      <c r="K73" s="2">
        <v>-2165.23</v>
      </c>
      <c r="L73" s="2">
        <v>0</v>
      </c>
      <c r="M73" s="2">
        <v>0</v>
      </c>
      <c r="N73" s="2">
        <v>0</v>
      </c>
      <c r="O73" s="3">
        <f t="shared" si="2"/>
        <v>7695.77</v>
      </c>
    </row>
    <row r="74" spans="1:15" x14ac:dyDescent="0.2">
      <c r="A74" s="5">
        <v>208</v>
      </c>
      <c r="B74" s="5">
        <v>1</v>
      </c>
      <c r="C74" s="2" t="s">
        <v>71</v>
      </c>
      <c r="D74" s="2">
        <v>0</v>
      </c>
      <c r="E74" s="2">
        <v>0</v>
      </c>
      <c r="F74" s="2">
        <v>0</v>
      </c>
      <c r="G74" s="2">
        <v>0</v>
      </c>
      <c r="H74" s="2">
        <v>10000</v>
      </c>
      <c r="I74" s="2">
        <v>0</v>
      </c>
      <c r="J74" s="2">
        <v>0</v>
      </c>
      <c r="K74" s="2">
        <v>1897.9499999999998</v>
      </c>
      <c r="L74" s="2">
        <v>0</v>
      </c>
      <c r="M74" s="2">
        <v>0</v>
      </c>
      <c r="N74" s="2">
        <v>0</v>
      </c>
      <c r="O74" s="3">
        <f t="shared" si="2"/>
        <v>11897.95</v>
      </c>
    </row>
    <row r="75" spans="1:15" x14ac:dyDescent="0.2">
      <c r="A75" s="5">
        <v>213</v>
      </c>
      <c r="B75" s="5">
        <v>1</v>
      </c>
      <c r="C75" s="2" t="s">
        <v>72</v>
      </c>
      <c r="D75" s="2">
        <v>0</v>
      </c>
      <c r="E75" s="2">
        <v>0</v>
      </c>
      <c r="F75" s="2">
        <v>28915.37</v>
      </c>
      <c r="G75" s="2">
        <v>0</v>
      </c>
      <c r="H75" s="2">
        <v>13955.3</v>
      </c>
      <c r="I75" s="2">
        <v>0</v>
      </c>
      <c r="J75" s="2">
        <v>0</v>
      </c>
      <c r="K75" s="2">
        <v>6880.33</v>
      </c>
      <c r="L75" s="2">
        <v>0</v>
      </c>
      <c r="M75" s="2">
        <v>0</v>
      </c>
      <c r="N75" s="2">
        <v>0</v>
      </c>
      <c r="O75" s="3">
        <f t="shared" si="2"/>
        <v>49751</v>
      </c>
    </row>
    <row r="76" spans="1:15" x14ac:dyDescent="0.2">
      <c r="A76" s="5">
        <v>227</v>
      </c>
      <c r="B76" s="5">
        <v>1</v>
      </c>
      <c r="C76" s="2" t="s">
        <v>73</v>
      </c>
      <c r="D76" s="2">
        <v>0</v>
      </c>
      <c r="E76" s="2">
        <v>0</v>
      </c>
      <c r="F76" s="2">
        <v>44731.14</v>
      </c>
      <c r="G76" s="2">
        <v>0</v>
      </c>
      <c r="H76" s="2">
        <v>18233.599999999999</v>
      </c>
      <c r="I76" s="2">
        <v>0</v>
      </c>
      <c r="J76" s="2">
        <v>0</v>
      </c>
      <c r="K76" s="2">
        <v>9848.619999999999</v>
      </c>
      <c r="L76" s="2">
        <v>0</v>
      </c>
      <c r="M76" s="2">
        <v>0</v>
      </c>
      <c r="N76" s="2">
        <v>0</v>
      </c>
      <c r="O76" s="3">
        <f t="shared" si="2"/>
        <v>72813.36</v>
      </c>
    </row>
    <row r="77" spans="1:15" x14ac:dyDescent="0.2">
      <c r="A77" s="5">
        <v>229</v>
      </c>
      <c r="B77" s="5">
        <v>1</v>
      </c>
      <c r="C77" s="2" t="s">
        <v>74</v>
      </c>
      <c r="D77" s="2">
        <v>0</v>
      </c>
      <c r="E77" s="2">
        <v>0</v>
      </c>
      <c r="F77" s="2">
        <v>15542.06</v>
      </c>
      <c r="G77" s="2">
        <v>0</v>
      </c>
      <c r="H77" s="2">
        <v>24606.76</v>
      </c>
      <c r="I77" s="2">
        <v>0</v>
      </c>
      <c r="J77" s="2">
        <v>0</v>
      </c>
      <c r="K77" s="2">
        <v>1443.69</v>
      </c>
      <c r="L77" s="2">
        <v>0</v>
      </c>
      <c r="M77" s="2">
        <v>0</v>
      </c>
      <c r="N77" s="2">
        <v>0</v>
      </c>
      <c r="O77" s="3">
        <f t="shared" si="2"/>
        <v>41592.51</v>
      </c>
    </row>
    <row r="78" spans="1:15" x14ac:dyDescent="0.2">
      <c r="A78" s="5">
        <v>238</v>
      </c>
      <c r="B78" s="5">
        <v>1</v>
      </c>
      <c r="C78" s="2" t="s">
        <v>75</v>
      </c>
      <c r="D78" s="2">
        <v>0</v>
      </c>
      <c r="E78" s="2">
        <v>0</v>
      </c>
      <c r="F78" s="2">
        <v>54421.05</v>
      </c>
      <c r="G78" s="2">
        <v>0</v>
      </c>
      <c r="H78" s="2">
        <v>12233.69</v>
      </c>
      <c r="I78" s="2">
        <v>0</v>
      </c>
      <c r="J78" s="2">
        <v>0</v>
      </c>
      <c r="K78" s="2">
        <v>9019.4500000000007</v>
      </c>
      <c r="L78" s="2">
        <v>0</v>
      </c>
      <c r="M78" s="2">
        <v>0</v>
      </c>
      <c r="N78" s="2">
        <v>0</v>
      </c>
      <c r="O78" s="3">
        <f t="shared" si="2"/>
        <v>75674.19</v>
      </c>
    </row>
    <row r="79" spans="1:15" x14ac:dyDescent="0.2">
      <c r="A79" s="5">
        <v>239</v>
      </c>
      <c r="B79" s="5">
        <v>1</v>
      </c>
      <c r="C79" s="2" t="s">
        <v>76</v>
      </c>
      <c r="D79" s="2">
        <v>0</v>
      </c>
      <c r="E79" s="2">
        <v>0</v>
      </c>
      <c r="F79" s="2">
        <v>35288.620000000003</v>
      </c>
      <c r="G79" s="2">
        <v>0</v>
      </c>
      <c r="H79" s="2">
        <v>14579.250000000002</v>
      </c>
      <c r="I79" s="2">
        <v>0</v>
      </c>
      <c r="J79" s="2">
        <v>0</v>
      </c>
      <c r="K79" s="2">
        <v>13938.45</v>
      </c>
      <c r="L79" s="2">
        <v>0</v>
      </c>
      <c r="M79" s="2">
        <v>0</v>
      </c>
      <c r="N79" s="2">
        <v>0</v>
      </c>
      <c r="O79" s="3">
        <f t="shared" si="2"/>
        <v>63806.320000000007</v>
      </c>
    </row>
    <row r="80" spans="1:15" x14ac:dyDescent="0.2">
      <c r="A80" s="5">
        <v>241</v>
      </c>
      <c r="B80" s="5">
        <v>1</v>
      </c>
      <c r="C80" s="2" t="s">
        <v>77</v>
      </c>
      <c r="D80" s="2">
        <v>0</v>
      </c>
      <c r="E80" s="2">
        <v>0</v>
      </c>
      <c r="F80" s="2">
        <v>174209.52</v>
      </c>
      <c r="G80" s="2">
        <v>60901.47</v>
      </c>
      <c r="H80" s="2">
        <v>73699.34</v>
      </c>
      <c r="I80" s="2">
        <v>0</v>
      </c>
      <c r="J80" s="2">
        <v>0</v>
      </c>
      <c r="K80" s="2">
        <v>28733.91</v>
      </c>
      <c r="L80" s="2">
        <v>0</v>
      </c>
      <c r="M80" s="2">
        <v>0</v>
      </c>
      <c r="N80" s="2">
        <v>0</v>
      </c>
      <c r="O80" s="3">
        <f t="shared" si="2"/>
        <v>337544.23999999993</v>
      </c>
    </row>
    <row r="81" spans="1:15" x14ac:dyDescent="0.2">
      <c r="A81" s="5">
        <v>242</v>
      </c>
      <c r="B81" s="5">
        <v>1</v>
      </c>
      <c r="C81" s="2" t="s">
        <v>78</v>
      </c>
      <c r="D81" s="2">
        <v>0</v>
      </c>
      <c r="E81" s="2">
        <v>0</v>
      </c>
      <c r="F81" s="2">
        <v>29849.06</v>
      </c>
      <c r="G81" s="2">
        <v>4788.6099999999997</v>
      </c>
      <c r="H81" s="2">
        <v>10000</v>
      </c>
      <c r="I81" s="2">
        <v>0</v>
      </c>
      <c r="J81" s="2">
        <v>0</v>
      </c>
      <c r="K81" s="2">
        <v>-5220.6100000000006</v>
      </c>
      <c r="L81" s="2">
        <v>0</v>
      </c>
      <c r="M81" s="2">
        <v>0</v>
      </c>
      <c r="N81" s="2">
        <v>0</v>
      </c>
      <c r="O81" s="3">
        <f t="shared" si="2"/>
        <v>39417.06</v>
      </c>
    </row>
    <row r="82" spans="1:15" x14ac:dyDescent="0.2">
      <c r="A82" s="5">
        <v>252</v>
      </c>
      <c r="B82" s="5">
        <v>1</v>
      </c>
      <c r="C82" s="2" t="s">
        <v>79</v>
      </c>
      <c r="D82" s="2">
        <v>0</v>
      </c>
      <c r="E82" s="2">
        <v>0</v>
      </c>
      <c r="F82" s="2">
        <v>104497.76</v>
      </c>
      <c r="G82" s="2">
        <v>0</v>
      </c>
      <c r="H82" s="2">
        <v>23931.71</v>
      </c>
      <c r="I82" s="2">
        <v>0</v>
      </c>
      <c r="J82" s="2">
        <v>0</v>
      </c>
      <c r="K82" s="2">
        <v>1061.42</v>
      </c>
      <c r="L82" s="2">
        <v>0</v>
      </c>
      <c r="M82" s="2">
        <v>0</v>
      </c>
      <c r="N82" s="2">
        <v>0</v>
      </c>
      <c r="O82" s="3">
        <f t="shared" si="2"/>
        <v>129490.89</v>
      </c>
    </row>
    <row r="83" spans="1:15" x14ac:dyDescent="0.2">
      <c r="A83" s="5">
        <v>253</v>
      </c>
      <c r="B83" s="5">
        <v>1</v>
      </c>
      <c r="C83" s="2" t="s">
        <v>80</v>
      </c>
      <c r="D83" s="2">
        <v>0</v>
      </c>
      <c r="E83" s="2">
        <v>0</v>
      </c>
      <c r="F83" s="2">
        <v>32550.880000000001</v>
      </c>
      <c r="G83" s="2">
        <v>2374.9299999999998</v>
      </c>
      <c r="H83" s="2">
        <v>13137.6</v>
      </c>
      <c r="I83" s="2">
        <v>0</v>
      </c>
      <c r="J83" s="2">
        <v>0</v>
      </c>
      <c r="K83" s="2">
        <v>19505.89</v>
      </c>
      <c r="L83" s="2">
        <v>0</v>
      </c>
      <c r="M83" s="2">
        <v>0</v>
      </c>
      <c r="N83" s="2">
        <v>0</v>
      </c>
      <c r="O83" s="3">
        <f t="shared" si="2"/>
        <v>67569.299999999988</v>
      </c>
    </row>
    <row r="84" spans="1:15" x14ac:dyDescent="0.2">
      <c r="A84" s="5">
        <v>255</v>
      </c>
      <c r="B84" s="5">
        <v>1</v>
      </c>
      <c r="C84" s="2" t="s">
        <v>81</v>
      </c>
      <c r="D84" s="2">
        <v>0</v>
      </c>
      <c r="E84" s="2">
        <v>0</v>
      </c>
      <c r="F84" s="2">
        <v>52187.99</v>
      </c>
      <c r="G84" s="2">
        <v>0</v>
      </c>
      <c r="H84" s="2">
        <v>33782.839999999997</v>
      </c>
      <c r="I84" s="2">
        <v>0</v>
      </c>
      <c r="J84" s="2">
        <v>0</v>
      </c>
      <c r="K84" s="2">
        <v>39783.589999999997</v>
      </c>
      <c r="L84" s="2">
        <v>0</v>
      </c>
      <c r="M84" s="2">
        <v>0</v>
      </c>
      <c r="N84" s="2">
        <v>0</v>
      </c>
      <c r="O84" s="3">
        <f t="shared" si="2"/>
        <v>125754.41999999998</v>
      </c>
    </row>
    <row r="85" spans="1:15" x14ac:dyDescent="0.2">
      <c r="A85" s="5">
        <v>256</v>
      </c>
      <c r="B85" s="5">
        <v>1</v>
      </c>
      <c r="C85" s="2" t="s">
        <v>82</v>
      </c>
      <c r="D85" s="2">
        <v>0</v>
      </c>
      <c r="E85" s="2">
        <v>0</v>
      </c>
      <c r="F85" s="2">
        <v>431418.24</v>
      </c>
      <c r="G85" s="2">
        <v>7931.62</v>
      </c>
      <c r="H85" s="2">
        <v>62928.19</v>
      </c>
      <c r="I85" s="2">
        <v>0</v>
      </c>
      <c r="J85" s="2">
        <v>0</v>
      </c>
      <c r="K85" s="2">
        <v>34252.58</v>
      </c>
      <c r="L85" s="2">
        <v>0</v>
      </c>
      <c r="M85" s="2">
        <v>0</v>
      </c>
      <c r="N85" s="2">
        <v>0</v>
      </c>
      <c r="O85" s="3">
        <f t="shared" si="2"/>
        <v>536530.63</v>
      </c>
    </row>
    <row r="86" spans="1:15" x14ac:dyDescent="0.2">
      <c r="A86" s="5">
        <v>261</v>
      </c>
      <c r="B86" s="5">
        <v>1</v>
      </c>
      <c r="C86" s="2" t="s">
        <v>83</v>
      </c>
      <c r="D86" s="2">
        <v>0</v>
      </c>
      <c r="E86" s="2">
        <v>0</v>
      </c>
      <c r="F86" s="2">
        <v>0</v>
      </c>
      <c r="G86" s="2">
        <v>0</v>
      </c>
      <c r="H86" s="2">
        <v>10000</v>
      </c>
      <c r="I86" s="2">
        <v>0</v>
      </c>
      <c r="J86" s="2">
        <v>0</v>
      </c>
      <c r="K86" s="2">
        <v>12.8100000000004</v>
      </c>
      <c r="L86" s="2">
        <v>0</v>
      </c>
      <c r="M86" s="2">
        <v>0</v>
      </c>
      <c r="N86" s="2">
        <v>0</v>
      </c>
      <c r="O86" s="3">
        <f t="shared" si="2"/>
        <v>10012.810000000001</v>
      </c>
    </row>
    <row r="87" spans="1:15" x14ac:dyDescent="0.2">
      <c r="A87" s="5">
        <v>264</v>
      </c>
      <c r="B87" s="5">
        <v>1</v>
      </c>
      <c r="C87" s="2" t="s">
        <v>84</v>
      </c>
      <c r="D87" s="2">
        <v>0</v>
      </c>
      <c r="E87" s="2">
        <v>0</v>
      </c>
      <c r="F87" s="2">
        <v>122971.08</v>
      </c>
      <c r="G87" s="2">
        <v>0</v>
      </c>
      <c r="H87" s="2">
        <v>-5719.03</v>
      </c>
      <c r="I87" s="2">
        <v>0</v>
      </c>
      <c r="J87" s="2">
        <v>0</v>
      </c>
      <c r="K87" s="2">
        <v>12000</v>
      </c>
      <c r="L87" s="2">
        <v>0</v>
      </c>
      <c r="M87" s="2">
        <v>0</v>
      </c>
      <c r="N87" s="2">
        <v>0</v>
      </c>
      <c r="O87" s="3">
        <f t="shared" si="2"/>
        <v>129252.05</v>
      </c>
    </row>
    <row r="88" spans="1:15" x14ac:dyDescent="0.2">
      <c r="A88" s="5">
        <v>270</v>
      </c>
      <c r="B88" s="5">
        <v>1</v>
      </c>
      <c r="C88" s="2" t="s">
        <v>85</v>
      </c>
      <c r="D88" s="2">
        <v>0</v>
      </c>
      <c r="E88" s="2">
        <v>0</v>
      </c>
      <c r="F88" s="2">
        <v>4134654.98</v>
      </c>
      <c r="G88" s="2">
        <v>0</v>
      </c>
      <c r="H88" s="2">
        <v>155374.39999999999</v>
      </c>
      <c r="I88" s="2">
        <v>0</v>
      </c>
      <c r="J88" s="2">
        <v>0</v>
      </c>
      <c r="K88" s="2">
        <v>6625.8399999999965</v>
      </c>
      <c r="L88" s="2">
        <v>0</v>
      </c>
      <c r="M88" s="2">
        <v>0</v>
      </c>
      <c r="N88" s="2">
        <v>0</v>
      </c>
      <c r="O88" s="3">
        <f t="shared" si="2"/>
        <v>4296655.22</v>
      </c>
    </row>
    <row r="89" spans="1:15" x14ac:dyDescent="0.2">
      <c r="A89" s="5">
        <v>271</v>
      </c>
      <c r="B89" s="5">
        <v>1</v>
      </c>
      <c r="C89" s="2" t="s">
        <v>86</v>
      </c>
      <c r="D89" s="2">
        <v>0</v>
      </c>
      <c r="E89" s="2">
        <v>0</v>
      </c>
      <c r="F89" s="2">
        <v>3892764.24</v>
      </c>
      <c r="G89" s="2">
        <v>0</v>
      </c>
      <c r="H89" s="2">
        <v>199367.2</v>
      </c>
      <c r="I89" s="2">
        <v>0</v>
      </c>
      <c r="J89" s="2">
        <v>0</v>
      </c>
      <c r="K89" s="2">
        <v>46519.82</v>
      </c>
      <c r="L89" s="2">
        <v>0</v>
      </c>
      <c r="M89" s="2">
        <v>0</v>
      </c>
      <c r="N89" s="2">
        <v>0</v>
      </c>
      <c r="O89" s="3">
        <f t="shared" si="2"/>
        <v>4138651.2600000002</v>
      </c>
    </row>
    <row r="90" spans="1:15" x14ac:dyDescent="0.2">
      <c r="A90" s="5">
        <v>272</v>
      </c>
      <c r="B90" s="5">
        <v>1</v>
      </c>
      <c r="C90" s="2" t="s">
        <v>87</v>
      </c>
      <c r="D90" s="2">
        <v>0</v>
      </c>
      <c r="E90" s="2">
        <v>0</v>
      </c>
      <c r="F90" s="2">
        <v>3383760.71</v>
      </c>
      <c r="G90" s="2">
        <v>116982.81</v>
      </c>
      <c r="H90" s="2">
        <v>190084</v>
      </c>
      <c r="I90" s="2">
        <v>0</v>
      </c>
      <c r="J90" s="2">
        <v>0</v>
      </c>
      <c r="K90" s="2">
        <v>112376.36</v>
      </c>
      <c r="L90" s="2">
        <v>0</v>
      </c>
      <c r="M90" s="2">
        <v>0</v>
      </c>
      <c r="N90" s="2">
        <v>0</v>
      </c>
      <c r="O90" s="3">
        <f t="shared" si="2"/>
        <v>3803203.88</v>
      </c>
    </row>
    <row r="91" spans="1:15" x14ac:dyDescent="0.2">
      <c r="A91" s="5">
        <v>273</v>
      </c>
      <c r="B91" s="5">
        <v>1</v>
      </c>
      <c r="C91" s="2" t="s">
        <v>88</v>
      </c>
      <c r="D91" s="2">
        <v>0</v>
      </c>
      <c r="E91" s="2">
        <v>0</v>
      </c>
      <c r="F91" s="2">
        <v>3617532.85</v>
      </c>
      <c r="G91" s="2">
        <v>0</v>
      </c>
      <c r="H91" s="2">
        <v>31497.01</v>
      </c>
      <c r="I91" s="2">
        <v>0</v>
      </c>
      <c r="J91" s="2">
        <v>0</v>
      </c>
      <c r="K91" s="2">
        <v>41596.74</v>
      </c>
      <c r="L91" s="2">
        <v>0</v>
      </c>
      <c r="M91" s="2">
        <v>0</v>
      </c>
      <c r="N91" s="2">
        <v>0</v>
      </c>
      <c r="O91" s="3">
        <f t="shared" si="2"/>
        <v>3690626.6</v>
      </c>
    </row>
    <row r="92" spans="1:15" x14ac:dyDescent="0.2">
      <c r="A92" s="5">
        <v>276</v>
      </c>
      <c r="B92" s="5">
        <v>1</v>
      </c>
      <c r="C92" s="2" t="s">
        <v>89</v>
      </c>
      <c r="D92" s="2">
        <v>0</v>
      </c>
      <c r="E92" s="2">
        <v>0</v>
      </c>
      <c r="F92" s="2">
        <v>3991123.96</v>
      </c>
      <c r="G92" s="2">
        <v>0</v>
      </c>
      <c r="H92" s="2">
        <v>127130.23</v>
      </c>
      <c r="I92" s="2">
        <v>25939.8</v>
      </c>
      <c r="J92" s="2">
        <v>0</v>
      </c>
      <c r="K92" s="2">
        <v>-20826.73</v>
      </c>
      <c r="L92" s="2">
        <v>0</v>
      </c>
      <c r="M92" s="2">
        <v>0</v>
      </c>
      <c r="N92" s="2">
        <v>0</v>
      </c>
      <c r="O92" s="3">
        <f t="shared" si="2"/>
        <v>4123367.26</v>
      </c>
    </row>
    <row r="93" spans="1:15" x14ac:dyDescent="0.2">
      <c r="A93" s="5">
        <v>277</v>
      </c>
      <c r="B93" s="5">
        <v>1</v>
      </c>
      <c r="C93" s="2" t="s">
        <v>90</v>
      </c>
      <c r="D93" s="2">
        <v>0</v>
      </c>
      <c r="E93" s="2">
        <v>0</v>
      </c>
      <c r="F93" s="2">
        <v>856488.26</v>
      </c>
      <c r="G93" s="2">
        <v>0</v>
      </c>
      <c r="H93" s="2">
        <v>46736.79</v>
      </c>
      <c r="I93" s="2">
        <v>0</v>
      </c>
      <c r="J93" s="2">
        <v>0</v>
      </c>
      <c r="K93" s="2">
        <v>1728.4300000000003</v>
      </c>
      <c r="L93" s="2">
        <v>0</v>
      </c>
      <c r="M93" s="2">
        <v>0</v>
      </c>
      <c r="N93" s="2">
        <v>0</v>
      </c>
      <c r="O93" s="3">
        <f t="shared" si="2"/>
        <v>904953.4800000001</v>
      </c>
    </row>
    <row r="94" spans="1:15" x14ac:dyDescent="0.2">
      <c r="A94" s="5">
        <v>278</v>
      </c>
      <c r="B94" s="5">
        <v>1</v>
      </c>
      <c r="C94" s="2" t="s">
        <v>91</v>
      </c>
      <c r="D94" s="2">
        <v>0</v>
      </c>
      <c r="E94" s="2">
        <v>0</v>
      </c>
      <c r="F94" s="2">
        <v>887487.03</v>
      </c>
      <c r="G94" s="2">
        <v>0</v>
      </c>
      <c r="H94" s="2">
        <v>41947.26</v>
      </c>
      <c r="I94" s="2">
        <v>0</v>
      </c>
      <c r="J94" s="2">
        <v>0</v>
      </c>
      <c r="K94" s="2">
        <v>9714.61</v>
      </c>
      <c r="L94" s="2">
        <v>0</v>
      </c>
      <c r="M94" s="2">
        <v>0</v>
      </c>
      <c r="N94" s="2">
        <v>0</v>
      </c>
      <c r="O94" s="3">
        <f t="shared" si="2"/>
        <v>939148.9</v>
      </c>
    </row>
    <row r="95" spans="1:15" x14ac:dyDescent="0.2">
      <c r="A95" s="5">
        <v>279</v>
      </c>
      <c r="B95" s="5">
        <v>1</v>
      </c>
      <c r="C95" s="2" t="s">
        <v>92</v>
      </c>
      <c r="D95" s="2">
        <v>0</v>
      </c>
      <c r="E95" s="2">
        <v>0</v>
      </c>
      <c r="F95" s="2">
        <v>3660705.88</v>
      </c>
      <c r="G95" s="2">
        <v>0</v>
      </c>
      <c r="H95" s="2">
        <v>400686.4</v>
      </c>
      <c r="I95" s="2">
        <v>0</v>
      </c>
      <c r="J95" s="2">
        <v>0</v>
      </c>
      <c r="K95" s="2">
        <v>93137.34</v>
      </c>
      <c r="L95" s="2">
        <v>0</v>
      </c>
      <c r="M95" s="2">
        <v>0</v>
      </c>
      <c r="N95" s="2">
        <v>0</v>
      </c>
      <c r="O95" s="3">
        <f t="shared" si="2"/>
        <v>4154529.6199999996</v>
      </c>
    </row>
    <row r="96" spans="1:15" x14ac:dyDescent="0.2">
      <c r="A96" s="5">
        <v>280</v>
      </c>
      <c r="B96" s="5">
        <v>1</v>
      </c>
      <c r="C96" s="2" t="s">
        <v>93</v>
      </c>
      <c r="D96" s="2">
        <v>0</v>
      </c>
      <c r="E96" s="2">
        <v>0</v>
      </c>
      <c r="F96" s="2">
        <v>1308442.53</v>
      </c>
      <c r="G96" s="2">
        <v>0</v>
      </c>
      <c r="H96" s="2">
        <v>80167.200000000012</v>
      </c>
      <c r="I96" s="2">
        <v>39330.520000000004</v>
      </c>
      <c r="J96" s="2">
        <v>0</v>
      </c>
      <c r="K96" s="2">
        <v>55692.55</v>
      </c>
      <c r="L96" s="2">
        <v>0</v>
      </c>
      <c r="M96" s="2">
        <v>0</v>
      </c>
      <c r="N96" s="2">
        <v>0</v>
      </c>
      <c r="O96" s="3">
        <f t="shared" si="2"/>
        <v>1483632.8</v>
      </c>
    </row>
    <row r="97" spans="1:15" x14ac:dyDescent="0.2">
      <c r="A97" s="5">
        <v>281</v>
      </c>
      <c r="B97" s="5">
        <v>1</v>
      </c>
      <c r="C97" s="2" t="s">
        <v>94</v>
      </c>
      <c r="D97" s="2">
        <v>0</v>
      </c>
      <c r="E97" s="2">
        <v>0</v>
      </c>
      <c r="F97" s="2">
        <v>3392196.06</v>
      </c>
      <c r="G97" s="2">
        <v>0</v>
      </c>
      <c r="H97" s="2">
        <v>239185.15000000002</v>
      </c>
      <c r="I97" s="2">
        <v>0</v>
      </c>
      <c r="J97" s="2">
        <v>0</v>
      </c>
      <c r="K97" s="2">
        <v>286672.87</v>
      </c>
      <c r="L97" s="2">
        <v>0</v>
      </c>
      <c r="M97" s="2">
        <v>0</v>
      </c>
      <c r="N97" s="2">
        <v>0</v>
      </c>
      <c r="O97" s="3">
        <f t="shared" si="2"/>
        <v>3918054.08</v>
      </c>
    </row>
    <row r="98" spans="1:15" x14ac:dyDescent="0.2">
      <c r="A98" s="5">
        <v>282</v>
      </c>
      <c r="B98" s="5">
        <v>1</v>
      </c>
      <c r="C98" s="2" t="s">
        <v>95</v>
      </c>
      <c r="D98" s="2">
        <v>0</v>
      </c>
      <c r="E98" s="2">
        <v>0</v>
      </c>
      <c r="F98" s="2">
        <v>285410.61</v>
      </c>
      <c r="G98" s="2">
        <v>0</v>
      </c>
      <c r="H98" s="2">
        <v>10000</v>
      </c>
      <c r="I98" s="2">
        <v>0</v>
      </c>
      <c r="J98" s="2">
        <v>0</v>
      </c>
      <c r="K98" s="2">
        <v>12238.57</v>
      </c>
      <c r="L98" s="2">
        <v>0</v>
      </c>
      <c r="M98" s="2">
        <v>0</v>
      </c>
      <c r="N98" s="2">
        <v>0</v>
      </c>
      <c r="O98" s="3">
        <f t="shared" si="2"/>
        <v>307649.18</v>
      </c>
    </row>
    <row r="99" spans="1:15" x14ac:dyDescent="0.2">
      <c r="A99" s="5">
        <v>283</v>
      </c>
      <c r="B99" s="5">
        <v>1</v>
      </c>
      <c r="C99" s="2" t="s">
        <v>96</v>
      </c>
      <c r="D99" s="2">
        <v>0</v>
      </c>
      <c r="E99" s="2">
        <v>0</v>
      </c>
      <c r="F99" s="2">
        <v>2205291.65</v>
      </c>
      <c r="G99" s="2">
        <v>0</v>
      </c>
      <c r="H99" s="2">
        <v>76172</v>
      </c>
      <c r="I99" s="2">
        <v>0</v>
      </c>
      <c r="J99" s="2">
        <v>0</v>
      </c>
      <c r="K99" s="2">
        <v>50075.55</v>
      </c>
      <c r="L99" s="2">
        <v>0</v>
      </c>
      <c r="M99" s="2">
        <v>0</v>
      </c>
      <c r="N99" s="2">
        <v>0</v>
      </c>
      <c r="O99" s="3">
        <f t="shared" si="2"/>
        <v>2331539.1999999997</v>
      </c>
    </row>
    <row r="100" spans="1:15" x14ac:dyDescent="0.2">
      <c r="A100" s="5">
        <v>284</v>
      </c>
      <c r="B100" s="5">
        <v>1</v>
      </c>
      <c r="C100" s="2" t="s">
        <v>97</v>
      </c>
      <c r="D100" s="2">
        <v>0</v>
      </c>
      <c r="E100" s="2">
        <v>0</v>
      </c>
      <c r="F100" s="2">
        <v>3560480.14</v>
      </c>
      <c r="G100" s="2">
        <v>0</v>
      </c>
      <c r="H100" s="2">
        <v>191416.80000000002</v>
      </c>
      <c r="I100" s="2">
        <v>299.62</v>
      </c>
      <c r="J100" s="2">
        <v>-60000</v>
      </c>
      <c r="K100" s="2">
        <v>68322.78</v>
      </c>
      <c r="L100" s="2">
        <v>0</v>
      </c>
      <c r="M100" s="2">
        <v>0</v>
      </c>
      <c r="N100" s="2">
        <v>0</v>
      </c>
      <c r="O100" s="3">
        <f t="shared" si="2"/>
        <v>3760519.34</v>
      </c>
    </row>
    <row r="101" spans="1:15" x14ac:dyDescent="0.2">
      <c r="A101" s="5">
        <v>286</v>
      </c>
      <c r="B101" s="5">
        <v>1</v>
      </c>
      <c r="C101" s="2" t="s">
        <v>98</v>
      </c>
      <c r="D101" s="2">
        <v>0</v>
      </c>
      <c r="E101" s="2">
        <v>0</v>
      </c>
      <c r="F101" s="2">
        <v>324009.17</v>
      </c>
      <c r="G101" s="2">
        <v>53469.46</v>
      </c>
      <c r="H101" s="2">
        <v>25700</v>
      </c>
      <c r="I101" s="2">
        <v>0</v>
      </c>
      <c r="J101" s="2">
        <v>0</v>
      </c>
      <c r="K101" s="2">
        <v>102759.62</v>
      </c>
      <c r="L101" s="2">
        <v>0</v>
      </c>
      <c r="M101" s="2">
        <v>0</v>
      </c>
      <c r="N101" s="2">
        <v>0</v>
      </c>
      <c r="O101" s="3">
        <f t="shared" si="2"/>
        <v>505938.25</v>
      </c>
    </row>
    <row r="102" spans="1:15" x14ac:dyDescent="0.2">
      <c r="A102" s="5">
        <v>294</v>
      </c>
      <c r="B102" s="5">
        <v>1</v>
      </c>
      <c r="C102" s="2" t="s">
        <v>99</v>
      </c>
      <c r="D102" s="2">
        <v>0</v>
      </c>
      <c r="E102" s="2">
        <v>0</v>
      </c>
      <c r="F102" s="2">
        <v>100737.93</v>
      </c>
      <c r="G102" s="2">
        <v>0</v>
      </c>
      <c r="H102" s="2">
        <v>0</v>
      </c>
      <c r="I102" s="2">
        <v>0</v>
      </c>
      <c r="J102" s="2">
        <v>0</v>
      </c>
      <c r="K102" s="2">
        <v>0</v>
      </c>
      <c r="L102" s="2">
        <v>0</v>
      </c>
      <c r="M102" s="2">
        <v>0</v>
      </c>
      <c r="N102" s="2">
        <v>0</v>
      </c>
      <c r="O102" s="3">
        <f t="shared" si="2"/>
        <v>100737.93</v>
      </c>
    </row>
    <row r="103" spans="1:15" x14ac:dyDescent="0.2">
      <c r="A103" s="5">
        <v>297</v>
      </c>
      <c r="B103" s="5">
        <v>1</v>
      </c>
      <c r="C103" s="2" t="s">
        <v>100</v>
      </c>
      <c r="D103" s="2">
        <v>0</v>
      </c>
      <c r="E103" s="2">
        <v>0</v>
      </c>
      <c r="F103" s="2">
        <v>58342.8</v>
      </c>
      <c r="G103" s="2">
        <v>2325.33</v>
      </c>
      <c r="H103" s="2">
        <v>10000</v>
      </c>
      <c r="I103" s="2">
        <v>0</v>
      </c>
      <c r="J103" s="2">
        <v>0</v>
      </c>
      <c r="K103" s="2">
        <v>184.84</v>
      </c>
      <c r="L103" s="2">
        <v>0</v>
      </c>
      <c r="M103" s="2">
        <v>0</v>
      </c>
      <c r="N103" s="2">
        <v>0</v>
      </c>
      <c r="O103" s="3">
        <f t="shared" si="2"/>
        <v>70852.97</v>
      </c>
    </row>
    <row r="104" spans="1:15" x14ac:dyDescent="0.2">
      <c r="A104" s="5">
        <v>299</v>
      </c>
      <c r="B104" s="5">
        <v>1</v>
      </c>
      <c r="C104" s="2" t="s">
        <v>101</v>
      </c>
      <c r="D104" s="2">
        <v>0</v>
      </c>
      <c r="E104" s="2">
        <v>0</v>
      </c>
      <c r="F104" s="2">
        <v>48805.67</v>
      </c>
      <c r="G104" s="2">
        <v>392.08</v>
      </c>
      <c r="H104" s="2">
        <v>23212.13</v>
      </c>
      <c r="I104" s="2">
        <v>0</v>
      </c>
      <c r="J104" s="2">
        <v>0</v>
      </c>
      <c r="K104" s="2">
        <v>5313.5</v>
      </c>
      <c r="L104" s="2">
        <v>0</v>
      </c>
      <c r="M104" s="2">
        <v>0</v>
      </c>
      <c r="N104" s="2">
        <v>0</v>
      </c>
      <c r="O104" s="3">
        <f t="shared" si="2"/>
        <v>77723.38</v>
      </c>
    </row>
    <row r="105" spans="1:15" x14ac:dyDescent="0.2">
      <c r="A105" s="5">
        <v>300</v>
      </c>
      <c r="B105" s="5">
        <v>1</v>
      </c>
      <c r="C105" s="2" t="s">
        <v>102</v>
      </c>
      <c r="D105" s="2">
        <v>0</v>
      </c>
      <c r="E105" s="2">
        <v>0</v>
      </c>
      <c r="F105" s="2">
        <v>46368.28</v>
      </c>
      <c r="G105" s="2">
        <v>0</v>
      </c>
      <c r="H105" s="2">
        <v>11170.43</v>
      </c>
      <c r="I105" s="2">
        <v>0</v>
      </c>
      <c r="J105" s="2">
        <v>0</v>
      </c>
      <c r="K105" s="2">
        <v>1889.23</v>
      </c>
      <c r="L105" s="2">
        <v>0</v>
      </c>
      <c r="M105" s="2">
        <v>0</v>
      </c>
      <c r="N105" s="2">
        <v>0</v>
      </c>
      <c r="O105" s="3">
        <f t="shared" si="2"/>
        <v>59427.94</v>
      </c>
    </row>
    <row r="106" spans="1:15" x14ac:dyDescent="0.2">
      <c r="A106" s="5">
        <v>306</v>
      </c>
      <c r="B106" s="5">
        <v>1</v>
      </c>
      <c r="C106" s="2" t="s">
        <v>103</v>
      </c>
      <c r="D106" s="2">
        <v>0</v>
      </c>
      <c r="E106" s="2">
        <v>0</v>
      </c>
      <c r="F106" s="2">
        <v>19117.21</v>
      </c>
      <c r="G106" s="2">
        <v>566.32000000000005</v>
      </c>
      <c r="H106" s="2">
        <v>10000</v>
      </c>
      <c r="I106" s="2">
        <v>0</v>
      </c>
      <c r="J106" s="2">
        <v>0</v>
      </c>
      <c r="K106" s="2">
        <v>1007.06</v>
      </c>
      <c r="L106" s="2">
        <v>0</v>
      </c>
      <c r="M106" s="2">
        <v>0</v>
      </c>
      <c r="N106" s="2">
        <v>0</v>
      </c>
      <c r="O106" s="3">
        <f t="shared" si="2"/>
        <v>30690.59</v>
      </c>
    </row>
    <row r="107" spans="1:15" x14ac:dyDescent="0.2">
      <c r="A107" s="5">
        <v>308</v>
      </c>
      <c r="B107" s="5">
        <v>1</v>
      </c>
      <c r="C107" s="2" t="s">
        <v>104</v>
      </c>
      <c r="D107" s="2">
        <v>0</v>
      </c>
      <c r="E107" s="2">
        <v>0</v>
      </c>
      <c r="F107" s="2">
        <v>39387.699999999997</v>
      </c>
      <c r="G107" s="2">
        <v>6860.73</v>
      </c>
      <c r="H107" s="2">
        <v>17446.849999999999</v>
      </c>
      <c r="I107" s="2">
        <v>0</v>
      </c>
      <c r="J107" s="2">
        <v>0</v>
      </c>
      <c r="K107" s="2">
        <v>5308.1900000000005</v>
      </c>
      <c r="L107" s="2">
        <v>0</v>
      </c>
      <c r="M107" s="2">
        <v>0</v>
      </c>
      <c r="N107" s="2">
        <v>0</v>
      </c>
      <c r="O107" s="3">
        <f t="shared" si="2"/>
        <v>69003.469999999987</v>
      </c>
    </row>
    <row r="108" spans="1:15" x14ac:dyDescent="0.2">
      <c r="A108" s="5">
        <v>309</v>
      </c>
      <c r="B108" s="5">
        <v>1</v>
      </c>
      <c r="C108" s="2" t="s">
        <v>105</v>
      </c>
      <c r="D108" s="2">
        <v>0</v>
      </c>
      <c r="E108" s="2">
        <v>0</v>
      </c>
      <c r="F108" s="2">
        <v>90003.03</v>
      </c>
      <c r="G108" s="2">
        <v>0</v>
      </c>
      <c r="H108" s="2">
        <v>39318.129999999997</v>
      </c>
      <c r="I108" s="2">
        <v>0</v>
      </c>
      <c r="J108" s="2">
        <v>0</v>
      </c>
      <c r="K108" s="2">
        <v>-6105.1899999999987</v>
      </c>
      <c r="L108" s="2">
        <v>0</v>
      </c>
      <c r="M108" s="2">
        <v>0</v>
      </c>
      <c r="N108" s="2">
        <v>0</v>
      </c>
      <c r="O108" s="3">
        <f t="shared" si="2"/>
        <v>123215.97</v>
      </c>
    </row>
    <row r="109" spans="1:15" x14ac:dyDescent="0.2">
      <c r="A109" s="5">
        <v>314</v>
      </c>
      <c r="B109" s="5">
        <v>1</v>
      </c>
      <c r="C109" s="2" t="s">
        <v>106</v>
      </c>
      <c r="D109" s="2">
        <v>0</v>
      </c>
      <c r="E109" s="2">
        <v>0</v>
      </c>
      <c r="F109" s="2">
        <v>43340.39</v>
      </c>
      <c r="G109" s="2">
        <v>0</v>
      </c>
      <c r="H109" s="2">
        <v>10000</v>
      </c>
      <c r="I109" s="2">
        <v>0</v>
      </c>
      <c r="J109" s="2">
        <v>0</v>
      </c>
      <c r="K109" s="2">
        <v>6659.83</v>
      </c>
      <c r="L109" s="2">
        <v>0</v>
      </c>
      <c r="M109" s="2">
        <v>0</v>
      </c>
      <c r="N109" s="2">
        <v>0</v>
      </c>
      <c r="O109" s="3">
        <f t="shared" si="2"/>
        <v>60000.22</v>
      </c>
    </row>
    <row r="110" spans="1:15" x14ac:dyDescent="0.2">
      <c r="A110" s="5">
        <v>316</v>
      </c>
      <c r="B110" s="5">
        <v>1</v>
      </c>
      <c r="C110" s="2" t="s">
        <v>107</v>
      </c>
      <c r="D110" s="2">
        <v>0</v>
      </c>
      <c r="E110" s="2">
        <v>0</v>
      </c>
      <c r="F110" s="2">
        <v>367402.25</v>
      </c>
      <c r="G110" s="2">
        <v>27341.23</v>
      </c>
      <c r="H110" s="2">
        <v>28475.8</v>
      </c>
      <c r="I110" s="2">
        <v>44795.3</v>
      </c>
      <c r="J110" s="2">
        <v>0</v>
      </c>
      <c r="K110" s="2">
        <v>-5841.73</v>
      </c>
      <c r="L110" s="2">
        <v>0</v>
      </c>
      <c r="M110" s="2">
        <v>0</v>
      </c>
      <c r="N110" s="2">
        <v>0</v>
      </c>
      <c r="O110" s="3">
        <f t="shared" si="2"/>
        <v>462172.85</v>
      </c>
    </row>
    <row r="111" spans="1:15" x14ac:dyDescent="0.2">
      <c r="A111" s="5">
        <v>317</v>
      </c>
      <c r="B111" s="5">
        <v>1</v>
      </c>
      <c r="C111" s="2" t="s">
        <v>108</v>
      </c>
      <c r="D111" s="2">
        <v>0</v>
      </c>
      <c r="E111" s="2">
        <v>0</v>
      </c>
      <c r="F111" s="2">
        <v>51234.74</v>
      </c>
      <c r="G111" s="2">
        <v>0</v>
      </c>
      <c r="H111" s="2">
        <v>18541.599999999999</v>
      </c>
      <c r="I111" s="2">
        <v>0</v>
      </c>
      <c r="J111" s="2">
        <v>0</v>
      </c>
      <c r="K111" s="2">
        <v>-14260.45</v>
      </c>
      <c r="L111" s="2">
        <v>0</v>
      </c>
      <c r="M111" s="2">
        <v>0</v>
      </c>
      <c r="N111" s="2">
        <v>0</v>
      </c>
      <c r="O111" s="3">
        <f t="shared" si="2"/>
        <v>55515.89</v>
      </c>
    </row>
    <row r="112" spans="1:15" x14ac:dyDescent="0.2">
      <c r="A112" s="5">
        <v>318</v>
      </c>
      <c r="B112" s="5">
        <v>1</v>
      </c>
      <c r="C112" s="2" t="s">
        <v>109</v>
      </c>
      <c r="D112" s="2">
        <v>0</v>
      </c>
      <c r="E112" s="2">
        <v>0</v>
      </c>
      <c r="F112" s="2">
        <v>181247.22</v>
      </c>
      <c r="G112" s="2">
        <v>24400.32</v>
      </c>
      <c r="H112" s="2">
        <v>87141.79</v>
      </c>
      <c r="I112" s="2">
        <v>-63909.68</v>
      </c>
      <c r="J112" s="2">
        <v>0</v>
      </c>
      <c r="K112" s="2">
        <v>-12099.369999999999</v>
      </c>
      <c r="L112" s="2">
        <v>0</v>
      </c>
      <c r="M112" s="2">
        <v>0</v>
      </c>
      <c r="N112" s="2">
        <v>0</v>
      </c>
      <c r="O112" s="3">
        <f t="shared" si="2"/>
        <v>216780.28000000003</v>
      </c>
    </row>
    <row r="113" spans="1:15" x14ac:dyDescent="0.2">
      <c r="A113" s="5">
        <v>319</v>
      </c>
      <c r="B113" s="5">
        <v>1</v>
      </c>
      <c r="C113" s="2" t="s">
        <v>110</v>
      </c>
      <c r="D113" s="2">
        <v>0</v>
      </c>
      <c r="E113" s="2">
        <v>0</v>
      </c>
      <c r="F113" s="2">
        <v>26397.040000000001</v>
      </c>
      <c r="G113" s="2">
        <v>10096.66</v>
      </c>
      <c r="H113" s="2">
        <v>14095.51</v>
      </c>
      <c r="I113" s="2">
        <v>0</v>
      </c>
      <c r="J113" s="2">
        <v>0</v>
      </c>
      <c r="K113" s="2">
        <v>13127.15</v>
      </c>
      <c r="L113" s="2">
        <v>0</v>
      </c>
      <c r="M113" s="2">
        <v>0</v>
      </c>
      <c r="N113" s="2">
        <v>0</v>
      </c>
      <c r="O113" s="3">
        <f t="shared" si="2"/>
        <v>63716.36</v>
      </c>
    </row>
    <row r="114" spans="1:15" x14ac:dyDescent="0.2">
      <c r="A114" s="5">
        <v>323</v>
      </c>
      <c r="B114" s="5">
        <v>2</v>
      </c>
      <c r="C114" s="2" t="s">
        <v>111</v>
      </c>
      <c r="D114" s="2">
        <v>0</v>
      </c>
      <c r="E114" s="2">
        <v>0</v>
      </c>
      <c r="F114" s="2">
        <v>7317.68</v>
      </c>
      <c r="G114" s="2">
        <v>0</v>
      </c>
      <c r="H114" s="2">
        <v>0</v>
      </c>
      <c r="I114" s="2">
        <v>0</v>
      </c>
      <c r="J114" s="2">
        <v>0</v>
      </c>
      <c r="K114" s="2">
        <v>0</v>
      </c>
      <c r="L114" s="2">
        <v>0</v>
      </c>
      <c r="M114" s="2">
        <v>0</v>
      </c>
      <c r="N114" s="2">
        <v>0</v>
      </c>
      <c r="O114" s="3">
        <f t="shared" si="2"/>
        <v>7317.68</v>
      </c>
    </row>
    <row r="115" spans="1:15" x14ac:dyDescent="0.2">
      <c r="A115" s="5">
        <v>330</v>
      </c>
      <c r="B115" s="5">
        <v>1</v>
      </c>
      <c r="C115" s="2" t="s">
        <v>112</v>
      </c>
      <c r="D115" s="2">
        <v>0</v>
      </c>
      <c r="E115" s="2">
        <v>0</v>
      </c>
      <c r="F115" s="2">
        <v>74812.61</v>
      </c>
      <c r="G115" s="2">
        <v>18104.77</v>
      </c>
      <c r="H115" s="2">
        <v>17446.849999999999</v>
      </c>
      <c r="I115" s="2">
        <v>0</v>
      </c>
      <c r="J115" s="2">
        <v>0</v>
      </c>
      <c r="K115" s="2">
        <v>19.13</v>
      </c>
      <c r="L115" s="2">
        <v>0</v>
      </c>
      <c r="M115" s="2">
        <v>0</v>
      </c>
      <c r="N115" s="2">
        <v>0</v>
      </c>
      <c r="O115" s="3">
        <f t="shared" si="2"/>
        <v>110383.36000000002</v>
      </c>
    </row>
    <row r="116" spans="1:15" x14ac:dyDescent="0.2">
      <c r="A116" s="5">
        <v>332</v>
      </c>
      <c r="B116" s="5">
        <v>1</v>
      </c>
      <c r="C116" s="2" t="s">
        <v>113</v>
      </c>
      <c r="D116" s="2">
        <v>0</v>
      </c>
      <c r="E116" s="2">
        <v>0</v>
      </c>
      <c r="F116" s="2">
        <v>0</v>
      </c>
      <c r="G116" s="2">
        <v>0</v>
      </c>
      <c r="H116" s="2">
        <v>36682.5</v>
      </c>
      <c r="I116" s="2">
        <v>0</v>
      </c>
      <c r="J116" s="2">
        <v>0</v>
      </c>
      <c r="K116" s="2">
        <v>47403.1</v>
      </c>
      <c r="L116" s="2">
        <v>0</v>
      </c>
      <c r="M116" s="2">
        <v>0</v>
      </c>
      <c r="N116" s="2">
        <v>0</v>
      </c>
      <c r="O116" s="3">
        <f t="shared" si="2"/>
        <v>84085.6</v>
      </c>
    </row>
    <row r="117" spans="1:15" x14ac:dyDescent="0.2">
      <c r="A117" s="5">
        <v>333</v>
      </c>
      <c r="B117" s="5">
        <v>1</v>
      </c>
      <c r="C117" s="2" t="s">
        <v>114</v>
      </c>
      <c r="D117" s="2">
        <v>0</v>
      </c>
      <c r="E117" s="2">
        <v>0</v>
      </c>
      <c r="F117" s="2">
        <v>23206.16</v>
      </c>
      <c r="G117" s="2">
        <v>0</v>
      </c>
      <c r="H117" s="2">
        <v>11786.81</v>
      </c>
      <c r="I117" s="2">
        <v>0</v>
      </c>
      <c r="J117" s="2">
        <v>0</v>
      </c>
      <c r="K117" s="2">
        <v>9950.8799999999992</v>
      </c>
      <c r="L117" s="2">
        <v>0</v>
      </c>
      <c r="M117" s="2">
        <v>0</v>
      </c>
      <c r="N117" s="2">
        <v>0</v>
      </c>
      <c r="O117" s="3">
        <f t="shared" si="2"/>
        <v>44943.85</v>
      </c>
    </row>
    <row r="118" spans="1:15" x14ac:dyDescent="0.2">
      <c r="A118" s="5">
        <v>345</v>
      </c>
      <c r="B118" s="5">
        <v>1</v>
      </c>
      <c r="C118" s="2" t="s">
        <v>115</v>
      </c>
      <c r="D118" s="2">
        <v>0</v>
      </c>
      <c r="E118" s="2">
        <v>0</v>
      </c>
      <c r="F118" s="2">
        <v>95479.19</v>
      </c>
      <c r="G118" s="2">
        <v>0</v>
      </c>
      <c r="H118" s="2">
        <v>34241.120000000003</v>
      </c>
      <c r="I118" s="2">
        <v>0</v>
      </c>
      <c r="J118" s="2">
        <v>0</v>
      </c>
      <c r="K118" s="2">
        <v>-1391.67</v>
      </c>
      <c r="L118" s="2">
        <v>0</v>
      </c>
      <c r="M118" s="2">
        <v>0</v>
      </c>
      <c r="N118" s="2">
        <v>0</v>
      </c>
      <c r="O118" s="3">
        <f t="shared" si="2"/>
        <v>128328.64</v>
      </c>
    </row>
    <row r="119" spans="1:15" x14ac:dyDescent="0.2">
      <c r="A119" s="5">
        <v>347</v>
      </c>
      <c r="B119" s="5">
        <v>1</v>
      </c>
      <c r="C119" s="2" t="s">
        <v>116</v>
      </c>
      <c r="D119" s="2">
        <v>0</v>
      </c>
      <c r="E119" s="2">
        <v>0</v>
      </c>
      <c r="F119" s="2">
        <v>184153.16</v>
      </c>
      <c r="G119" s="2">
        <v>0</v>
      </c>
      <c r="H119" s="2">
        <v>78320</v>
      </c>
      <c r="I119" s="2">
        <v>0</v>
      </c>
      <c r="J119" s="2">
        <v>0</v>
      </c>
      <c r="K119" s="2">
        <v>42843.64</v>
      </c>
      <c r="L119" s="2">
        <v>0</v>
      </c>
      <c r="M119" s="2">
        <v>0</v>
      </c>
      <c r="N119" s="2">
        <v>0</v>
      </c>
      <c r="O119" s="3">
        <f t="shared" si="2"/>
        <v>305316.80000000005</v>
      </c>
    </row>
    <row r="120" spans="1:15" x14ac:dyDescent="0.2">
      <c r="A120" s="5">
        <v>356</v>
      </c>
      <c r="B120" s="5">
        <v>1</v>
      </c>
      <c r="C120" s="2" t="s">
        <v>117</v>
      </c>
      <c r="D120" s="2">
        <v>0</v>
      </c>
      <c r="E120" s="2">
        <v>0</v>
      </c>
      <c r="F120" s="2">
        <v>77555.070000000007</v>
      </c>
      <c r="G120" s="2">
        <v>0</v>
      </c>
      <c r="H120" s="2">
        <v>20000</v>
      </c>
      <c r="I120" s="2">
        <v>0</v>
      </c>
      <c r="J120" s="2">
        <v>0</v>
      </c>
      <c r="K120" s="2">
        <v>-1000</v>
      </c>
      <c r="L120" s="2">
        <v>0</v>
      </c>
      <c r="M120" s="2">
        <v>0</v>
      </c>
      <c r="N120" s="2">
        <v>0</v>
      </c>
      <c r="O120" s="3">
        <f t="shared" si="2"/>
        <v>96555.07</v>
      </c>
    </row>
    <row r="121" spans="1:15" x14ac:dyDescent="0.2">
      <c r="A121" s="5">
        <v>361</v>
      </c>
      <c r="B121" s="5">
        <v>1</v>
      </c>
      <c r="C121" s="2" t="s">
        <v>118</v>
      </c>
      <c r="D121" s="2">
        <v>0</v>
      </c>
      <c r="E121" s="2">
        <v>0</v>
      </c>
      <c r="F121" s="2">
        <v>75327.83</v>
      </c>
      <c r="G121" s="2">
        <v>0</v>
      </c>
      <c r="H121" s="2">
        <v>25391.42</v>
      </c>
      <c r="I121" s="2">
        <v>0</v>
      </c>
      <c r="J121" s="2">
        <v>0</v>
      </c>
      <c r="K121" s="2">
        <v>4046.9399999999987</v>
      </c>
      <c r="L121" s="2">
        <v>0</v>
      </c>
      <c r="M121" s="2">
        <v>0</v>
      </c>
      <c r="N121" s="2">
        <v>0</v>
      </c>
      <c r="O121" s="3">
        <f t="shared" si="2"/>
        <v>104766.19</v>
      </c>
    </row>
    <row r="122" spans="1:15" x14ac:dyDescent="0.2">
      <c r="A122" s="5">
        <v>362</v>
      </c>
      <c r="B122" s="5">
        <v>1</v>
      </c>
      <c r="C122" s="2" t="s">
        <v>119</v>
      </c>
      <c r="D122" s="2">
        <v>0</v>
      </c>
      <c r="E122" s="2">
        <v>0</v>
      </c>
      <c r="F122" s="2">
        <v>0</v>
      </c>
      <c r="G122" s="2">
        <v>0</v>
      </c>
      <c r="H122" s="2">
        <v>0</v>
      </c>
      <c r="I122" s="2">
        <v>0</v>
      </c>
      <c r="J122" s="2">
        <v>0</v>
      </c>
      <c r="K122" s="2">
        <v>94.519999999999982</v>
      </c>
      <c r="L122" s="2">
        <v>0</v>
      </c>
      <c r="M122" s="2">
        <v>0</v>
      </c>
      <c r="N122" s="2">
        <v>0</v>
      </c>
      <c r="O122" s="3">
        <f t="shared" si="2"/>
        <v>94.519999999999982</v>
      </c>
    </row>
    <row r="123" spans="1:15" x14ac:dyDescent="0.2">
      <c r="A123" s="5">
        <v>363</v>
      </c>
      <c r="B123" s="5">
        <v>1</v>
      </c>
      <c r="C123" s="2" t="s">
        <v>120</v>
      </c>
      <c r="D123" s="2">
        <v>0</v>
      </c>
      <c r="E123" s="2">
        <v>0</v>
      </c>
      <c r="F123" s="2">
        <v>0</v>
      </c>
      <c r="G123" s="2">
        <v>0</v>
      </c>
      <c r="H123" s="2">
        <v>0</v>
      </c>
      <c r="I123" s="2">
        <v>0</v>
      </c>
      <c r="J123" s="2">
        <v>0</v>
      </c>
      <c r="K123" s="2">
        <v>0</v>
      </c>
      <c r="L123" s="2">
        <v>0</v>
      </c>
      <c r="M123" s="2">
        <v>0</v>
      </c>
      <c r="N123" s="2">
        <v>0</v>
      </c>
      <c r="O123" s="3">
        <f t="shared" si="2"/>
        <v>0</v>
      </c>
    </row>
    <row r="124" spans="1:15" x14ac:dyDescent="0.2">
      <c r="A124" s="5">
        <v>378</v>
      </c>
      <c r="B124" s="5">
        <v>1</v>
      </c>
      <c r="C124" s="2" t="s">
        <v>121</v>
      </c>
      <c r="D124" s="2">
        <v>0</v>
      </c>
      <c r="E124" s="2">
        <v>0</v>
      </c>
      <c r="F124" s="2">
        <v>39303.019999999997</v>
      </c>
      <c r="G124" s="2">
        <v>4537.68</v>
      </c>
      <c r="H124" s="2">
        <v>11642.04</v>
      </c>
      <c r="I124" s="2">
        <v>0</v>
      </c>
      <c r="J124" s="2">
        <v>-300</v>
      </c>
      <c r="K124" s="2">
        <v>898.78</v>
      </c>
      <c r="L124" s="2">
        <v>0</v>
      </c>
      <c r="M124" s="2">
        <v>0</v>
      </c>
      <c r="N124" s="2">
        <v>0</v>
      </c>
      <c r="O124" s="3">
        <f t="shared" si="2"/>
        <v>56081.52</v>
      </c>
    </row>
    <row r="125" spans="1:15" x14ac:dyDescent="0.2">
      <c r="A125" s="5">
        <v>381</v>
      </c>
      <c r="B125" s="5">
        <v>1</v>
      </c>
      <c r="C125" s="2" t="s">
        <v>122</v>
      </c>
      <c r="D125" s="2">
        <v>0</v>
      </c>
      <c r="E125" s="2">
        <v>0</v>
      </c>
      <c r="F125" s="2">
        <v>121543.27</v>
      </c>
      <c r="G125" s="2">
        <v>76394.2</v>
      </c>
      <c r="H125" s="2">
        <v>26699.96</v>
      </c>
      <c r="I125" s="2">
        <v>0</v>
      </c>
      <c r="J125" s="2">
        <v>0</v>
      </c>
      <c r="K125" s="2">
        <v>5218.21</v>
      </c>
      <c r="L125" s="2">
        <v>0</v>
      </c>
      <c r="M125" s="2">
        <v>0</v>
      </c>
      <c r="N125" s="2">
        <v>0</v>
      </c>
      <c r="O125" s="3">
        <f t="shared" si="2"/>
        <v>229855.63999999998</v>
      </c>
    </row>
    <row r="126" spans="1:15" x14ac:dyDescent="0.2">
      <c r="A126" s="5">
        <v>390</v>
      </c>
      <c r="B126" s="5">
        <v>1</v>
      </c>
      <c r="C126" s="2" t="s">
        <v>123</v>
      </c>
      <c r="D126" s="2">
        <v>0</v>
      </c>
      <c r="E126" s="2">
        <v>0</v>
      </c>
      <c r="F126" s="2">
        <v>0</v>
      </c>
      <c r="G126" s="2">
        <v>0</v>
      </c>
      <c r="H126" s="2">
        <v>12057.6</v>
      </c>
      <c r="I126" s="2">
        <v>0</v>
      </c>
      <c r="J126" s="2">
        <v>0</v>
      </c>
      <c r="K126" s="2">
        <v>1664.98</v>
      </c>
      <c r="L126" s="2">
        <v>0</v>
      </c>
      <c r="M126" s="2">
        <v>0</v>
      </c>
      <c r="N126" s="2">
        <v>0</v>
      </c>
      <c r="O126" s="3">
        <f t="shared" si="2"/>
        <v>13722.58</v>
      </c>
    </row>
    <row r="127" spans="1:15" x14ac:dyDescent="0.2">
      <c r="A127" s="5">
        <v>391</v>
      </c>
      <c r="B127" s="5">
        <v>1</v>
      </c>
      <c r="C127" s="2" t="s">
        <v>124</v>
      </c>
      <c r="D127" s="2">
        <v>0</v>
      </c>
      <c r="E127" s="2">
        <v>0</v>
      </c>
      <c r="F127" s="2">
        <v>42002.25</v>
      </c>
      <c r="G127" s="2">
        <v>0</v>
      </c>
      <c r="H127" s="2">
        <v>11966.68</v>
      </c>
      <c r="I127" s="2">
        <v>0</v>
      </c>
      <c r="J127" s="2">
        <v>-10647.82</v>
      </c>
      <c r="K127" s="2">
        <v>11056</v>
      </c>
      <c r="L127" s="2">
        <v>0</v>
      </c>
      <c r="M127" s="2">
        <v>0</v>
      </c>
      <c r="N127" s="2">
        <v>0</v>
      </c>
      <c r="O127" s="3">
        <f t="shared" si="2"/>
        <v>54377.11</v>
      </c>
    </row>
    <row r="128" spans="1:15" x14ac:dyDescent="0.2">
      <c r="A128" s="5">
        <v>392</v>
      </c>
      <c r="B128" s="5">
        <v>1</v>
      </c>
      <c r="C128" s="2" t="s">
        <v>125</v>
      </c>
      <c r="D128" s="2">
        <v>0</v>
      </c>
      <c r="E128" s="2">
        <v>0</v>
      </c>
      <c r="F128" s="2">
        <v>9608.68</v>
      </c>
      <c r="G128" s="2">
        <v>0</v>
      </c>
      <c r="H128" s="2">
        <v>15536</v>
      </c>
      <c r="I128" s="2">
        <v>0</v>
      </c>
      <c r="J128" s="2">
        <v>0</v>
      </c>
      <c r="K128" s="2">
        <v>-333.06999999999971</v>
      </c>
      <c r="L128" s="2">
        <v>0</v>
      </c>
      <c r="M128" s="2">
        <v>0</v>
      </c>
      <c r="N128" s="2">
        <v>0</v>
      </c>
      <c r="O128" s="3">
        <f t="shared" si="2"/>
        <v>24811.61</v>
      </c>
    </row>
    <row r="129" spans="1:15" x14ac:dyDescent="0.2">
      <c r="A129" s="5">
        <v>394</v>
      </c>
      <c r="B129" s="5">
        <v>1</v>
      </c>
      <c r="C129" s="2" t="s">
        <v>126</v>
      </c>
      <c r="D129" s="2">
        <v>0</v>
      </c>
      <c r="E129" s="2">
        <v>0</v>
      </c>
      <c r="F129" s="2">
        <v>15161.69</v>
      </c>
      <c r="G129" s="2">
        <v>0</v>
      </c>
      <c r="H129" s="2">
        <v>17433.189999999999</v>
      </c>
      <c r="I129" s="2">
        <v>0</v>
      </c>
      <c r="J129" s="2">
        <v>0</v>
      </c>
      <c r="K129" s="2">
        <v>12759.58</v>
      </c>
      <c r="L129" s="2">
        <v>0</v>
      </c>
      <c r="M129" s="2">
        <v>0</v>
      </c>
      <c r="N129" s="2">
        <v>0</v>
      </c>
      <c r="O129" s="3">
        <f t="shared" si="2"/>
        <v>45354.46</v>
      </c>
    </row>
    <row r="130" spans="1:15" x14ac:dyDescent="0.2">
      <c r="A130" s="5">
        <v>402</v>
      </c>
      <c r="B130" s="5">
        <v>1</v>
      </c>
      <c r="C130" s="2" t="s">
        <v>127</v>
      </c>
      <c r="D130" s="2">
        <v>0</v>
      </c>
      <c r="E130" s="2">
        <v>0</v>
      </c>
      <c r="F130" s="2">
        <v>9929.51</v>
      </c>
      <c r="G130" s="2">
        <v>4376.54</v>
      </c>
      <c r="H130" s="2">
        <v>-10000</v>
      </c>
      <c r="I130" s="2">
        <v>0</v>
      </c>
      <c r="J130" s="2">
        <v>0</v>
      </c>
      <c r="K130" s="2">
        <v>1515.25</v>
      </c>
      <c r="L130" s="2">
        <v>0</v>
      </c>
      <c r="M130" s="2">
        <v>0</v>
      </c>
      <c r="N130" s="2">
        <v>0</v>
      </c>
      <c r="O130" s="3">
        <f t="shared" si="2"/>
        <v>5821.2999999999993</v>
      </c>
    </row>
    <row r="131" spans="1:15" x14ac:dyDescent="0.2">
      <c r="A131" s="5">
        <v>403</v>
      </c>
      <c r="B131" s="5">
        <v>1</v>
      </c>
      <c r="C131" s="2" t="s">
        <v>128</v>
      </c>
      <c r="D131" s="2">
        <v>0</v>
      </c>
      <c r="E131" s="2">
        <v>0</v>
      </c>
      <c r="F131" s="2">
        <v>17191.45</v>
      </c>
      <c r="G131" s="2">
        <v>0</v>
      </c>
      <c r="H131" s="2">
        <v>10000</v>
      </c>
      <c r="I131" s="2">
        <v>0</v>
      </c>
      <c r="J131" s="2">
        <v>0</v>
      </c>
      <c r="K131" s="2">
        <v>24.79</v>
      </c>
      <c r="L131" s="2">
        <v>0</v>
      </c>
      <c r="M131" s="2">
        <v>0</v>
      </c>
      <c r="N131" s="2">
        <v>0</v>
      </c>
      <c r="O131" s="3">
        <f t="shared" si="2"/>
        <v>27216.240000000002</v>
      </c>
    </row>
    <row r="132" spans="1:15" x14ac:dyDescent="0.2">
      <c r="A132" s="5">
        <v>404</v>
      </c>
      <c r="B132" s="5">
        <v>1</v>
      </c>
      <c r="C132" s="2" t="s">
        <v>129</v>
      </c>
      <c r="D132" s="2">
        <v>0</v>
      </c>
      <c r="E132" s="2">
        <v>0</v>
      </c>
      <c r="F132" s="2">
        <v>70889.98</v>
      </c>
      <c r="G132" s="2">
        <v>325.19</v>
      </c>
      <c r="H132" s="2">
        <v>0</v>
      </c>
      <c r="I132" s="2">
        <v>0</v>
      </c>
      <c r="J132" s="2">
        <v>0</v>
      </c>
      <c r="K132" s="2">
        <v>2150.4899999999998</v>
      </c>
      <c r="L132" s="2">
        <v>0</v>
      </c>
      <c r="M132" s="2">
        <v>0</v>
      </c>
      <c r="N132" s="2">
        <v>0</v>
      </c>
      <c r="O132" s="3">
        <f t="shared" si="2"/>
        <v>73365.66</v>
      </c>
    </row>
    <row r="133" spans="1:15" x14ac:dyDescent="0.2">
      <c r="A133" s="5">
        <v>413</v>
      </c>
      <c r="B133" s="5">
        <v>1</v>
      </c>
      <c r="C133" s="2" t="s">
        <v>130</v>
      </c>
      <c r="D133" s="2">
        <v>0</v>
      </c>
      <c r="E133" s="2">
        <v>0</v>
      </c>
      <c r="F133" s="2">
        <v>185634.72</v>
      </c>
      <c r="G133" s="2">
        <v>0</v>
      </c>
      <c r="H133" s="2">
        <v>47744.789999999994</v>
      </c>
      <c r="I133" s="2">
        <v>0</v>
      </c>
      <c r="J133" s="2">
        <v>0</v>
      </c>
      <c r="K133" s="2">
        <v>4976.88</v>
      </c>
      <c r="L133" s="2">
        <v>0</v>
      </c>
      <c r="M133" s="2">
        <v>0</v>
      </c>
      <c r="N133" s="2">
        <v>0</v>
      </c>
      <c r="O133" s="3">
        <f t="shared" ref="O133:O193" si="3">SUM(D133:N133)</f>
        <v>238356.39</v>
      </c>
    </row>
    <row r="134" spans="1:15" x14ac:dyDescent="0.2">
      <c r="A134" s="5">
        <v>414</v>
      </c>
      <c r="B134" s="5">
        <v>1</v>
      </c>
      <c r="C134" s="2" t="s">
        <v>131</v>
      </c>
      <c r="D134" s="2">
        <v>0</v>
      </c>
      <c r="E134" s="2">
        <v>0</v>
      </c>
      <c r="F134" s="2">
        <v>28651.58</v>
      </c>
      <c r="G134" s="2">
        <v>262.36</v>
      </c>
      <c r="H134" s="2">
        <v>10180</v>
      </c>
      <c r="I134" s="2">
        <v>0</v>
      </c>
      <c r="J134" s="2">
        <v>0</v>
      </c>
      <c r="K134" s="2">
        <v>6487.01</v>
      </c>
      <c r="L134" s="2">
        <v>0</v>
      </c>
      <c r="M134" s="2">
        <v>0</v>
      </c>
      <c r="N134" s="2">
        <v>0</v>
      </c>
      <c r="O134" s="3">
        <f t="shared" si="3"/>
        <v>45580.950000000004</v>
      </c>
    </row>
    <row r="135" spans="1:15" x14ac:dyDescent="0.2">
      <c r="A135" s="5">
        <v>415</v>
      </c>
      <c r="B135" s="5">
        <v>1</v>
      </c>
      <c r="C135" s="2" t="s">
        <v>132</v>
      </c>
      <c r="D135" s="2">
        <v>0</v>
      </c>
      <c r="E135" s="2">
        <v>0</v>
      </c>
      <c r="F135" s="2">
        <v>20886.88</v>
      </c>
      <c r="G135" s="2">
        <v>4594.3999999999996</v>
      </c>
      <c r="H135" s="2">
        <v>-10000</v>
      </c>
      <c r="I135" s="2">
        <v>0</v>
      </c>
      <c r="J135" s="2">
        <v>-4251.6499999999996</v>
      </c>
      <c r="K135" s="2">
        <v>0</v>
      </c>
      <c r="L135" s="2">
        <v>0</v>
      </c>
      <c r="M135" s="2">
        <v>0</v>
      </c>
      <c r="N135" s="2">
        <v>0</v>
      </c>
      <c r="O135" s="3">
        <f t="shared" si="3"/>
        <v>11229.63</v>
      </c>
    </row>
    <row r="136" spans="1:15" x14ac:dyDescent="0.2">
      <c r="A136" s="5">
        <v>423</v>
      </c>
      <c r="B136" s="5">
        <v>1</v>
      </c>
      <c r="C136" s="2" t="s">
        <v>133</v>
      </c>
      <c r="D136" s="2">
        <v>0</v>
      </c>
      <c r="E136" s="2">
        <v>0</v>
      </c>
      <c r="F136" s="2">
        <v>159248.91</v>
      </c>
      <c r="G136" s="2">
        <v>0</v>
      </c>
      <c r="H136" s="2">
        <v>58965.95</v>
      </c>
      <c r="I136" s="2">
        <v>0</v>
      </c>
      <c r="J136" s="2">
        <v>0</v>
      </c>
      <c r="K136" s="2">
        <v>19577.3</v>
      </c>
      <c r="L136" s="2">
        <v>0</v>
      </c>
      <c r="M136" s="2">
        <v>0</v>
      </c>
      <c r="N136" s="2">
        <v>0</v>
      </c>
      <c r="O136" s="3">
        <f t="shared" si="3"/>
        <v>237792.15999999997</v>
      </c>
    </row>
    <row r="137" spans="1:15" x14ac:dyDescent="0.2">
      <c r="A137" s="5">
        <v>424</v>
      </c>
      <c r="B137" s="5">
        <v>1</v>
      </c>
      <c r="C137" s="2" t="s">
        <v>134</v>
      </c>
      <c r="D137" s="2">
        <v>0</v>
      </c>
      <c r="E137" s="2">
        <v>0</v>
      </c>
      <c r="F137" s="2">
        <v>24228.86</v>
      </c>
      <c r="G137" s="2">
        <v>0</v>
      </c>
      <c r="H137" s="2">
        <v>10000</v>
      </c>
      <c r="I137" s="2">
        <v>0</v>
      </c>
      <c r="J137" s="2">
        <v>0</v>
      </c>
      <c r="K137" s="2">
        <v>12944.69</v>
      </c>
      <c r="L137" s="2">
        <v>0</v>
      </c>
      <c r="M137" s="2">
        <v>0</v>
      </c>
      <c r="N137" s="2">
        <v>0</v>
      </c>
      <c r="O137" s="3">
        <f t="shared" si="3"/>
        <v>47173.55</v>
      </c>
    </row>
    <row r="138" spans="1:15" x14ac:dyDescent="0.2">
      <c r="A138" s="5">
        <v>432</v>
      </c>
      <c r="B138" s="5">
        <v>1</v>
      </c>
      <c r="C138" s="2" t="s">
        <v>135</v>
      </c>
      <c r="D138" s="2">
        <v>0</v>
      </c>
      <c r="E138" s="2">
        <v>0</v>
      </c>
      <c r="F138" s="2">
        <v>0</v>
      </c>
      <c r="G138" s="2">
        <v>0</v>
      </c>
      <c r="H138" s="2">
        <v>33569.35</v>
      </c>
      <c r="I138" s="2">
        <v>0</v>
      </c>
      <c r="J138" s="2">
        <v>0</v>
      </c>
      <c r="K138" s="2">
        <v>5872.15</v>
      </c>
      <c r="L138" s="2">
        <v>0</v>
      </c>
      <c r="M138" s="2">
        <v>0</v>
      </c>
      <c r="N138" s="2">
        <v>0</v>
      </c>
      <c r="O138" s="3">
        <f t="shared" si="3"/>
        <v>39441.5</v>
      </c>
    </row>
    <row r="139" spans="1:15" x14ac:dyDescent="0.2">
      <c r="A139" s="5">
        <v>435</v>
      </c>
      <c r="B139" s="5">
        <v>1</v>
      </c>
      <c r="C139" s="2" t="s">
        <v>136</v>
      </c>
      <c r="D139" s="2">
        <v>0</v>
      </c>
      <c r="E139" s="2">
        <v>0</v>
      </c>
      <c r="F139" s="2">
        <v>0</v>
      </c>
      <c r="G139" s="2">
        <v>0</v>
      </c>
      <c r="H139" s="2">
        <v>17446.849999999999</v>
      </c>
      <c r="I139" s="2">
        <v>0</v>
      </c>
      <c r="J139" s="2">
        <v>0</v>
      </c>
      <c r="K139" s="2">
        <v>-2500</v>
      </c>
      <c r="L139" s="2">
        <v>0</v>
      </c>
      <c r="M139" s="2">
        <v>0</v>
      </c>
      <c r="N139" s="2">
        <v>0</v>
      </c>
      <c r="O139" s="3">
        <f t="shared" si="3"/>
        <v>14946.849999999999</v>
      </c>
    </row>
    <row r="140" spans="1:15" x14ac:dyDescent="0.2">
      <c r="A140" s="5">
        <v>441</v>
      </c>
      <c r="B140" s="5">
        <v>1</v>
      </c>
      <c r="C140" s="2" t="s">
        <v>137</v>
      </c>
      <c r="D140" s="2">
        <v>0</v>
      </c>
      <c r="E140" s="2">
        <v>0</v>
      </c>
      <c r="F140" s="2">
        <v>24919.51</v>
      </c>
      <c r="G140" s="2">
        <v>10876.31</v>
      </c>
      <c r="H140" s="2">
        <v>10000</v>
      </c>
      <c r="I140" s="2">
        <v>0</v>
      </c>
      <c r="J140" s="2">
        <v>0</v>
      </c>
      <c r="K140" s="2">
        <v>-1447.7800000000007</v>
      </c>
      <c r="L140" s="2">
        <v>0</v>
      </c>
      <c r="M140" s="2">
        <v>0</v>
      </c>
      <c r="N140" s="2">
        <v>0</v>
      </c>
      <c r="O140" s="3">
        <f t="shared" si="3"/>
        <v>44348.04</v>
      </c>
    </row>
    <row r="141" spans="1:15" x14ac:dyDescent="0.2">
      <c r="A141" s="5">
        <v>447</v>
      </c>
      <c r="B141" s="5">
        <v>1</v>
      </c>
      <c r="C141" s="2" t="s">
        <v>138</v>
      </c>
      <c r="D141" s="2">
        <v>0</v>
      </c>
      <c r="E141" s="2">
        <v>0</v>
      </c>
      <c r="F141" s="2">
        <v>4943.41</v>
      </c>
      <c r="G141" s="2">
        <v>0</v>
      </c>
      <c r="H141" s="2">
        <v>10000</v>
      </c>
      <c r="I141" s="2">
        <v>0</v>
      </c>
      <c r="J141" s="2">
        <v>0</v>
      </c>
      <c r="K141" s="2">
        <v>0</v>
      </c>
      <c r="L141" s="2">
        <v>0</v>
      </c>
      <c r="M141" s="2">
        <v>0</v>
      </c>
      <c r="N141" s="2">
        <v>0</v>
      </c>
      <c r="O141" s="3">
        <f t="shared" si="3"/>
        <v>14943.41</v>
      </c>
    </row>
    <row r="142" spans="1:15" x14ac:dyDescent="0.2">
      <c r="A142" s="5">
        <v>458</v>
      </c>
      <c r="B142" s="5">
        <v>1</v>
      </c>
      <c r="C142" s="2" t="s">
        <v>139</v>
      </c>
      <c r="D142" s="2">
        <v>0</v>
      </c>
      <c r="E142" s="2">
        <v>0</v>
      </c>
      <c r="F142" s="2">
        <v>138045.48000000001</v>
      </c>
      <c r="G142" s="2">
        <v>9301.26</v>
      </c>
      <c r="H142" s="2">
        <v>10000</v>
      </c>
      <c r="I142" s="2">
        <v>0</v>
      </c>
      <c r="J142" s="2">
        <v>0</v>
      </c>
      <c r="K142" s="2">
        <v>10975.27</v>
      </c>
      <c r="L142" s="2">
        <v>0</v>
      </c>
      <c r="M142" s="2">
        <v>0</v>
      </c>
      <c r="N142" s="2">
        <v>0</v>
      </c>
      <c r="O142" s="3">
        <f t="shared" si="3"/>
        <v>168322.01</v>
      </c>
    </row>
    <row r="143" spans="1:15" x14ac:dyDescent="0.2">
      <c r="A143" s="5">
        <v>463</v>
      </c>
      <c r="B143" s="5">
        <v>1</v>
      </c>
      <c r="C143" s="2" t="s">
        <v>140</v>
      </c>
      <c r="D143" s="2">
        <v>0</v>
      </c>
      <c r="E143" s="2">
        <v>0</v>
      </c>
      <c r="F143" s="2">
        <v>32117.919999999998</v>
      </c>
      <c r="G143" s="2">
        <v>0</v>
      </c>
      <c r="H143" s="2">
        <v>10000</v>
      </c>
      <c r="I143" s="2">
        <v>0</v>
      </c>
      <c r="J143" s="2">
        <v>0</v>
      </c>
      <c r="K143" s="2">
        <v>2606.42</v>
      </c>
      <c r="L143" s="2">
        <v>0</v>
      </c>
      <c r="M143" s="2">
        <v>0</v>
      </c>
      <c r="N143" s="2">
        <v>0</v>
      </c>
      <c r="O143" s="3">
        <f t="shared" si="3"/>
        <v>44724.34</v>
      </c>
    </row>
    <row r="144" spans="1:15" x14ac:dyDescent="0.2">
      <c r="A144" s="5">
        <v>465</v>
      </c>
      <c r="B144" s="5">
        <v>1</v>
      </c>
      <c r="C144" s="2" t="s">
        <v>141</v>
      </c>
      <c r="D144" s="2">
        <v>0</v>
      </c>
      <c r="E144" s="2">
        <v>0</v>
      </c>
      <c r="F144" s="2">
        <v>97079.01</v>
      </c>
      <c r="G144" s="2">
        <v>0</v>
      </c>
      <c r="H144" s="2">
        <v>35575.61</v>
      </c>
      <c r="I144" s="2">
        <v>0</v>
      </c>
      <c r="J144" s="2">
        <v>-8772.1200000000008</v>
      </c>
      <c r="K144" s="2">
        <v>7768.83</v>
      </c>
      <c r="L144" s="2">
        <v>0</v>
      </c>
      <c r="M144" s="2">
        <v>0</v>
      </c>
      <c r="N144" s="2">
        <v>0</v>
      </c>
      <c r="O144" s="3">
        <f t="shared" si="3"/>
        <v>131651.32999999999</v>
      </c>
    </row>
    <row r="145" spans="1:15" x14ac:dyDescent="0.2">
      <c r="A145" s="5">
        <v>466</v>
      </c>
      <c r="B145" s="5">
        <v>1</v>
      </c>
      <c r="C145" s="2" t="s">
        <v>142</v>
      </c>
      <c r="D145" s="2">
        <v>0</v>
      </c>
      <c r="E145" s="2">
        <v>0</v>
      </c>
      <c r="F145" s="2">
        <v>84376.93</v>
      </c>
      <c r="G145" s="2">
        <v>0</v>
      </c>
      <c r="H145" s="2">
        <v>38976.199999999997</v>
      </c>
      <c r="I145" s="2">
        <v>0</v>
      </c>
      <c r="J145" s="2">
        <v>0</v>
      </c>
      <c r="K145" s="2">
        <v>1799.85</v>
      </c>
      <c r="L145" s="2">
        <v>0</v>
      </c>
      <c r="M145" s="2">
        <v>0</v>
      </c>
      <c r="N145" s="2">
        <v>0</v>
      </c>
      <c r="O145" s="3">
        <f t="shared" si="3"/>
        <v>125152.98</v>
      </c>
    </row>
    <row r="146" spans="1:15" x14ac:dyDescent="0.2">
      <c r="A146" s="5">
        <v>473</v>
      </c>
      <c r="B146" s="5">
        <v>1</v>
      </c>
      <c r="C146" s="2" t="s">
        <v>143</v>
      </c>
      <c r="D146" s="2">
        <v>0</v>
      </c>
      <c r="E146" s="2">
        <v>0</v>
      </c>
      <c r="F146" s="2">
        <v>22384.46</v>
      </c>
      <c r="G146" s="2">
        <v>3627.63</v>
      </c>
      <c r="H146" s="2">
        <v>10088.030000000001</v>
      </c>
      <c r="I146" s="2">
        <v>0</v>
      </c>
      <c r="J146" s="2">
        <v>0</v>
      </c>
      <c r="K146" s="2">
        <v>6985.18</v>
      </c>
      <c r="L146" s="2">
        <v>0</v>
      </c>
      <c r="M146" s="2">
        <v>0</v>
      </c>
      <c r="N146" s="2">
        <v>0</v>
      </c>
      <c r="O146" s="3">
        <f t="shared" si="3"/>
        <v>43085.3</v>
      </c>
    </row>
    <row r="147" spans="1:15" x14ac:dyDescent="0.2">
      <c r="A147" s="5">
        <v>477</v>
      </c>
      <c r="B147" s="5">
        <v>1</v>
      </c>
      <c r="C147" s="2" t="s">
        <v>144</v>
      </c>
      <c r="D147" s="2">
        <v>0</v>
      </c>
      <c r="E147" s="2">
        <v>0</v>
      </c>
      <c r="F147" s="2">
        <v>117256.13</v>
      </c>
      <c r="G147" s="2">
        <v>0</v>
      </c>
      <c r="H147" s="2">
        <v>62282.400000000001</v>
      </c>
      <c r="I147" s="2">
        <v>0</v>
      </c>
      <c r="J147" s="2">
        <v>0</v>
      </c>
      <c r="K147" s="2">
        <v>5019.09</v>
      </c>
      <c r="L147" s="2">
        <v>0</v>
      </c>
      <c r="M147" s="2">
        <v>0</v>
      </c>
      <c r="N147" s="2">
        <v>0</v>
      </c>
      <c r="O147" s="3">
        <f t="shared" si="3"/>
        <v>184557.62</v>
      </c>
    </row>
    <row r="148" spans="1:15" x14ac:dyDescent="0.2">
      <c r="A148" s="5">
        <v>480</v>
      </c>
      <c r="B148" s="5">
        <v>1</v>
      </c>
      <c r="C148" s="2" t="s">
        <v>145</v>
      </c>
      <c r="D148" s="2">
        <v>0</v>
      </c>
      <c r="E148" s="2">
        <v>0</v>
      </c>
      <c r="F148" s="2">
        <v>0</v>
      </c>
      <c r="G148" s="2">
        <v>0</v>
      </c>
      <c r="H148" s="2">
        <v>10000</v>
      </c>
      <c r="I148" s="2">
        <v>0</v>
      </c>
      <c r="J148" s="2">
        <v>0</v>
      </c>
      <c r="K148" s="2">
        <v>6186.32</v>
      </c>
      <c r="L148" s="2">
        <v>0</v>
      </c>
      <c r="M148" s="2">
        <v>0</v>
      </c>
      <c r="N148" s="2">
        <v>0</v>
      </c>
      <c r="O148" s="3">
        <f t="shared" si="3"/>
        <v>16186.32</v>
      </c>
    </row>
    <row r="149" spans="1:15" x14ac:dyDescent="0.2">
      <c r="A149" s="5">
        <v>482</v>
      </c>
      <c r="B149" s="5">
        <v>1</v>
      </c>
      <c r="C149" s="2" t="s">
        <v>146</v>
      </c>
      <c r="D149" s="2">
        <v>0</v>
      </c>
      <c r="E149" s="2">
        <v>0</v>
      </c>
      <c r="F149" s="2">
        <v>98308.58</v>
      </c>
      <c r="G149" s="2">
        <v>0</v>
      </c>
      <c r="H149" s="2">
        <v>83723.98</v>
      </c>
      <c r="I149" s="2">
        <v>0</v>
      </c>
      <c r="J149" s="2">
        <v>0</v>
      </c>
      <c r="K149" s="2">
        <v>21455.129999999997</v>
      </c>
      <c r="L149" s="2">
        <v>0</v>
      </c>
      <c r="M149" s="2">
        <v>0</v>
      </c>
      <c r="N149" s="2">
        <v>0</v>
      </c>
      <c r="O149" s="3">
        <f t="shared" si="3"/>
        <v>203487.69</v>
      </c>
    </row>
    <row r="150" spans="1:15" x14ac:dyDescent="0.2">
      <c r="A150" s="5">
        <v>484</v>
      </c>
      <c r="B150" s="5">
        <v>1</v>
      </c>
      <c r="C150" s="2" t="s">
        <v>147</v>
      </c>
      <c r="D150" s="2">
        <v>0</v>
      </c>
      <c r="E150" s="2">
        <v>0</v>
      </c>
      <c r="F150" s="2">
        <v>31118.21</v>
      </c>
      <c r="G150" s="2">
        <v>0</v>
      </c>
      <c r="H150" s="2">
        <v>0</v>
      </c>
      <c r="I150" s="2">
        <v>0</v>
      </c>
      <c r="J150" s="2">
        <v>0</v>
      </c>
      <c r="K150" s="2">
        <v>-1968.16</v>
      </c>
      <c r="L150" s="2">
        <v>0</v>
      </c>
      <c r="M150" s="2">
        <v>0</v>
      </c>
      <c r="N150" s="2">
        <v>0</v>
      </c>
      <c r="O150" s="3">
        <f t="shared" si="3"/>
        <v>29150.05</v>
      </c>
    </row>
    <row r="151" spans="1:15" x14ac:dyDescent="0.2">
      <c r="A151" s="5">
        <v>485</v>
      </c>
      <c r="B151" s="5">
        <v>1</v>
      </c>
      <c r="C151" s="2" t="s">
        <v>148</v>
      </c>
      <c r="D151" s="2">
        <v>0</v>
      </c>
      <c r="E151" s="2">
        <v>0</v>
      </c>
      <c r="F151" s="2">
        <v>29270.26</v>
      </c>
      <c r="G151" s="2">
        <v>0</v>
      </c>
      <c r="H151" s="2">
        <v>18549.12</v>
      </c>
      <c r="I151" s="2">
        <v>0</v>
      </c>
      <c r="J151" s="2">
        <v>0</v>
      </c>
      <c r="K151" s="2">
        <v>4101.12</v>
      </c>
      <c r="L151" s="2">
        <v>0</v>
      </c>
      <c r="M151" s="2">
        <v>0</v>
      </c>
      <c r="N151" s="2">
        <v>0</v>
      </c>
      <c r="O151" s="3">
        <f t="shared" si="3"/>
        <v>51920.5</v>
      </c>
    </row>
    <row r="152" spans="1:15" x14ac:dyDescent="0.2">
      <c r="A152" s="5">
        <v>486</v>
      </c>
      <c r="B152" s="5">
        <v>1</v>
      </c>
      <c r="C152" s="2" t="s">
        <v>149</v>
      </c>
      <c r="D152" s="2">
        <v>0</v>
      </c>
      <c r="E152" s="2">
        <v>0</v>
      </c>
      <c r="F152" s="2">
        <v>15148.78</v>
      </c>
      <c r="G152" s="2">
        <v>0</v>
      </c>
      <c r="H152" s="2">
        <v>0</v>
      </c>
      <c r="I152" s="2">
        <v>0</v>
      </c>
      <c r="J152" s="2">
        <v>0</v>
      </c>
      <c r="K152" s="2">
        <v>0</v>
      </c>
      <c r="L152" s="2">
        <v>0</v>
      </c>
      <c r="M152" s="2">
        <v>0</v>
      </c>
      <c r="N152" s="2">
        <v>0</v>
      </c>
      <c r="O152" s="3">
        <f t="shared" si="3"/>
        <v>15148.78</v>
      </c>
    </row>
    <row r="153" spans="1:15" x14ac:dyDescent="0.2">
      <c r="A153" s="5">
        <v>487</v>
      </c>
      <c r="B153" s="5">
        <v>1</v>
      </c>
      <c r="C153" s="2" t="s">
        <v>150</v>
      </c>
      <c r="D153" s="2">
        <v>0</v>
      </c>
      <c r="E153" s="2">
        <v>0</v>
      </c>
      <c r="F153" s="2">
        <v>32084.69</v>
      </c>
      <c r="G153" s="2">
        <v>0</v>
      </c>
      <c r="H153" s="2">
        <v>10000</v>
      </c>
      <c r="I153" s="2">
        <v>0</v>
      </c>
      <c r="J153" s="2">
        <v>0</v>
      </c>
      <c r="K153" s="2">
        <v>17188.97</v>
      </c>
      <c r="L153" s="2">
        <v>0</v>
      </c>
      <c r="M153" s="2">
        <v>0</v>
      </c>
      <c r="N153" s="2">
        <v>0</v>
      </c>
      <c r="O153" s="3">
        <f t="shared" si="3"/>
        <v>59273.66</v>
      </c>
    </row>
    <row r="154" spans="1:15" x14ac:dyDescent="0.2">
      <c r="A154" s="5">
        <v>492</v>
      </c>
      <c r="B154" s="5">
        <v>1</v>
      </c>
      <c r="C154" s="2" t="s">
        <v>151</v>
      </c>
      <c r="D154" s="2">
        <v>0</v>
      </c>
      <c r="E154" s="2">
        <v>0</v>
      </c>
      <c r="F154" s="2">
        <v>295941.48</v>
      </c>
      <c r="G154" s="2">
        <v>61476.54</v>
      </c>
      <c r="H154" s="2">
        <v>79328.800000000003</v>
      </c>
      <c r="I154" s="2">
        <v>0</v>
      </c>
      <c r="J154" s="2">
        <v>0</v>
      </c>
      <c r="K154" s="2">
        <v>-10962.739999999998</v>
      </c>
      <c r="L154" s="2">
        <v>0</v>
      </c>
      <c r="M154" s="2">
        <v>0</v>
      </c>
      <c r="N154" s="2">
        <v>0</v>
      </c>
      <c r="O154" s="3">
        <f t="shared" si="3"/>
        <v>425784.07999999996</v>
      </c>
    </row>
    <row r="155" spans="1:15" x14ac:dyDescent="0.2">
      <c r="A155" s="5">
        <v>495</v>
      </c>
      <c r="B155" s="5">
        <v>1</v>
      </c>
      <c r="C155" s="2" t="s">
        <v>152</v>
      </c>
      <c r="D155" s="2">
        <v>0</v>
      </c>
      <c r="E155" s="2">
        <v>0</v>
      </c>
      <c r="F155" s="2">
        <v>55032.71</v>
      </c>
      <c r="G155" s="2">
        <v>7031.72</v>
      </c>
      <c r="H155" s="2">
        <v>10000</v>
      </c>
      <c r="I155" s="2">
        <v>0</v>
      </c>
      <c r="J155" s="2">
        <v>0</v>
      </c>
      <c r="K155" s="2">
        <v>6153.1900000000005</v>
      </c>
      <c r="L155" s="2">
        <v>0</v>
      </c>
      <c r="M155" s="2">
        <v>0</v>
      </c>
      <c r="N155" s="2">
        <v>0</v>
      </c>
      <c r="O155" s="3">
        <f t="shared" si="3"/>
        <v>78217.62</v>
      </c>
    </row>
    <row r="156" spans="1:15" x14ac:dyDescent="0.2">
      <c r="A156" s="5">
        <v>497</v>
      </c>
      <c r="B156" s="5">
        <v>1</v>
      </c>
      <c r="C156" s="2" t="s">
        <v>153</v>
      </c>
      <c r="D156" s="2">
        <v>0</v>
      </c>
      <c r="E156" s="2">
        <v>0</v>
      </c>
      <c r="F156" s="2">
        <v>65196.27</v>
      </c>
      <c r="G156" s="2">
        <v>3172.07</v>
      </c>
      <c r="H156" s="2">
        <v>0</v>
      </c>
      <c r="I156" s="2">
        <v>0</v>
      </c>
      <c r="J156" s="2">
        <v>0</v>
      </c>
      <c r="K156" s="2">
        <v>1246.0899999999999</v>
      </c>
      <c r="L156" s="2">
        <v>0</v>
      </c>
      <c r="M156" s="2">
        <v>0</v>
      </c>
      <c r="N156" s="2">
        <v>0</v>
      </c>
      <c r="O156" s="3">
        <f t="shared" si="3"/>
        <v>69614.429999999993</v>
      </c>
    </row>
    <row r="157" spans="1:15" x14ac:dyDescent="0.2">
      <c r="A157" s="5">
        <v>499</v>
      </c>
      <c r="B157" s="5">
        <v>1</v>
      </c>
      <c r="C157" s="2" t="s">
        <v>154</v>
      </c>
      <c r="D157" s="2">
        <v>0</v>
      </c>
      <c r="E157" s="2">
        <v>0</v>
      </c>
      <c r="F157" s="2">
        <v>112134.59</v>
      </c>
      <c r="G157" s="2">
        <v>0</v>
      </c>
      <c r="H157" s="2">
        <v>20903.07</v>
      </c>
      <c r="I157" s="2">
        <v>0</v>
      </c>
      <c r="J157" s="2">
        <v>0</v>
      </c>
      <c r="K157" s="2">
        <v>-4046.2299999999996</v>
      </c>
      <c r="L157" s="2">
        <v>0</v>
      </c>
      <c r="M157" s="2">
        <v>0</v>
      </c>
      <c r="N157" s="2">
        <v>0</v>
      </c>
      <c r="O157" s="3">
        <f t="shared" si="3"/>
        <v>128991.43000000001</v>
      </c>
    </row>
    <row r="158" spans="1:15" x14ac:dyDescent="0.2">
      <c r="A158" s="5">
        <v>500</v>
      </c>
      <c r="B158" s="5">
        <v>1</v>
      </c>
      <c r="C158" s="2" t="s">
        <v>155</v>
      </c>
      <c r="D158" s="2">
        <v>0</v>
      </c>
      <c r="E158" s="2">
        <v>0</v>
      </c>
      <c r="F158" s="2">
        <v>97648.05</v>
      </c>
      <c r="G158" s="2">
        <v>5199.95</v>
      </c>
      <c r="H158" s="2">
        <v>15261.6</v>
      </c>
      <c r="I158" s="2">
        <v>0</v>
      </c>
      <c r="J158" s="2">
        <v>0</v>
      </c>
      <c r="K158" s="2">
        <v>-5000</v>
      </c>
      <c r="L158" s="2">
        <v>0</v>
      </c>
      <c r="M158" s="2">
        <v>0</v>
      </c>
      <c r="N158" s="2">
        <v>0</v>
      </c>
      <c r="O158" s="3">
        <f t="shared" si="3"/>
        <v>113109.6</v>
      </c>
    </row>
    <row r="159" spans="1:15" x14ac:dyDescent="0.2">
      <c r="A159" s="5">
        <v>505</v>
      </c>
      <c r="B159" s="5">
        <v>1</v>
      </c>
      <c r="C159" s="2" t="s">
        <v>156</v>
      </c>
      <c r="D159" s="2">
        <v>0</v>
      </c>
      <c r="E159" s="2">
        <v>0</v>
      </c>
      <c r="F159" s="2">
        <v>77554.06</v>
      </c>
      <c r="G159" s="2">
        <v>2413.96</v>
      </c>
      <c r="H159" s="2">
        <v>17446.849999999999</v>
      </c>
      <c r="I159" s="2">
        <v>0</v>
      </c>
      <c r="J159" s="2">
        <v>0</v>
      </c>
      <c r="K159" s="2">
        <v>342.61</v>
      </c>
      <c r="L159" s="2">
        <v>0</v>
      </c>
      <c r="M159" s="2">
        <v>0</v>
      </c>
      <c r="N159" s="2">
        <v>0</v>
      </c>
      <c r="O159" s="3">
        <f t="shared" si="3"/>
        <v>97757.48</v>
      </c>
    </row>
    <row r="160" spans="1:15" x14ac:dyDescent="0.2">
      <c r="A160" s="5">
        <v>507</v>
      </c>
      <c r="B160" s="5">
        <v>1</v>
      </c>
      <c r="C160" s="2" t="s">
        <v>157</v>
      </c>
      <c r="D160" s="2">
        <v>0</v>
      </c>
      <c r="E160" s="2">
        <v>0</v>
      </c>
      <c r="F160" s="2">
        <v>124645.82</v>
      </c>
      <c r="G160" s="2">
        <v>0</v>
      </c>
      <c r="H160" s="2">
        <v>10000</v>
      </c>
      <c r="I160" s="2">
        <v>0</v>
      </c>
      <c r="J160" s="2">
        <v>0</v>
      </c>
      <c r="K160" s="2">
        <v>22060.89</v>
      </c>
      <c r="L160" s="2">
        <v>0</v>
      </c>
      <c r="M160" s="2">
        <v>0</v>
      </c>
      <c r="N160" s="2">
        <v>0</v>
      </c>
      <c r="O160" s="3">
        <f t="shared" si="3"/>
        <v>156706.71000000002</v>
      </c>
    </row>
    <row r="161" spans="1:15" x14ac:dyDescent="0.2">
      <c r="A161" s="5">
        <v>508</v>
      </c>
      <c r="B161" s="5">
        <v>1</v>
      </c>
      <c r="C161" s="2" t="s">
        <v>158</v>
      </c>
      <c r="D161" s="2">
        <v>0</v>
      </c>
      <c r="E161" s="2">
        <v>0</v>
      </c>
      <c r="F161" s="2">
        <v>172318.92</v>
      </c>
      <c r="G161" s="2">
        <v>0</v>
      </c>
      <c r="H161" s="2">
        <v>8358.5400000000009</v>
      </c>
      <c r="I161" s="2">
        <v>0</v>
      </c>
      <c r="J161" s="2">
        <v>0</v>
      </c>
      <c r="K161" s="2">
        <v>17966.989999999998</v>
      </c>
      <c r="L161" s="2">
        <v>0</v>
      </c>
      <c r="M161" s="2">
        <v>0</v>
      </c>
      <c r="N161" s="2">
        <v>0</v>
      </c>
      <c r="O161" s="3">
        <f t="shared" si="3"/>
        <v>198644.45</v>
      </c>
    </row>
    <row r="162" spans="1:15" x14ac:dyDescent="0.2">
      <c r="A162" s="5">
        <v>511</v>
      </c>
      <c r="B162" s="5">
        <v>1</v>
      </c>
      <c r="C162" s="2" t="s">
        <v>159</v>
      </c>
      <c r="D162" s="2">
        <v>0</v>
      </c>
      <c r="E162" s="2">
        <v>0</v>
      </c>
      <c r="F162" s="2">
        <v>21485.18</v>
      </c>
      <c r="G162" s="2">
        <v>0</v>
      </c>
      <c r="H162" s="2">
        <v>10590.289999999999</v>
      </c>
      <c r="I162" s="2">
        <v>0</v>
      </c>
      <c r="J162" s="2">
        <v>0</v>
      </c>
      <c r="K162" s="2">
        <v>3.78</v>
      </c>
      <c r="L162" s="2">
        <v>0</v>
      </c>
      <c r="M162" s="2">
        <v>0</v>
      </c>
      <c r="N162" s="2">
        <v>0</v>
      </c>
      <c r="O162" s="3">
        <f t="shared" si="3"/>
        <v>32079.25</v>
      </c>
    </row>
    <row r="163" spans="1:15" x14ac:dyDescent="0.2">
      <c r="A163" s="5">
        <v>513</v>
      </c>
      <c r="B163" s="5">
        <v>1</v>
      </c>
      <c r="C163" s="2" t="s">
        <v>160</v>
      </c>
      <c r="D163" s="2">
        <v>0</v>
      </c>
      <c r="E163" s="2">
        <v>0</v>
      </c>
      <c r="F163" s="2">
        <v>33457.410000000003</v>
      </c>
      <c r="G163" s="2">
        <v>3066.79</v>
      </c>
      <c r="H163" s="2">
        <v>-10000</v>
      </c>
      <c r="I163" s="2">
        <v>0</v>
      </c>
      <c r="J163" s="2">
        <v>0</v>
      </c>
      <c r="K163" s="2">
        <v>1507.56</v>
      </c>
      <c r="L163" s="2">
        <v>0</v>
      </c>
      <c r="M163" s="2">
        <v>0</v>
      </c>
      <c r="N163" s="2">
        <v>0</v>
      </c>
      <c r="O163" s="3">
        <f t="shared" si="3"/>
        <v>28031.760000000006</v>
      </c>
    </row>
    <row r="164" spans="1:15" x14ac:dyDescent="0.2">
      <c r="A164" s="5">
        <v>514</v>
      </c>
      <c r="B164" s="5">
        <v>1</v>
      </c>
      <c r="C164" s="2" t="s">
        <v>161</v>
      </c>
      <c r="D164" s="2">
        <v>0</v>
      </c>
      <c r="E164" s="2">
        <v>0</v>
      </c>
      <c r="F164" s="2">
        <v>57410.63</v>
      </c>
      <c r="G164" s="2">
        <v>0</v>
      </c>
      <c r="H164" s="2">
        <v>10000</v>
      </c>
      <c r="I164" s="2">
        <v>0</v>
      </c>
      <c r="J164" s="2">
        <v>0</v>
      </c>
      <c r="K164" s="2">
        <v>4400</v>
      </c>
      <c r="L164" s="2">
        <v>0</v>
      </c>
      <c r="M164" s="2">
        <v>0</v>
      </c>
      <c r="N164" s="2">
        <v>0</v>
      </c>
      <c r="O164" s="3">
        <f t="shared" si="3"/>
        <v>71810.63</v>
      </c>
    </row>
    <row r="165" spans="1:15" x14ac:dyDescent="0.2">
      <c r="A165" s="5">
        <v>516</v>
      </c>
      <c r="B165" s="5">
        <v>1</v>
      </c>
      <c r="C165" s="2" t="s">
        <v>162</v>
      </c>
      <c r="D165" s="2">
        <v>0</v>
      </c>
      <c r="E165" s="2">
        <v>0</v>
      </c>
      <c r="F165" s="2">
        <v>43750.91</v>
      </c>
      <c r="G165" s="2">
        <v>4004.15</v>
      </c>
      <c r="H165" s="2">
        <v>0</v>
      </c>
      <c r="I165" s="2">
        <v>0</v>
      </c>
      <c r="J165" s="2">
        <v>0</v>
      </c>
      <c r="K165" s="2">
        <v>15786.74</v>
      </c>
      <c r="L165" s="2">
        <v>0</v>
      </c>
      <c r="M165" s="2">
        <v>0</v>
      </c>
      <c r="N165" s="2">
        <v>0</v>
      </c>
      <c r="O165" s="3">
        <f t="shared" si="3"/>
        <v>63541.8</v>
      </c>
    </row>
    <row r="166" spans="1:15" x14ac:dyDescent="0.2">
      <c r="A166" s="5">
        <v>518</v>
      </c>
      <c r="B166" s="5">
        <v>1</v>
      </c>
      <c r="C166" s="2" t="s">
        <v>163</v>
      </c>
      <c r="D166" s="2">
        <v>0</v>
      </c>
      <c r="E166" s="2">
        <v>0</v>
      </c>
      <c r="F166" s="2">
        <v>75872.61</v>
      </c>
      <c r="G166" s="2">
        <v>0</v>
      </c>
      <c r="H166" s="2">
        <v>46667.44</v>
      </c>
      <c r="I166" s="2">
        <v>0</v>
      </c>
      <c r="J166" s="2">
        <v>0</v>
      </c>
      <c r="K166" s="2">
        <v>33113.49</v>
      </c>
      <c r="L166" s="2">
        <v>0</v>
      </c>
      <c r="M166" s="2">
        <v>0</v>
      </c>
      <c r="N166" s="2">
        <v>0</v>
      </c>
      <c r="O166" s="3">
        <f t="shared" si="3"/>
        <v>155653.54</v>
      </c>
    </row>
    <row r="167" spans="1:15" x14ac:dyDescent="0.2">
      <c r="A167" s="5">
        <v>531</v>
      </c>
      <c r="B167" s="5">
        <v>1</v>
      </c>
      <c r="C167" s="2" t="s">
        <v>164</v>
      </c>
      <c r="D167" s="2">
        <v>0</v>
      </c>
      <c r="E167" s="2">
        <v>0</v>
      </c>
      <c r="F167" s="2">
        <v>45629.11</v>
      </c>
      <c r="G167" s="2">
        <v>0</v>
      </c>
      <c r="H167" s="2">
        <v>21471.93</v>
      </c>
      <c r="I167" s="2">
        <v>0</v>
      </c>
      <c r="J167" s="2">
        <v>0</v>
      </c>
      <c r="K167" s="2">
        <v>14811.29</v>
      </c>
      <c r="L167" s="2">
        <v>0</v>
      </c>
      <c r="M167" s="2">
        <v>0</v>
      </c>
      <c r="N167" s="2">
        <v>0</v>
      </c>
      <c r="O167" s="3">
        <f t="shared" si="3"/>
        <v>81912.330000000016</v>
      </c>
    </row>
    <row r="168" spans="1:15" x14ac:dyDescent="0.2">
      <c r="A168" s="5">
        <v>533</v>
      </c>
      <c r="B168" s="5">
        <v>1</v>
      </c>
      <c r="C168" s="2" t="s">
        <v>165</v>
      </c>
      <c r="D168" s="2">
        <v>0</v>
      </c>
      <c r="E168" s="2">
        <v>0</v>
      </c>
      <c r="F168" s="2">
        <v>0</v>
      </c>
      <c r="G168" s="2">
        <v>0</v>
      </c>
      <c r="H168" s="2">
        <v>17705.809999999998</v>
      </c>
      <c r="I168" s="2">
        <v>0</v>
      </c>
      <c r="J168" s="2">
        <v>0</v>
      </c>
      <c r="K168" s="2">
        <v>13175.29</v>
      </c>
      <c r="L168" s="2">
        <v>0</v>
      </c>
      <c r="M168" s="2">
        <v>0</v>
      </c>
      <c r="N168" s="2">
        <v>0</v>
      </c>
      <c r="O168" s="3">
        <f t="shared" si="3"/>
        <v>30881.1</v>
      </c>
    </row>
    <row r="169" spans="1:15" x14ac:dyDescent="0.2">
      <c r="A169" s="5">
        <v>534</v>
      </c>
      <c r="B169" s="5">
        <v>1</v>
      </c>
      <c r="C169" s="2" t="s">
        <v>166</v>
      </c>
      <c r="D169" s="2">
        <v>0</v>
      </c>
      <c r="E169" s="2">
        <v>0</v>
      </c>
      <c r="F169" s="2">
        <v>67031.990000000005</v>
      </c>
      <c r="G169" s="2">
        <v>13095.74</v>
      </c>
      <c r="H169" s="2">
        <v>28067.77</v>
      </c>
      <c r="I169" s="2">
        <v>0</v>
      </c>
      <c r="J169" s="2">
        <v>0</v>
      </c>
      <c r="K169" s="2">
        <v>19648.04</v>
      </c>
      <c r="L169" s="2">
        <v>0</v>
      </c>
      <c r="M169" s="2">
        <v>0</v>
      </c>
      <c r="N169" s="2">
        <v>0</v>
      </c>
      <c r="O169" s="3">
        <f t="shared" si="3"/>
        <v>127843.54000000001</v>
      </c>
    </row>
    <row r="170" spans="1:15" x14ac:dyDescent="0.2">
      <c r="A170" s="5">
        <v>535</v>
      </c>
      <c r="B170" s="5">
        <v>1</v>
      </c>
      <c r="C170" s="2" t="s">
        <v>167</v>
      </c>
      <c r="D170" s="2">
        <v>0</v>
      </c>
      <c r="E170" s="2">
        <v>0</v>
      </c>
      <c r="F170" s="2">
        <v>1455888.91</v>
      </c>
      <c r="G170" s="2">
        <v>317690.53999999998</v>
      </c>
      <c r="H170" s="2">
        <v>258384.65000000002</v>
      </c>
      <c r="I170" s="2">
        <v>11097</v>
      </c>
      <c r="J170" s="2">
        <v>0</v>
      </c>
      <c r="K170" s="2">
        <v>172096.53</v>
      </c>
      <c r="L170" s="2">
        <v>0</v>
      </c>
      <c r="M170" s="2">
        <v>0</v>
      </c>
      <c r="N170" s="2">
        <v>0</v>
      </c>
      <c r="O170" s="3">
        <f t="shared" si="3"/>
        <v>2215157.63</v>
      </c>
    </row>
    <row r="171" spans="1:15" x14ac:dyDescent="0.2">
      <c r="A171" s="5">
        <v>542</v>
      </c>
      <c r="B171" s="5">
        <v>1</v>
      </c>
      <c r="C171" s="2" t="s">
        <v>168</v>
      </c>
      <c r="D171" s="2">
        <v>0</v>
      </c>
      <c r="E171" s="2">
        <v>0</v>
      </c>
      <c r="F171" s="2">
        <v>0</v>
      </c>
      <c r="G171" s="2">
        <v>0</v>
      </c>
      <c r="H171" s="2">
        <v>15455.13</v>
      </c>
      <c r="I171" s="2">
        <v>0</v>
      </c>
      <c r="J171" s="2">
        <v>0</v>
      </c>
      <c r="K171" s="2">
        <v>8014.32</v>
      </c>
      <c r="L171" s="2">
        <v>0</v>
      </c>
      <c r="M171" s="2">
        <v>0</v>
      </c>
      <c r="N171" s="2">
        <v>0</v>
      </c>
      <c r="O171" s="3">
        <f t="shared" si="3"/>
        <v>23469.449999999997</v>
      </c>
    </row>
    <row r="172" spans="1:15" x14ac:dyDescent="0.2">
      <c r="A172" s="5">
        <v>544</v>
      </c>
      <c r="B172" s="5">
        <v>1</v>
      </c>
      <c r="C172" s="2" t="s">
        <v>169</v>
      </c>
      <c r="D172" s="2">
        <v>0</v>
      </c>
      <c r="E172" s="2">
        <v>0</v>
      </c>
      <c r="F172" s="2">
        <v>194521.26</v>
      </c>
      <c r="G172" s="2">
        <v>0</v>
      </c>
      <c r="H172" s="2">
        <v>53407.199999999997</v>
      </c>
      <c r="I172" s="2">
        <v>0</v>
      </c>
      <c r="J172" s="2">
        <v>0</v>
      </c>
      <c r="K172" s="2">
        <v>56991.46</v>
      </c>
      <c r="L172" s="2">
        <v>0</v>
      </c>
      <c r="M172" s="2">
        <v>0</v>
      </c>
      <c r="N172" s="2">
        <v>0</v>
      </c>
      <c r="O172" s="3">
        <f t="shared" si="3"/>
        <v>304919.92000000004</v>
      </c>
    </row>
    <row r="173" spans="1:15" x14ac:dyDescent="0.2">
      <c r="A173" s="5">
        <v>545</v>
      </c>
      <c r="B173" s="5">
        <v>1</v>
      </c>
      <c r="C173" s="2" t="s">
        <v>170</v>
      </c>
      <c r="D173" s="2">
        <v>0</v>
      </c>
      <c r="E173" s="2">
        <v>0</v>
      </c>
      <c r="F173" s="2">
        <v>37137.35</v>
      </c>
      <c r="G173" s="2">
        <v>0</v>
      </c>
      <c r="H173" s="2">
        <v>10000</v>
      </c>
      <c r="I173" s="2">
        <v>0</v>
      </c>
      <c r="J173" s="2">
        <v>0</v>
      </c>
      <c r="K173" s="2">
        <v>2188.63</v>
      </c>
      <c r="L173" s="2">
        <v>0</v>
      </c>
      <c r="M173" s="2">
        <v>0</v>
      </c>
      <c r="N173" s="2">
        <v>0</v>
      </c>
      <c r="O173" s="3">
        <f t="shared" si="3"/>
        <v>49325.979999999996</v>
      </c>
    </row>
    <row r="174" spans="1:15" x14ac:dyDescent="0.2">
      <c r="A174" s="5">
        <v>547</v>
      </c>
      <c r="B174" s="5">
        <v>1</v>
      </c>
      <c r="C174" s="2" t="s">
        <v>171</v>
      </c>
      <c r="D174" s="2">
        <v>0</v>
      </c>
      <c r="E174" s="2">
        <v>0</v>
      </c>
      <c r="F174" s="2">
        <v>24144.3</v>
      </c>
      <c r="G174" s="2">
        <v>0</v>
      </c>
      <c r="H174" s="2">
        <v>18089.939999999999</v>
      </c>
      <c r="I174" s="2">
        <v>0</v>
      </c>
      <c r="J174" s="2">
        <v>0</v>
      </c>
      <c r="K174" s="2">
        <v>17604</v>
      </c>
      <c r="L174" s="2">
        <v>0</v>
      </c>
      <c r="M174" s="2">
        <v>0</v>
      </c>
      <c r="N174" s="2">
        <v>0</v>
      </c>
      <c r="O174" s="3">
        <f t="shared" si="3"/>
        <v>59838.239999999998</v>
      </c>
    </row>
    <row r="175" spans="1:15" x14ac:dyDescent="0.2">
      <c r="A175" s="5">
        <v>548</v>
      </c>
      <c r="B175" s="5">
        <v>1</v>
      </c>
      <c r="C175" s="2" t="s">
        <v>172</v>
      </c>
      <c r="D175" s="2">
        <v>0</v>
      </c>
      <c r="E175" s="2">
        <v>0</v>
      </c>
      <c r="F175" s="2">
        <v>0</v>
      </c>
      <c r="G175" s="2">
        <v>0</v>
      </c>
      <c r="H175" s="2">
        <v>22937.57</v>
      </c>
      <c r="I175" s="2">
        <v>0</v>
      </c>
      <c r="J175" s="2">
        <v>0</v>
      </c>
      <c r="K175" s="2">
        <v>-7362.62</v>
      </c>
      <c r="L175" s="2">
        <v>0</v>
      </c>
      <c r="M175" s="2">
        <v>0</v>
      </c>
      <c r="N175" s="2">
        <v>0</v>
      </c>
      <c r="O175" s="3">
        <f t="shared" si="3"/>
        <v>15574.95</v>
      </c>
    </row>
    <row r="176" spans="1:15" x14ac:dyDescent="0.2">
      <c r="A176" s="5">
        <v>549</v>
      </c>
      <c r="B176" s="5">
        <v>1</v>
      </c>
      <c r="C176" s="2" t="s">
        <v>173</v>
      </c>
      <c r="D176" s="2">
        <v>0</v>
      </c>
      <c r="E176" s="2">
        <v>0</v>
      </c>
      <c r="F176" s="2">
        <v>134947.70000000001</v>
      </c>
      <c r="G176" s="2">
        <v>0</v>
      </c>
      <c r="H176" s="2">
        <v>34988.800000000003</v>
      </c>
      <c r="I176" s="2">
        <v>0</v>
      </c>
      <c r="J176" s="2">
        <v>0</v>
      </c>
      <c r="K176" s="2">
        <v>37767.54</v>
      </c>
      <c r="L176" s="2">
        <v>0</v>
      </c>
      <c r="M176" s="2">
        <v>0</v>
      </c>
      <c r="N176" s="2">
        <v>0</v>
      </c>
      <c r="O176" s="3">
        <f t="shared" si="3"/>
        <v>207704.04</v>
      </c>
    </row>
    <row r="177" spans="1:15" x14ac:dyDescent="0.2">
      <c r="A177" s="5">
        <v>550</v>
      </c>
      <c r="B177" s="5">
        <v>1</v>
      </c>
      <c r="C177" s="2" t="s">
        <v>174</v>
      </c>
      <c r="D177" s="2">
        <v>0</v>
      </c>
      <c r="E177" s="2">
        <v>0</v>
      </c>
      <c r="F177" s="2">
        <v>11066.56</v>
      </c>
      <c r="G177" s="2">
        <v>0</v>
      </c>
      <c r="H177" s="2">
        <v>10305.6</v>
      </c>
      <c r="I177" s="2">
        <v>0</v>
      </c>
      <c r="J177" s="2">
        <v>0</v>
      </c>
      <c r="K177" s="2">
        <v>1468</v>
      </c>
      <c r="L177" s="2">
        <v>0</v>
      </c>
      <c r="M177" s="2">
        <v>0</v>
      </c>
      <c r="N177" s="2">
        <v>0</v>
      </c>
      <c r="O177" s="3">
        <f t="shared" si="3"/>
        <v>22840.16</v>
      </c>
    </row>
    <row r="178" spans="1:15" x14ac:dyDescent="0.2">
      <c r="A178" s="5">
        <v>553</v>
      </c>
      <c r="B178" s="5">
        <v>1</v>
      </c>
      <c r="C178" s="2" t="s">
        <v>175</v>
      </c>
      <c r="D178" s="2">
        <v>0</v>
      </c>
      <c r="E178" s="2">
        <v>0</v>
      </c>
      <c r="F178" s="2">
        <v>19531.990000000002</v>
      </c>
      <c r="G178" s="2">
        <v>0</v>
      </c>
      <c r="H178" s="2">
        <v>23150.959999999999</v>
      </c>
      <c r="I178" s="2">
        <v>0</v>
      </c>
      <c r="J178" s="2">
        <v>0</v>
      </c>
      <c r="K178" s="2">
        <v>5281.8899999999994</v>
      </c>
      <c r="L178" s="2">
        <v>0</v>
      </c>
      <c r="M178" s="2">
        <v>0</v>
      </c>
      <c r="N178" s="2">
        <v>0</v>
      </c>
      <c r="O178" s="3">
        <f t="shared" si="3"/>
        <v>47964.84</v>
      </c>
    </row>
    <row r="179" spans="1:15" x14ac:dyDescent="0.2">
      <c r="A179" s="5">
        <v>561</v>
      </c>
      <c r="B179" s="5">
        <v>1</v>
      </c>
      <c r="C179" s="2" t="s">
        <v>176</v>
      </c>
      <c r="D179" s="2">
        <v>0</v>
      </c>
      <c r="E179" s="2">
        <v>0</v>
      </c>
      <c r="F179" s="2">
        <v>11548.19</v>
      </c>
      <c r="G179" s="2">
        <v>0</v>
      </c>
      <c r="H179" s="2">
        <v>0</v>
      </c>
      <c r="I179" s="2">
        <v>0</v>
      </c>
      <c r="J179" s="2">
        <v>-150.82</v>
      </c>
      <c r="K179" s="2">
        <v>7087.46</v>
      </c>
      <c r="L179" s="2">
        <v>0</v>
      </c>
      <c r="M179" s="2">
        <v>0</v>
      </c>
      <c r="N179" s="2">
        <v>0</v>
      </c>
      <c r="O179" s="3">
        <f t="shared" si="3"/>
        <v>18484.830000000002</v>
      </c>
    </row>
    <row r="180" spans="1:15" x14ac:dyDescent="0.2">
      <c r="A180" s="5">
        <v>564</v>
      </c>
      <c r="B180" s="5">
        <v>1</v>
      </c>
      <c r="C180" s="2" t="s">
        <v>177</v>
      </c>
      <c r="D180" s="2">
        <v>0</v>
      </c>
      <c r="E180" s="2">
        <v>0</v>
      </c>
      <c r="F180" s="2">
        <v>76655.520000000004</v>
      </c>
      <c r="G180" s="2">
        <v>0</v>
      </c>
      <c r="H180" s="2">
        <v>43293.38</v>
      </c>
      <c r="I180" s="2">
        <v>0</v>
      </c>
      <c r="J180" s="2">
        <v>0</v>
      </c>
      <c r="K180" s="2">
        <v>4691.9799999999996</v>
      </c>
      <c r="L180" s="2">
        <v>0</v>
      </c>
      <c r="M180" s="2">
        <v>0</v>
      </c>
      <c r="N180" s="2">
        <v>0</v>
      </c>
      <c r="O180" s="3">
        <f t="shared" si="3"/>
        <v>124640.87999999999</v>
      </c>
    </row>
    <row r="181" spans="1:15" x14ac:dyDescent="0.2">
      <c r="A181" s="5">
        <v>577</v>
      </c>
      <c r="B181" s="5">
        <v>1</v>
      </c>
      <c r="C181" s="2" t="s">
        <v>178</v>
      </c>
      <c r="D181" s="2">
        <v>0</v>
      </c>
      <c r="E181" s="2">
        <v>0</v>
      </c>
      <c r="F181" s="2">
        <v>20976.46</v>
      </c>
      <c r="G181" s="2">
        <v>0</v>
      </c>
      <c r="H181" s="2">
        <v>9176.1299999999992</v>
      </c>
      <c r="I181" s="2">
        <v>0</v>
      </c>
      <c r="J181" s="2">
        <v>0</v>
      </c>
      <c r="K181" s="2">
        <v>-3107.6800000000003</v>
      </c>
      <c r="L181" s="2">
        <v>0</v>
      </c>
      <c r="M181" s="2">
        <v>0</v>
      </c>
      <c r="N181" s="2">
        <v>0</v>
      </c>
      <c r="O181" s="3">
        <f t="shared" si="3"/>
        <v>27044.909999999996</v>
      </c>
    </row>
    <row r="182" spans="1:15" x14ac:dyDescent="0.2">
      <c r="A182" s="5">
        <v>578</v>
      </c>
      <c r="B182" s="5">
        <v>1</v>
      </c>
      <c r="C182" s="2" t="s">
        <v>179</v>
      </c>
      <c r="D182" s="2">
        <v>0</v>
      </c>
      <c r="E182" s="2">
        <v>0</v>
      </c>
      <c r="F182" s="2">
        <v>95310.14</v>
      </c>
      <c r="G182" s="2">
        <v>0</v>
      </c>
      <c r="H182" s="2">
        <v>30200.880000000001</v>
      </c>
      <c r="I182" s="2">
        <v>0</v>
      </c>
      <c r="J182" s="2">
        <v>0</v>
      </c>
      <c r="K182" s="2">
        <v>8608.33</v>
      </c>
      <c r="L182" s="2">
        <v>0</v>
      </c>
      <c r="M182" s="2">
        <v>0</v>
      </c>
      <c r="N182" s="2">
        <v>0</v>
      </c>
      <c r="O182" s="3">
        <f t="shared" si="3"/>
        <v>134119.35</v>
      </c>
    </row>
    <row r="183" spans="1:15" x14ac:dyDescent="0.2">
      <c r="A183" s="5">
        <v>581</v>
      </c>
      <c r="B183" s="5">
        <v>1</v>
      </c>
      <c r="C183" s="2" t="s">
        <v>180</v>
      </c>
      <c r="D183" s="2">
        <v>0</v>
      </c>
      <c r="E183" s="2">
        <v>0</v>
      </c>
      <c r="F183" s="2">
        <v>52073.1</v>
      </c>
      <c r="G183" s="2">
        <v>2335.4899999999998</v>
      </c>
      <c r="H183" s="2">
        <v>10000</v>
      </c>
      <c r="I183" s="2">
        <v>0</v>
      </c>
      <c r="J183" s="2">
        <v>0</v>
      </c>
      <c r="K183" s="2">
        <v>3112.92</v>
      </c>
      <c r="L183" s="2">
        <v>0</v>
      </c>
      <c r="M183" s="2">
        <v>0</v>
      </c>
      <c r="N183" s="2">
        <v>0</v>
      </c>
      <c r="O183" s="3">
        <f t="shared" si="3"/>
        <v>67521.509999999995</v>
      </c>
    </row>
    <row r="184" spans="1:15" x14ac:dyDescent="0.2">
      <c r="A184" s="5">
        <v>592</v>
      </c>
      <c r="B184" s="5">
        <v>1</v>
      </c>
      <c r="C184" s="2" t="s">
        <v>181</v>
      </c>
      <c r="D184" s="2">
        <v>0</v>
      </c>
      <c r="E184" s="2">
        <v>0</v>
      </c>
      <c r="F184" s="2">
        <v>59852.66</v>
      </c>
      <c r="G184" s="2">
        <v>0</v>
      </c>
      <c r="H184" s="2">
        <v>10000</v>
      </c>
      <c r="I184" s="2">
        <v>0</v>
      </c>
      <c r="J184" s="2">
        <v>0</v>
      </c>
      <c r="K184" s="2">
        <v>8257.8100000000013</v>
      </c>
      <c r="L184" s="2">
        <v>0</v>
      </c>
      <c r="M184" s="2">
        <v>0</v>
      </c>
      <c r="N184" s="2">
        <v>0</v>
      </c>
      <c r="O184" s="3">
        <f t="shared" si="3"/>
        <v>78110.47</v>
      </c>
    </row>
    <row r="185" spans="1:15" x14ac:dyDescent="0.2">
      <c r="A185" s="5">
        <v>593</v>
      </c>
      <c r="B185" s="5">
        <v>1</v>
      </c>
      <c r="C185" s="2" t="s">
        <v>182</v>
      </c>
      <c r="D185" s="2">
        <v>0</v>
      </c>
      <c r="E185" s="2">
        <v>0</v>
      </c>
      <c r="F185" s="2">
        <v>0</v>
      </c>
      <c r="G185" s="2">
        <v>0</v>
      </c>
      <c r="H185" s="2">
        <v>36483.379999999997</v>
      </c>
      <c r="I185" s="2">
        <v>0</v>
      </c>
      <c r="J185" s="2">
        <v>0</v>
      </c>
      <c r="K185" s="2">
        <v>16880.07</v>
      </c>
      <c r="L185" s="2">
        <v>0</v>
      </c>
      <c r="M185" s="2">
        <v>0</v>
      </c>
      <c r="N185" s="2">
        <v>0</v>
      </c>
      <c r="O185" s="3">
        <f t="shared" si="3"/>
        <v>53363.45</v>
      </c>
    </row>
    <row r="186" spans="1:15" x14ac:dyDescent="0.2">
      <c r="A186" s="5">
        <v>595</v>
      </c>
      <c r="B186" s="5">
        <v>1</v>
      </c>
      <c r="C186" s="2" t="s">
        <v>183</v>
      </c>
      <c r="D186" s="2">
        <v>0</v>
      </c>
      <c r="E186" s="2">
        <v>0</v>
      </c>
      <c r="F186" s="2">
        <v>0</v>
      </c>
      <c r="G186" s="2">
        <v>0</v>
      </c>
      <c r="H186" s="2">
        <v>46701.04</v>
      </c>
      <c r="I186" s="2">
        <v>0</v>
      </c>
      <c r="J186" s="2">
        <v>0</v>
      </c>
      <c r="K186" s="2">
        <v>9100.66</v>
      </c>
      <c r="L186" s="2">
        <v>0</v>
      </c>
      <c r="M186" s="2">
        <v>0</v>
      </c>
      <c r="N186" s="2">
        <v>0</v>
      </c>
      <c r="O186" s="3">
        <f t="shared" si="3"/>
        <v>55801.7</v>
      </c>
    </row>
    <row r="187" spans="1:15" x14ac:dyDescent="0.2">
      <c r="A187" s="5">
        <v>599</v>
      </c>
      <c r="B187" s="5">
        <v>1</v>
      </c>
      <c r="C187" s="2" t="s">
        <v>184</v>
      </c>
      <c r="D187" s="2">
        <v>0</v>
      </c>
      <c r="E187" s="2">
        <v>0</v>
      </c>
      <c r="F187" s="2">
        <v>37537.56</v>
      </c>
      <c r="G187" s="2">
        <v>0</v>
      </c>
      <c r="H187" s="2">
        <v>17446.849999999999</v>
      </c>
      <c r="I187" s="2">
        <v>0</v>
      </c>
      <c r="J187" s="2">
        <v>0</v>
      </c>
      <c r="K187" s="2">
        <v>16480.41</v>
      </c>
      <c r="L187" s="2">
        <v>0</v>
      </c>
      <c r="M187" s="2">
        <v>0</v>
      </c>
      <c r="N187" s="2">
        <v>0</v>
      </c>
      <c r="O187" s="3">
        <f t="shared" si="3"/>
        <v>71464.819999999992</v>
      </c>
    </row>
    <row r="188" spans="1:15" x14ac:dyDescent="0.2">
      <c r="A188" s="5">
        <v>600</v>
      </c>
      <c r="B188" s="5">
        <v>1</v>
      </c>
      <c r="C188" s="2" t="s">
        <v>185</v>
      </c>
      <c r="D188" s="2">
        <v>0</v>
      </c>
      <c r="E188" s="2">
        <v>0</v>
      </c>
      <c r="F188" s="2">
        <v>75126.47</v>
      </c>
      <c r="G188" s="2">
        <v>0</v>
      </c>
      <c r="H188" s="2">
        <v>10000</v>
      </c>
      <c r="I188" s="2">
        <v>0</v>
      </c>
      <c r="J188" s="2">
        <v>0</v>
      </c>
      <c r="K188" s="2">
        <v>-733.71</v>
      </c>
      <c r="L188" s="2">
        <v>0</v>
      </c>
      <c r="M188" s="2">
        <v>0</v>
      </c>
      <c r="N188" s="2">
        <v>0</v>
      </c>
      <c r="O188" s="3">
        <f t="shared" si="3"/>
        <v>84392.76</v>
      </c>
    </row>
    <row r="189" spans="1:15" x14ac:dyDescent="0.2">
      <c r="A189" s="5">
        <v>601</v>
      </c>
      <c r="B189" s="5">
        <v>1</v>
      </c>
      <c r="C189" s="2" t="s">
        <v>186</v>
      </c>
      <c r="D189" s="2">
        <v>0</v>
      </c>
      <c r="E189" s="2">
        <v>0</v>
      </c>
      <c r="F189" s="2">
        <v>10280.629999999999</v>
      </c>
      <c r="G189" s="2">
        <v>5949.94</v>
      </c>
      <c r="H189" s="2">
        <v>17446.849999999999</v>
      </c>
      <c r="I189" s="2">
        <v>0</v>
      </c>
      <c r="J189" s="2">
        <v>0</v>
      </c>
      <c r="K189" s="2">
        <v>-5024.8500000000004</v>
      </c>
      <c r="L189" s="2">
        <v>0</v>
      </c>
      <c r="M189" s="2">
        <v>0</v>
      </c>
      <c r="N189" s="2">
        <v>0</v>
      </c>
      <c r="O189" s="3">
        <f t="shared" si="3"/>
        <v>28652.57</v>
      </c>
    </row>
    <row r="190" spans="1:15" x14ac:dyDescent="0.2">
      <c r="A190" s="5">
        <v>611</v>
      </c>
      <c r="B190" s="5">
        <v>1</v>
      </c>
      <c r="C190" s="2" t="s">
        <v>187</v>
      </c>
      <c r="D190" s="2">
        <v>0</v>
      </c>
      <c r="E190" s="2">
        <v>0</v>
      </c>
      <c r="F190" s="2">
        <v>23770.639999999999</v>
      </c>
      <c r="G190" s="2">
        <v>0</v>
      </c>
      <c r="H190" s="2">
        <v>0</v>
      </c>
      <c r="I190" s="2">
        <v>0</v>
      </c>
      <c r="J190" s="2">
        <v>0</v>
      </c>
      <c r="K190" s="2">
        <v>15000</v>
      </c>
      <c r="L190" s="2">
        <v>0</v>
      </c>
      <c r="M190" s="2">
        <v>0</v>
      </c>
      <c r="N190" s="2">
        <v>0</v>
      </c>
      <c r="O190" s="3">
        <f t="shared" si="3"/>
        <v>38770.639999999999</v>
      </c>
    </row>
    <row r="191" spans="1:15" x14ac:dyDescent="0.2">
      <c r="A191" s="5">
        <v>621</v>
      </c>
      <c r="B191" s="5">
        <v>1</v>
      </c>
      <c r="C191" s="2" t="s">
        <v>188</v>
      </c>
      <c r="D191" s="2">
        <v>0</v>
      </c>
      <c r="E191" s="2">
        <v>0</v>
      </c>
      <c r="F191" s="2">
        <v>2472890.44</v>
      </c>
      <c r="G191" s="2">
        <v>212864.42</v>
      </c>
      <c r="H191" s="2">
        <v>191457.6</v>
      </c>
      <c r="I191" s="2">
        <v>66071.399999999994</v>
      </c>
      <c r="J191" s="2">
        <v>0</v>
      </c>
      <c r="K191" s="2">
        <v>86775.77</v>
      </c>
      <c r="L191" s="2">
        <v>0</v>
      </c>
      <c r="M191" s="2">
        <v>0</v>
      </c>
      <c r="N191" s="2">
        <v>0</v>
      </c>
      <c r="O191" s="3">
        <f t="shared" si="3"/>
        <v>3030059.63</v>
      </c>
    </row>
    <row r="192" spans="1:15" x14ac:dyDescent="0.2">
      <c r="A192" s="5">
        <v>622</v>
      </c>
      <c r="B192" s="5">
        <v>1</v>
      </c>
      <c r="C192" s="2" t="s">
        <v>189</v>
      </c>
      <c r="D192" s="2">
        <v>0</v>
      </c>
      <c r="E192" s="2">
        <v>0</v>
      </c>
      <c r="F192" s="2">
        <v>2611114.7599999998</v>
      </c>
      <c r="G192" s="2">
        <v>46112.3</v>
      </c>
      <c r="H192" s="2">
        <v>281424</v>
      </c>
      <c r="I192" s="2">
        <v>1344.63</v>
      </c>
      <c r="J192" s="2">
        <v>0</v>
      </c>
      <c r="K192" s="2">
        <v>-10530.550000000003</v>
      </c>
      <c r="L192" s="2">
        <v>0</v>
      </c>
      <c r="M192" s="2">
        <v>0</v>
      </c>
      <c r="N192" s="2">
        <v>0</v>
      </c>
      <c r="O192" s="3">
        <f t="shared" si="3"/>
        <v>2929465.1399999997</v>
      </c>
    </row>
    <row r="193" spans="1:15" x14ac:dyDescent="0.2">
      <c r="A193" s="5">
        <v>623</v>
      </c>
      <c r="B193" s="5">
        <v>1</v>
      </c>
      <c r="C193" s="2" t="s">
        <v>190</v>
      </c>
      <c r="D193" s="2">
        <v>0</v>
      </c>
      <c r="E193" s="2">
        <v>0</v>
      </c>
      <c r="F193" s="2">
        <v>2907226.7</v>
      </c>
      <c r="G193" s="2">
        <v>0</v>
      </c>
      <c r="H193" s="2">
        <v>133649.60000000001</v>
      </c>
      <c r="I193" s="2">
        <v>0</v>
      </c>
      <c r="J193" s="2">
        <v>0</v>
      </c>
      <c r="K193" s="2">
        <v>79603.460000000006</v>
      </c>
      <c r="L193" s="2">
        <v>0</v>
      </c>
      <c r="M193" s="2">
        <v>0</v>
      </c>
      <c r="N193" s="2">
        <v>0</v>
      </c>
      <c r="O193" s="3">
        <f t="shared" si="3"/>
        <v>3120479.7600000002</v>
      </c>
    </row>
    <row r="194" spans="1:15" x14ac:dyDescent="0.2">
      <c r="A194" s="5">
        <v>624</v>
      </c>
      <c r="B194" s="5">
        <v>1</v>
      </c>
      <c r="C194" s="2" t="s">
        <v>191</v>
      </c>
      <c r="D194" s="2">
        <v>0</v>
      </c>
      <c r="E194" s="2">
        <v>0</v>
      </c>
      <c r="F194" s="2">
        <v>1582149</v>
      </c>
      <c r="G194" s="2">
        <v>0</v>
      </c>
      <c r="H194" s="2">
        <v>171017.1</v>
      </c>
      <c r="I194" s="2">
        <v>0</v>
      </c>
      <c r="J194" s="2">
        <v>0</v>
      </c>
      <c r="K194" s="2">
        <v>-74715.240000000005</v>
      </c>
      <c r="L194" s="2">
        <v>0</v>
      </c>
      <c r="M194" s="2">
        <v>0</v>
      </c>
      <c r="N194" s="2">
        <v>0</v>
      </c>
      <c r="O194" s="3">
        <f t="shared" ref="O194:O255" si="4">SUM(D194:N194)</f>
        <v>1678450.86</v>
      </c>
    </row>
    <row r="195" spans="1:15" x14ac:dyDescent="0.2">
      <c r="A195" s="5">
        <v>625</v>
      </c>
      <c r="B195" s="5">
        <v>1</v>
      </c>
      <c r="C195" s="2" t="s">
        <v>192</v>
      </c>
      <c r="D195" s="2">
        <v>0</v>
      </c>
      <c r="E195" s="2">
        <v>0</v>
      </c>
      <c r="F195" s="2">
        <v>2473342.0699999998</v>
      </c>
      <c r="G195" s="2">
        <v>0</v>
      </c>
      <c r="H195" s="2">
        <v>643728.22</v>
      </c>
      <c r="I195" s="2">
        <v>15742435.130000001</v>
      </c>
      <c r="J195" s="2">
        <v>0</v>
      </c>
      <c r="K195" s="2">
        <v>220951.57999999996</v>
      </c>
      <c r="L195" s="2">
        <v>0</v>
      </c>
      <c r="M195" s="2">
        <v>0</v>
      </c>
      <c r="N195" s="2">
        <v>0</v>
      </c>
      <c r="O195" s="3">
        <f t="shared" si="4"/>
        <v>19080457</v>
      </c>
    </row>
    <row r="196" spans="1:15" x14ac:dyDescent="0.2">
      <c r="A196" s="5">
        <v>627</v>
      </c>
      <c r="B196" s="5">
        <v>1</v>
      </c>
      <c r="C196" s="2" t="s">
        <v>193</v>
      </c>
      <c r="D196" s="2">
        <v>0</v>
      </c>
      <c r="E196" s="2">
        <v>0</v>
      </c>
      <c r="F196" s="2">
        <v>75830.539999999994</v>
      </c>
      <c r="G196" s="2">
        <v>0</v>
      </c>
      <c r="H196" s="2">
        <v>12224.69</v>
      </c>
      <c r="I196" s="2">
        <v>0</v>
      </c>
      <c r="J196" s="2">
        <v>-3220.01</v>
      </c>
      <c r="K196" s="2">
        <v>4160.1899999999996</v>
      </c>
      <c r="L196" s="2">
        <v>0</v>
      </c>
      <c r="M196" s="2">
        <v>0</v>
      </c>
      <c r="N196" s="2">
        <v>0</v>
      </c>
      <c r="O196" s="3">
        <f t="shared" si="4"/>
        <v>88995.41</v>
      </c>
    </row>
    <row r="197" spans="1:15" x14ac:dyDescent="0.2">
      <c r="A197" s="5">
        <v>628</v>
      </c>
      <c r="B197" s="5">
        <v>1</v>
      </c>
      <c r="C197" s="2" t="s">
        <v>194</v>
      </c>
      <c r="D197" s="2">
        <v>0</v>
      </c>
      <c r="E197" s="2">
        <v>0</v>
      </c>
      <c r="F197" s="2">
        <v>23405.23</v>
      </c>
      <c r="G197" s="2">
        <v>5099.47</v>
      </c>
      <c r="H197" s="2">
        <v>0</v>
      </c>
      <c r="I197" s="2">
        <v>0</v>
      </c>
      <c r="J197" s="2">
        <v>0</v>
      </c>
      <c r="K197" s="2">
        <v>-6052.46</v>
      </c>
      <c r="L197" s="2">
        <v>0</v>
      </c>
      <c r="M197" s="2">
        <v>0</v>
      </c>
      <c r="N197" s="2">
        <v>0</v>
      </c>
      <c r="O197" s="3">
        <f t="shared" si="4"/>
        <v>22452.240000000002</v>
      </c>
    </row>
    <row r="198" spans="1:15" x14ac:dyDescent="0.2">
      <c r="A198" s="5">
        <v>630</v>
      </c>
      <c r="B198" s="5">
        <v>1</v>
      </c>
      <c r="C198" s="2" t="s">
        <v>195</v>
      </c>
      <c r="D198" s="2">
        <v>0</v>
      </c>
      <c r="E198" s="2">
        <v>0</v>
      </c>
      <c r="F198" s="2">
        <v>15914.47</v>
      </c>
      <c r="G198" s="2">
        <v>0</v>
      </c>
      <c r="H198" s="2">
        <v>11057.51</v>
      </c>
      <c r="I198" s="2">
        <v>0</v>
      </c>
      <c r="J198" s="2">
        <v>0</v>
      </c>
      <c r="K198" s="2">
        <v>-987.7</v>
      </c>
      <c r="L198" s="2">
        <v>0</v>
      </c>
      <c r="M198" s="2">
        <v>0</v>
      </c>
      <c r="N198" s="2">
        <v>0</v>
      </c>
      <c r="O198" s="3">
        <f t="shared" si="4"/>
        <v>25984.28</v>
      </c>
    </row>
    <row r="199" spans="1:15" x14ac:dyDescent="0.2">
      <c r="A199" s="5">
        <v>635</v>
      </c>
      <c r="B199" s="5">
        <v>1</v>
      </c>
      <c r="C199" s="2" t="s">
        <v>196</v>
      </c>
      <c r="D199" s="2">
        <v>0</v>
      </c>
      <c r="E199" s="2">
        <v>0</v>
      </c>
      <c r="F199" s="2">
        <v>34554.870000000003</v>
      </c>
      <c r="G199" s="2">
        <v>0</v>
      </c>
      <c r="H199" s="2">
        <v>0</v>
      </c>
      <c r="I199" s="2">
        <v>0</v>
      </c>
      <c r="J199" s="2">
        <v>0</v>
      </c>
      <c r="K199" s="2">
        <v>0</v>
      </c>
      <c r="L199" s="2">
        <v>0</v>
      </c>
      <c r="M199" s="2">
        <v>0</v>
      </c>
      <c r="N199" s="2">
        <v>0</v>
      </c>
      <c r="O199" s="3">
        <f t="shared" si="4"/>
        <v>34554.870000000003</v>
      </c>
    </row>
    <row r="200" spans="1:15" x14ac:dyDescent="0.2">
      <c r="A200" s="5">
        <v>640</v>
      </c>
      <c r="B200" s="5">
        <v>1</v>
      </c>
      <c r="C200" s="2" t="s">
        <v>197</v>
      </c>
      <c r="D200" s="2">
        <v>0</v>
      </c>
      <c r="E200" s="2">
        <v>0</v>
      </c>
      <c r="F200" s="2">
        <v>21257.8</v>
      </c>
      <c r="G200" s="2">
        <v>3893.65</v>
      </c>
      <c r="H200" s="2">
        <v>10000</v>
      </c>
      <c r="I200" s="2">
        <v>0</v>
      </c>
      <c r="J200" s="2">
        <v>0</v>
      </c>
      <c r="K200" s="2">
        <v>9587.14</v>
      </c>
      <c r="L200" s="2">
        <v>0</v>
      </c>
      <c r="M200" s="2">
        <v>0</v>
      </c>
      <c r="N200" s="2">
        <v>0</v>
      </c>
      <c r="O200" s="3">
        <f t="shared" si="4"/>
        <v>44738.59</v>
      </c>
    </row>
    <row r="201" spans="1:15" x14ac:dyDescent="0.2">
      <c r="A201" s="5">
        <v>656</v>
      </c>
      <c r="B201" s="5">
        <v>1</v>
      </c>
      <c r="C201" s="2" t="s">
        <v>198</v>
      </c>
      <c r="D201" s="2">
        <v>0</v>
      </c>
      <c r="E201" s="2">
        <v>0</v>
      </c>
      <c r="F201" s="2">
        <v>329972.17</v>
      </c>
      <c r="G201" s="2">
        <v>0</v>
      </c>
      <c r="H201" s="2">
        <v>53531.75</v>
      </c>
      <c r="I201" s="2">
        <v>0</v>
      </c>
      <c r="J201" s="2">
        <v>0</v>
      </c>
      <c r="K201" s="2">
        <v>82912.850000000006</v>
      </c>
      <c r="L201" s="2">
        <v>0</v>
      </c>
      <c r="M201" s="2">
        <v>0</v>
      </c>
      <c r="N201" s="2">
        <v>0</v>
      </c>
      <c r="O201" s="3">
        <f t="shared" si="4"/>
        <v>466416.77</v>
      </c>
    </row>
    <row r="202" spans="1:15" x14ac:dyDescent="0.2">
      <c r="A202" s="5">
        <v>659</v>
      </c>
      <c r="B202" s="5">
        <v>1</v>
      </c>
      <c r="C202" s="2" t="s">
        <v>199</v>
      </c>
      <c r="D202" s="2">
        <v>0</v>
      </c>
      <c r="E202" s="2">
        <v>0</v>
      </c>
      <c r="F202" s="2">
        <v>374465.93</v>
      </c>
      <c r="G202" s="2">
        <v>0</v>
      </c>
      <c r="H202" s="2">
        <v>16083.28</v>
      </c>
      <c r="I202" s="2">
        <v>0</v>
      </c>
      <c r="J202" s="2">
        <v>0</v>
      </c>
      <c r="K202" s="2">
        <v>-14688.16</v>
      </c>
      <c r="L202" s="2">
        <v>0</v>
      </c>
      <c r="M202" s="2">
        <v>0</v>
      </c>
      <c r="N202" s="2">
        <v>0</v>
      </c>
      <c r="O202" s="3">
        <f t="shared" si="4"/>
        <v>375861.05000000005</v>
      </c>
    </row>
    <row r="203" spans="1:15" x14ac:dyDescent="0.2">
      <c r="A203" s="5">
        <v>671</v>
      </c>
      <c r="B203" s="5">
        <v>1</v>
      </c>
      <c r="C203" s="2" t="s">
        <v>200</v>
      </c>
      <c r="D203" s="2">
        <v>0</v>
      </c>
      <c r="E203" s="2">
        <v>0</v>
      </c>
      <c r="F203" s="2">
        <v>64894.85</v>
      </c>
      <c r="G203" s="2">
        <v>0</v>
      </c>
      <c r="H203" s="2">
        <v>10147.59</v>
      </c>
      <c r="I203" s="2">
        <v>0</v>
      </c>
      <c r="J203" s="2">
        <v>0</v>
      </c>
      <c r="K203" s="2">
        <v>0</v>
      </c>
      <c r="L203" s="2">
        <v>0</v>
      </c>
      <c r="M203" s="2">
        <v>0</v>
      </c>
      <c r="N203" s="2">
        <v>0</v>
      </c>
      <c r="O203" s="3">
        <f t="shared" si="4"/>
        <v>75042.44</v>
      </c>
    </row>
    <row r="204" spans="1:15" x14ac:dyDescent="0.2">
      <c r="A204" s="5">
        <v>676</v>
      </c>
      <c r="B204" s="5">
        <v>1</v>
      </c>
      <c r="C204" s="2" t="s">
        <v>201</v>
      </c>
      <c r="D204" s="2">
        <v>0</v>
      </c>
      <c r="E204" s="2">
        <v>0</v>
      </c>
      <c r="F204" s="2">
        <v>82150</v>
      </c>
      <c r="G204" s="2">
        <v>0</v>
      </c>
      <c r="H204" s="2">
        <v>10000</v>
      </c>
      <c r="I204" s="2">
        <v>0</v>
      </c>
      <c r="J204" s="2">
        <v>0</v>
      </c>
      <c r="K204" s="2">
        <v>-1378.4399999999998</v>
      </c>
      <c r="L204" s="2">
        <v>0</v>
      </c>
      <c r="M204" s="2">
        <v>0</v>
      </c>
      <c r="N204" s="2">
        <v>0</v>
      </c>
      <c r="O204" s="3">
        <f t="shared" si="4"/>
        <v>90771.56</v>
      </c>
    </row>
    <row r="205" spans="1:15" x14ac:dyDescent="0.2">
      <c r="A205" s="5">
        <v>682</v>
      </c>
      <c r="B205" s="5">
        <v>1</v>
      </c>
      <c r="C205" s="2" t="s">
        <v>202</v>
      </c>
      <c r="D205" s="2">
        <v>0</v>
      </c>
      <c r="E205" s="2">
        <v>0</v>
      </c>
      <c r="F205" s="2">
        <v>45551.1</v>
      </c>
      <c r="G205" s="2">
        <v>17470.36</v>
      </c>
      <c r="H205" s="2">
        <v>25988.84</v>
      </c>
      <c r="I205" s="2">
        <v>0</v>
      </c>
      <c r="J205" s="2">
        <v>0</v>
      </c>
      <c r="K205" s="2">
        <v>-562.25000000000023</v>
      </c>
      <c r="L205" s="2">
        <v>0</v>
      </c>
      <c r="M205" s="2">
        <v>0</v>
      </c>
      <c r="N205" s="2">
        <v>0</v>
      </c>
      <c r="O205" s="3">
        <f t="shared" si="4"/>
        <v>88448.05</v>
      </c>
    </row>
    <row r="206" spans="1:15" x14ac:dyDescent="0.2">
      <c r="A206" s="5">
        <v>690</v>
      </c>
      <c r="B206" s="5">
        <v>1</v>
      </c>
      <c r="C206" s="2" t="s">
        <v>203</v>
      </c>
      <c r="D206" s="2">
        <v>0</v>
      </c>
      <c r="E206" s="2">
        <v>0</v>
      </c>
      <c r="F206" s="2">
        <v>36984.730000000003</v>
      </c>
      <c r="G206" s="2">
        <v>0</v>
      </c>
      <c r="H206" s="2">
        <v>24303.200000000001</v>
      </c>
      <c r="I206" s="2">
        <v>0</v>
      </c>
      <c r="J206" s="2">
        <v>0</v>
      </c>
      <c r="K206" s="2">
        <v>-2445.91</v>
      </c>
      <c r="L206" s="2">
        <v>0</v>
      </c>
      <c r="M206" s="2">
        <v>0</v>
      </c>
      <c r="N206" s="2">
        <v>0</v>
      </c>
      <c r="O206" s="3">
        <f t="shared" si="4"/>
        <v>58842.020000000004</v>
      </c>
    </row>
    <row r="207" spans="1:15" x14ac:dyDescent="0.2">
      <c r="A207" s="5">
        <v>695</v>
      </c>
      <c r="B207" s="5">
        <v>1</v>
      </c>
      <c r="C207" s="2" t="s">
        <v>204</v>
      </c>
      <c r="D207" s="2">
        <v>0</v>
      </c>
      <c r="E207" s="2">
        <v>0</v>
      </c>
      <c r="F207" s="2">
        <v>27688.080000000002</v>
      </c>
      <c r="G207" s="2">
        <v>8880.85</v>
      </c>
      <c r="H207" s="2">
        <v>12779.199999999999</v>
      </c>
      <c r="I207" s="2">
        <v>152551.9</v>
      </c>
      <c r="J207" s="2">
        <v>0</v>
      </c>
      <c r="K207" s="2">
        <v>7341.66</v>
      </c>
      <c r="L207" s="2">
        <v>0</v>
      </c>
      <c r="M207" s="2">
        <v>0</v>
      </c>
      <c r="N207" s="2">
        <v>0</v>
      </c>
      <c r="O207" s="3">
        <f t="shared" si="4"/>
        <v>209241.69</v>
      </c>
    </row>
    <row r="208" spans="1:15" x14ac:dyDescent="0.2">
      <c r="A208" s="5">
        <v>696</v>
      </c>
      <c r="B208" s="5">
        <v>1</v>
      </c>
      <c r="C208" s="2" t="s">
        <v>205</v>
      </c>
      <c r="D208" s="2">
        <v>0</v>
      </c>
      <c r="E208" s="2">
        <v>0</v>
      </c>
      <c r="F208" s="2">
        <v>61464.47</v>
      </c>
      <c r="G208" s="2">
        <v>2504.4899999999998</v>
      </c>
      <c r="H208" s="2">
        <v>0</v>
      </c>
      <c r="I208" s="2">
        <v>111030.68</v>
      </c>
      <c r="J208" s="2">
        <v>0</v>
      </c>
      <c r="K208" s="2">
        <v>5518.5499999999993</v>
      </c>
      <c r="L208" s="2">
        <v>0</v>
      </c>
      <c r="M208" s="2">
        <v>0</v>
      </c>
      <c r="N208" s="2">
        <v>0</v>
      </c>
      <c r="O208" s="3">
        <f t="shared" si="4"/>
        <v>180518.18999999997</v>
      </c>
    </row>
    <row r="209" spans="1:15" x14ac:dyDescent="0.2">
      <c r="A209" s="5">
        <v>698</v>
      </c>
      <c r="B209" s="5">
        <v>1</v>
      </c>
      <c r="C209" s="2" t="s">
        <v>206</v>
      </c>
      <c r="D209" s="2">
        <v>0</v>
      </c>
      <c r="E209" s="2">
        <v>0</v>
      </c>
      <c r="F209" s="2">
        <v>14891.46</v>
      </c>
      <c r="G209" s="2">
        <v>5557.25</v>
      </c>
      <c r="H209" s="2">
        <v>10000</v>
      </c>
      <c r="I209" s="2">
        <v>0</v>
      </c>
      <c r="J209" s="2">
        <v>0</v>
      </c>
      <c r="K209" s="2">
        <v>34373.9</v>
      </c>
      <c r="L209" s="2">
        <v>0</v>
      </c>
      <c r="M209" s="2">
        <v>0</v>
      </c>
      <c r="N209" s="2">
        <v>0</v>
      </c>
      <c r="O209" s="3">
        <f t="shared" si="4"/>
        <v>64822.61</v>
      </c>
    </row>
    <row r="210" spans="1:15" x14ac:dyDescent="0.2">
      <c r="A210" s="5">
        <v>700</v>
      </c>
      <c r="B210" s="5">
        <v>1</v>
      </c>
      <c r="C210" s="2" t="s">
        <v>207</v>
      </c>
      <c r="D210" s="2">
        <v>0</v>
      </c>
      <c r="E210" s="2">
        <v>0</v>
      </c>
      <c r="F210" s="2">
        <v>83202.59</v>
      </c>
      <c r="G210" s="2">
        <v>0</v>
      </c>
      <c r="H210" s="2">
        <v>10000</v>
      </c>
      <c r="I210" s="2">
        <v>0</v>
      </c>
      <c r="J210" s="2">
        <v>0</v>
      </c>
      <c r="K210" s="2">
        <v>5000</v>
      </c>
      <c r="L210" s="2">
        <v>0</v>
      </c>
      <c r="M210" s="2">
        <v>0</v>
      </c>
      <c r="N210" s="2">
        <v>0</v>
      </c>
      <c r="O210" s="3">
        <f t="shared" si="4"/>
        <v>98202.59</v>
      </c>
    </row>
    <row r="211" spans="1:15" x14ac:dyDescent="0.2">
      <c r="A211" s="5">
        <v>701</v>
      </c>
      <c r="B211" s="5">
        <v>1</v>
      </c>
      <c r="C211" s="2" t="s">
        <v>208</v>
      </c>
      <c r="D211" s="2">
        <v>0</v>
      </c>
      <c r="E211" s="2">
        <v>0</v>
      </c>
      <c r="F211" s="2">
        <v>109071.21</v>
      </c>
      <c r="G211" s="2">
        <v>59276.87</v>
      </c>
      <c r="H211" s="2">
        <v>26694.2</v>
      </c>
      <c r="I211" s="2">
        <v>480610.7</v>
      </c>
      <c r="J211" s="2">
        <v>0</v>
      </c>
      <c r="K211" s="2">
        <v>-365.26000000000022</v>
      </c>
      <c r="L211" s="2">
        <v>0</v>
      </c>
      <c r="M211" s="2">
        <v>0</v>
      </c>
      <c r="N211" s="2">
        <v>0</v>
      </c>
      <c r="O211" s="3">
        <f t="shared" si="4"/>
        <v>675287.72</v>
      </c>
    </row>
    <row r="212" spans="1:15" x14ac:dyDescent="0.2">
      <c r="A212" s="5">
        <v>704</v>
      </c>
      <c r="B212" s="5">
        <v>1</v>
      </c>
      <c r="C212" s="2" t="s">
        <v>209</v>
      </c>
      <c r="D212" s="2">
        <v>0</v>
      </c>
      <c r="E212" s="2">
        <v>0</v>
      </c>
      <c r="F212" s="2">
        <v>96036.52</v>
      </c>
      <c r="G212" s="2">
        <v>0</v>
      </c>
      <c r="H212" s="2">
        <v>21283.72</v>
      </c>
      <c r="I212" s="2">
        <v>0</v>
      </c>
      <c r="J212" s="2">
        <v>0</v>
      </c>
      <c r="K212" s="2">
        <v>12652.43</v>
      </c>
      <c r="L212" s="2">
        <v>0</v>
      </c>
      <c r="M212" s="2">
        <v>0</v>
      </c>
      <c r="N212" s="2">
        <v>0</v>
      </c>
      <c r="O212" s="3">
        <f t="shared" si="4"/>
        <v>129972.67000000001</v>
      </c>
    </row>
    <row r="213" spans="1:15" x14ac:dyDescent="0.2">
      <c r="A213" s="5">
        <v>706</v>
      </c>
      <c r="B213" s="5">
        <v>1</v>
      </c>
      <c r="C213" s="2" t="s">
        <v>210</v>
      </c>
      <c r="D213" s="2">
        <v>0</v>
      </c>
      <c r="E213" s="2">
        <v>0</v>
      </c>
      <c r="F213" s="2">
        <v>66181.42</v>
      </c>
      <c r="G213" s="2">
        <v>46429.98</v>
      </c>
      <c r="H213" s="2">
        <v>34941.81</v>
      </c>
      <c r="I213" s="2">
        <v>496658.95</v>
      </c>
      <c r="J213" s="2">
        <v>0</v>
      </c>
      <c r="K213" s="2">
        <v>21407.379999999997</v>
      </c>
      <c r="L213" s="2">
        <v>0</v>
      </c>
      <c r="M213" s="2">
        <v>0</v>
      </c>
      <c r="N213" s="2">
        <v>0</v>
      </c>
      <c r="O213" s="3">
        <f t="shared" si="4"/>
        <v>665619.54</v>
      </c>
    </row>
    <row r="214" spans="1:15" x14ac:dyDescent="0.2">
      <c r="A214" s="5">
        <v>707</v>
      </c>
      <c r="B214" s="5">
        <v>1</v>
      </c>
      <c r="C214" s="2" t="s">
        <v>211</v>
      </c>
      <c r="D214" s="2">
        <v>0</v>
      </c>
      <c r="E214" s="2">
        <v>0</v>
      </c>
      <c r="F214" s="2">
        <v>38.729999999999997</v>
      </c>
      <c r="G214" s="2">
        <v>0</v>
      </c>
      <c r="H214" s="2">
        <v>0</v>
      </c>
      <c r="I214" s="2">
        <v>0</v>
      </c>
      <c r="J214" s="2">
        <v>0</v>
      </c>
      <c r="K214" s="2">
        <v>3050.17</v>
      </c>
      <c r="L214" s="2">
        <v>0</v>
      </c>
      <c r="M214" s="2">
        <v>0</v>
      </c>
      <c r="N214" s="2">
        <v>0</v>
      </c>
      <c r="O214" s="3">
        <f t="shared" si="4"/>
        <v>3088.9</v>
      </c>
    </row>
    <row r="215" spans="1:15" x14ac:dyDescent="0.2">
      <c r="A215" s="5">
        <v>709</v>
      </c>
      <c r="B215" s="5">
        <v>1</v>
      </c>
      <c r="C215" s="2" t="s">
        <v>212</v>
      </c>
      <c r="D215" s="2">
        <v>0</v>
      </c>
      <c r="E215" s="2">
        <v>0</v>
      </c>
      <c r="F215" s="2">
        <v>563244.99</v>
      </c>
      <c r="G215" s="2">
        <v>0</v>
      </c>
      <c r="H215" s="2">
        <v>262185.24</v>
      </c>
      <c r="I215" s="2">
        <v>661289.05000000005</v>
      </c>
      <c r="J215" s="2">
        <v>0</v>
      </c>
      <c r="K215" s="2">
        <v>130896.05</v>
      </c>
      <c r="L215" s="2">
        <v>0</v>
      </c>
      <c r="M215" s="2">
        <v>0</v>
      </c>
      <c r="N215" s="2">
        <v>0</v>
      </c>
      <c r="O215" s="3">
        <f t="shared" si="4"/>
        <v>1617615.33</v>
      </c>
    </row>
    <row r="216" spans="1:15" x14ac:dyDescent="0.2">
      <c r="A216" s="5">
        <v>712</v>
      </c>
      <c r="B216" s="5">
        <v>1</v>
      </c>
      <c r="C216" s="2" t="s">
        <v>213</v>
      </c>
      <c r="D216" s="2">
        <v>0</v>
      </c>
      <c r="E216" s="2">
        <v>0</v>
      </c>
      <c r="F216" s="2">
        <v>26674.799999999999</v>
      </c>
      <c r="G216" s="2">
        <v>21715.31</v>
      </c>
      <c r="H216" s="2">
        <v>17446.849999999999</v>
      </c>
      <c r="I216" s="2">
        <v>32852.5</v>
      </c>
      <c r="J216" s="2">
        <v>0</v>
      </c>
      <c r="K216" s="2">
        <v>21208.94</v>
      </c>
      <c r="L216" s="2">
        <v>0</v>
      </c>
      <c r="M216" s="2">
        <v>0</v>
      </c>
      <c r="N216" s="2">
        <v>0</v>
      </c>
      <c r="O216" s="3">
        <f t="shared" si="4"/>
        <v>119898.4</v>
      </c>
    </row>
    <row r="217" spans="1:15" x14ac:dyDescent="0.2">
      <c r="A217" s="5">
        <v>716</v>
      </c>
      <c r="B217" s="5">
        <v>1</v>
      </c>
      <c r="C217" s="2" t="s">
        <v>214</v>
      </c>
      <c r="D217" s="2">
        <v>0</v>
      </c>
      <c r="E217" s="2">
        <v>0</v>
      </c>
      <c r="F217" s="2">
        <v>63260.97</v>
      </c>
      <c r="G217" s="2">
        <v>0</v>
      </c>
      <c r="H217" s="2">
        <v>27150.399999999998</v>
      </c>
      <c r="I217" s="2">
        <v>0</v>
      </c>
      <c r="J217" s="2">
        <v>0</v>
      </c>
      <c r="K217" s="2">
        <v>2104.96</v>
      </c>
      <c r="L217" s="2">
        <v>0</v>
      </c>
      <c r="M217" s="2">
        <v>0</v>
      </c>
      <c r="N217" s="2">
        <v>0</v>
      </c>
      <c r="O217" s="3">
        <f t="shared" si="4"/>
        <v>92516.33</v>
      </c>
    </row>
    <row r="218" spans="1:15" x14ac:dyDescent="0.2">
      <c r="A218" s="5">
        <v>717</v>
      </c>
      <c r="B218" s="5">
        <v>1</v>
      </c>
      <c r="C218" s="2" t="s">
        <v>215</v>
      </c>
      <c r="D218" s="2">
        <v>0</v>
      </c>
      <c r="E218" s="2">
        <v>0</v>
      </c>
      <c r="F218" s="2">
        <v>55047.71</v>
      </c>
      <c r="G218" s="2">
        <v>14022.14</v>
      </c>
      <c r="H218" s="2">
        <v>24162.27</v>
      </c>
      <c r="I218" s="2">
        <v>0</v>
      </c>
      <c r="J218" s="2">
        <v>0</v>
      </c>
      <c r="K218" s="2">
        <v>5291.97</v>
      </c>
      <c r="L218" s="2">
        <v>0</v>
      </c>
      <c r="M218" s="2">
        <v>0</v>
      </c>
      <c r="N218" s="2">
        <v>0</v>
      </c>
      <c r="O218" s="3">
        <f t="shared" si="4"/>
        <v>98524.090000000011</v>
      </c>
    </row>
    <row r="219" spans="1:15" x14ac:dyDescent="0.2">
      <c r="A219" s="5">
        <v>719</v>
      </c>
      <c r="B219" s="5">
        <v>1</v>
      </c>
      <c r="C219" s="2" t="s">
        <v>345</v>
      </c>
      <c r="D219" s="2">
        <v>0</v>
      </c>
      <c r="E219" s="2">
        <v>0</v>
      </c>
      <c r="F219" s="2">
        <v>893301.55</v>
      </c>
      <c r="G219" s="2">
        <v>0</v>
      </c>
      <c r="H219" s="2">
        <v>99248.75</v>
      </c>
      <c r="I219" s="2">
        <v>0</v>
      </c>
      <c r="J219" s="2">
        <v>0</v>
      </c>
      <c r="K219" s="2">
        <v>34309.51</v>
      </c>
      <c r="L219" s="2">
        <v>0</v>
      </c>
      <c r="M219" s="2">
        <v>0</v>
      </c>
      <c r="N219" s="2">
        <v>0</v>
      </c>
      <c r="O219" s="3">
        <f t="shared" si="4"/>
        <v>1026859.81</v>
      </c>
    </row>
    <row r="220" spans="1:15" x14ac:dyDescent="0.2">
      <c r="A220" s="5">
        <v>720</v>
      </c>
      <c r="B220" s="5">
        <v>1</v>
      </c>
      <c r="C220" s="2" t="s">
        <v>217</v>
      </c>
      <c r="D220" s="2">
        <v>0</v>
      </c>
      <c r="E220" s="2">
        <v>0</v>
      </c>
      <c r="F220" s="2">
        <v>747920.6</v>
      </c>
      <c r="G220" s="2">
        <v>5134.3100000000004</v>
      </c>
      <c r="H220" s="2">
        <v>59881.66</v>
      </c>
      <c r="I220" s="2">
        <v>0</v>
      </c>
      <c r="J220" s="2">
        <v>0</v>
      </c>
      <c r="K220" s="2">
        <v>24708.46</v>
      </c>
      <c r="L220" s="2">
        <v>0</v>
      </c>
      <c r="M220" s="2">
        <v>0</v>
      </c>
      <c r="N220" s="2">
        <v>0</v>
      </c>
      <c r="O220" s="3">
        <f t="shared" si="4"/>
        <v>837645.03</v>
      </c>
    </row>
    <row r="221" spans="1:15" x14ac:dyDescent="0.2">
      <c r="A221" s="5">
        <v>721</v>
      </c>
      <c r="B221" s="5">
        <v>1</v>
      </c>
      <c r="C221" s="2" t="s">
        <v>218</v>
      </c>
      <c r="D221" s="2">
        <v>0</v>
      </c>
      <c r="E221" s="2">
        <v>0</v>
      </c>
      <c r="F221" s="2">
        <v>161681.19</v>
      </c>
      <c r="G221" s="2">
        <v>0</v>
      </c>
      <c r="H221" s="2">
        <v>52310.5</v>
      </c>
      <c r="I221" s="2">
        <v>0</v>
      </c>
      <c r="J221" s="2">
        <v>0</v>
      </c>
      <c r="K221" s="2">
        <v>-869.48999999999978</v>
      </c>
      <c r="L221" s="2">
        <v>0</v>
      </c>
      <c r="M221" s="2">
        <v>0</v>
      </c>
      <c r="N221" s="2">
        <v>0</v>
      </c>
      <c r="O221" s="3">
        <f t="shared" si="4"/>
        <v>213122.2</v>
      </c>
    </row>
    <row r="222" spans="1:15" x14ac:dyDescent="0.2">
      <c r="A222" s="5">
        <v>726</v>
      </c>
      <c r="B222" s="5">
        <v>1</v>
      </c>
      <c r="C222" s="2" t="s">
        <v>219</v>
      </c>
      <c r="D222" s="2">
        <v>0</v>
      </c>
      <c r="E222" s="2">
        <v>0</v>
      </c>
      <c r="F222" s="2">
        <v>783519.3</v>
      </c>
      <c r="G222" s="2">
        <v>0</v>
      </c>
      <c r="H222" s="2">
        <v>28850.52</v>
      </c>
      <c r="I222" s="2">
        <v>0</v>
      </c>
      <c r="J222" s="2">
        <v>-12000</v>
      </c>
      <c r="K222" s="2">
        <v>9470.31</v>
      </c>
      <c r="L222" s="2">
        <v>0</v>
      </c>
      <c r="M222" s="2">
        <v>0</v>
      </c>
      <c r="N222" s="2">
        <v>0</v>
      </c>
      <c r="O222" s="3">
        <f t="shared" si="4"/>
        <v>809840.13000000012</v>
      </c>
    </row>
    <row r="223" spans="1:15" x14ac:dyDescent="0.2">
      <c r="A223" s="5">
        <v>727</v>
      </c>
      <c r="B223" s="5">
        <v>1</v>
      </c>
      <c r="C223" s="2" t="s">
        <v>220</v>
      </c>
      <c r="D223" s="2">
        <v>0</v>
      </c>
      <c r="E223" s="2">
        <v>0</v>
      </c>
      <c r="F223" s="2">
        <v>115044.4</v>
      </c>
      <c r="G223" s="2">
        <v>0</v>
      </c>
      <c r="H223" s="2">
        <v>33946.909999999996</v>
      </c>
      <c r="I223" s="2">
        <v>0</v>
      </c>
      <c r="J223" s="2">
        <v>0</v>
      </c>
      <c r="K223" s="2">
        <v>57086.59</v>
      </c>
      <c r="L223" s="2">
        <v>0</v>
      </c>
      <c r="M223" s="2">
        <v>0</v>
      </c>
      <c r="N223" s="2">
        <v>0</v>
      </c>
      <c r="O223" s="3">
        <f t="shared" si="4"/>
        <v>206077.9</v>
      </c>
    </row>
    <row r="224" spans="1:15" x14ac:dyDescent="0.2">
      <c r="A224" s="5">
        <v>728</v>
      </c>
      <c r="B224" s="5">
        <v>1</v>
      </c>
      <c r="C224" s="2" t="s">
        <v>221</v>
      </c>
      <c r="D224" s="2">
        <v>0</v>
      </c>
      <c r="E224" s="2">
        <v>0</v>
      </c>
      <c r="F224" s="2">
        <v>1478546.91</v>
      </c>
      <c r="G224" s="2">
        <v>118407.02</v>
      </c>
      <c r="H224" s="2">
        <v>149787</v>
      </c>
      <c r="I224" s="2">
        <v>0</v>
      </c>
      <c r="J224" s="2">
        <v>0</v>
      </c>
      <c r="K224" s="2">
        <v>107543.88</v>
      </c>
      <c r="L224" s="2">
        <v>0</v>
      </c>
      <c r="M224" s="2">
        <v>0</v>
      </c>
      <c r="N224" s="2">
        <v>0</v>
      </c>
      <c r="O224" s="3">
        <f t="shared" si="4"/>
        <v>1854284.81</v>
      </c>
    </row>
    <row r="225" spans="1:15" x14ac:dyDescent="0.2">
      <c r="A225" s="5">
        <v>738</v>
      </c>
      <c r="B225" s="5">
        <v>1</v>
      </c>
      <c r="C225" s="2" t="s">
        <v>222</v>
      </c>
      <c r="D225" s="2">
        <v>0</v>
      </c>
      <c r="E225" s="2">
        <v>0</v>
      </c>
      <c r="F225" s="2">
        <v>34772.33</v>
      </c>
      <c r="G225" s="2">
        <v>0</v>
      </c>
      <c r="H225" s="2">
        <v>22375.33</v>
      </c>
      <c r="I225" s="2">
        <v>0</v>
      </c>
      <c r="J225" s="2">
        <v>0</v>
      </c>
      <c r="K225" s="2">
        <v>5729.53</v>
      </c>
      <c r="L225" s="2">
        <v>0</v>
      </c>
      <c r="M225" s="2">
        <v>0</v>
      </c>
      <c r="N225" s="2">
        <v>0</v>
      </c>
      <c r="O225" s="3">
        <f t="shared" si="4"/>
        <v>62877.19</v>
      </c>
    </row>
    <row r="226" spans="1:15" x14ac:dyDescent="0.2">
      <c r="A226" s="5">
        <v>739</v>
      </c>
      <c r="B226" s="5">
        <v>1</v>
      </c>
      <c r="C226" s="2" t="s">
        <v>223</v>
      </c>
      <c r="D226" s="2">
        <v>0</v>
      </c>
      <c r="E226" s="2">
        <v>0</v>
      </c>
      <c r="F226" s="2">
        <v>43638.03</v>
      </c>
      <c r="G226" s="2">
        <v>0</v>
      </c>
      <c r="H226" s="2">
        <v>15855.2</v>
      </c>
      <c r="I226" s="2">
        <v>0</v>
      </c>
      <c r="J226" s="2">
        <v>0</v>
      </c>
      <c r="K226" s="2">
        <v>7471.2800000000007</v>
      </c>
      <c r="L226" s="2">
        <v>0</v>
      </c>
      <c r="M226" s="2">
        <v>0</v>
      </c>
      <c r="N226" s="2">
        <v>0</v>
      </c>
      <c r="O226" s="3">
        <f t="shared" si="4"/>
        <v>66964.509999999995</v>
      </c>
    </row>
    <row r="227" spans="1:15" x14ac:dyDescent="0.2">
      <c r="A227" s="5">
        <v>740</v>
      </c>
      <c r="B227" s="5">
        <v>1</v>
      </c>
      <c r="C227" s="2" t="s">
        <v>224</v>
      </c>
      <c r="D227" s="2">
        <v>0</v>
      </c>
      <c r="E227" s="2">
        <v>0</v>
      </c>
      <c r="F227" s="2">
        <v>52270.81</v>
      </c>
      <c r="G227" s="2">
        <v>0</v>
      </c>
      <c r="H227" s="2">
        <v>30156</v>
      </c>
      <c r="I227" s="2">
        <v>0</v>
      </c>
      <c r="J227" s="2">
        <v>0</v>
      </c>
      <c r="K227" s="2">
        <v>16210.25</v>
      </c>
      <c r="L227" s="2">
        <v>0</v>
      </c>
      <c r="M227" s="2">
        <v>0</v>
      </c>
      <c r="N227" s="2">
        <v>0</v>
      </c>
      <c r="O227" s="3">
        <f t="shared" si="4"/>
        <v>98637.06</v>
      </c>
    </row>
    <row r="228" spans="1:15" x14ac:dyDescent="0.2">
      <c r="A228" s="5">
        <v>741</v>
      </c>
      <c r="B228" s="5">
        <v>1</v>
      </c>
      <c r="C228" s="2" t="s">
        <v>225</v>
      </c>
      <c r="D228" s="2">
        <v>0</v>
      </c>
      <c r="E228" s="2">
        <v>0</v>
      </c>
      <c r="F228" s="2">
        <v>50390.3</v>
      </c>
      <c r="G228" s="2">
        <v>14724.96</v>
      </c>
      <c r="H228" s="2">
        <v>23914.080000000002</v>
      </c>
      <c r="I228" s="2">
        <v>0</v>
      </c>
      <c r="J228" s="2">
        <v>0</v>
      </c>
      <c r="K228" s="2">
        <v>436.61000000000058</v>
      </c>
      <c r="L228" s="2">
        <v>0</v>
      </c>
      <c r="M228" s="2">
        <v>0</v>
      </c>
      <c r="N228" s="2">
        <v>0</v>
      </c>
      <c r="O228" s="3">
        <f t="shared" si="4"/>
        <v>89465.95</v>
      </c>
    </row>
    <row r="229" spans="1:15" x14ac:dyDescent="0.2">
      <c r="A229" s="5">
        <v>742</v>
      </c>
      <c r="B229" s="5">
        <v>1</v>
      </c>
      <c r="C229" s="2" t="s">
        <v>226</v>
      </c>
      <c r="D229" s="2">
        <v>0</v>
      </c>
      <c r="E229" s="2">
        <v>0</v>
      </c>
      <c r="F229" s="2">
        <v>1164341.68</v>
      </c>
      <c r="G229" s="2">
        <v>0</v>
      </c>
      <c r="H229" s="2">
        <v>220825.97999999998</v>
      </c>
      <c r="I229" s="2">
        <v>5765.7</v>
      </c>
      <c r="J229" s="2">
        <v>0</v>
      </c>
      <c r="K229" s="2">
        <v>34847.270000000004</v>
      </c>
      <c r="L229" s="2">
        <v>0</v>
      </c>
      <c r="M229" s="2">
        <v>0</v>
      </c>
      <c r="N229" s="2">
        <v>0</v>
      </c>
      <c r="O229" s="3">
        <f t="shared" si="4"/>
        <v>1425780.63</v>
      </c>
    </row>
    <row r="230" spans="1:15" x14ac:dyDescent="0.2">
      <c r="A230" s="5">
        <v>743</v>
      </c>
      <c r="B230" s="5">
        <v>1</v>
      </c>
      <c r="C230" s="2" t="s">
        <v>227</v>
      </c>
      <c r="D230" s="2">
        <v>0</v>
      </c>
      <c r="E230" s="2">
        <v>0</v>
      </c>
      <c r="F230" s="2">
        <v>35407.78</v>
      </c>
      <c r="G230" s="2">
        <v>0</v>
      </c>
      <c r="H230" s="2">
        <v>28432.77</v>
      </c>
      <c r="I230" s="2">
        <v>0</v>
      </c>
      <c r="J230" s="2">
        <v>0</v>
      </c>
      <c r="K230" s="2">
        <v>19672.88</v>
      </c>
      <c r="L230" s="2">
        <v>0</v>
      </c>
      <c r="M230" s="2">
        <v>0</v>
      </c>
      <c r="N230" s="2">
        <v>0</v>
      </c>
      <c r="O230" s="3">
        <f t="shared" si="4"/>
        <v>83513.430000000008</v>
      </c>
    </row>
    <row r="231" spans="1:15" x14ac:dyDescent="0.2">
      <c r="A231" s="5">
        <v>745</v>
      </c>
      <c r="B231" s="5">
        <v>1</v>
      </c>
      <c r="C231" s="2" t="s">
        <v>228</v>
      </c>
      <c r="D231" s="2">
        <v>0</v>
      </c>
      <c r="E231" s="2">
        <v>0</v>
      </c>
      <c r="F231" s="2">
        <v>60324.53</v>
      </c>
      <c r="G231" s="2">
        <v>0</v>
      </c>
      <c r="H231" s="2">
        <v>35480.19</v>
      </c>
      <c r="I231" s="2">
        <v>0</v>
      </c>
      <c r="J231" s="2">
        <v>0</v>
      </c>
      <c r="K231" s="2">
        <v>2536.09</v>
      </c>
      <c r="L231" s="2">
        <v>0</v>
      </c>
      <c r="M231" s="2">
        <v>0</v>
      </c>
      <c r="N231" s="2">
        <v>0</v>
      </c>
      <c r="O231" s="3">
        <f t="shared" si="4"/>
        <v>98340.81</v>
      </c>
    </row>
    <row r="232" spans="1:15" x14ac:dyDescent="0.2">
      <c r="A232" s="5">
        <v>748</v>
      </c>
      <c r="B232" s="5">
        <v>1</v>
      </c>
      <c r="C232" s="2" t="s">
        <v>229</v>
      </c>
      <c r="D232" s="2">
        <v>0</v>
      </c>
      <c r="E232" s="2">
        <v>0</v>
      </c>
      <c r="F232" s="2">
        <v>92655.9</v>
      </c>
      <c r="G232" s="2">
        <v>0</v>
      </c>
      <c r="H232" s="2">
        <v>59018.57</v>
      </c>
      <c r="I232" s="2">
        <v>0</v>
      </c>
      <c r="J232" s="2">
        <v>0</v>
      </c>
      <c r="K232" s="2">
        <v>77956.55</v>
      </c>
      <c r="L232" s="2">
        <v>0</v>
      </c>
      <c r="M232" s="2">
        <v>0</v>
      </c>
      <c r="N232" s="2">
        <v>0</v>
      </c>
      <c r="O232" s="3">
        <f t="shared" si="4"/>
        <v>229631.02000000002</v>
      </c>
    </row>
    <row r="233" spans="1:15" x14ac:dyDescent="0.2">
      <c r="A233" s="5">
        <v>750</v>
      </c>
      <c r="B233" s="5">
        <v>1</v>
      </c>
      <c r="C233" s="2" t="s">
        <v>230</v>
      </c>
      <c r="D233" s="2">
        <v>0</v>
      </c>
      <c r="E233" s="2">
        <v>0</v>
      </c>
      <c r="F233" s="2">
        <v>110156.45</v>
      </c>
      <c r="G233" s="2">
        <v>0</v>
      </c>
      <c r="H233" s="2">
        <v>20464.849999999999</v>
      </c>
      <c r="I233" s="2">
        <v>0</v>
      </c>
      <c r="J233" s="2">
        <v>0</v>
      </c>
      <c r="K233" s="2">
        <v>-9400.2400000000016</v>
      </c>
      <c r="L233" s="2">
        <v>0</v>
      </c>
      <c r="M233" s="2">
        <v>0</v>
      </c>
      <c r="N233" s="2">
        <v>0</v>
      </c>
      <c r="O233" s="3">
        <f t="shared" si="4"/>
        <v>121221.05999999998</v>
      </c>
    </row>
    <row r="234" spans="1:15" x14ac:dyDescent="0.2">
      <c r="A234" s="5">
        <v>756</v>
      </c>
      <c r="B234" s="5">
        <v>1</v>
      </c>
      <c r="C234" s="2" t="s">
        <v>231</v>
      </c>
      <c r="D234" s="2">
        <v>0</v>
      </c>
      <c r="E234" s="2">
        <v>0</v>
      </c>
      <c r="F234" s="2">
        <v>49372.4</v>
      </c>
      <c r="G234" s="2">
        <v>0</v>
      </c>
      <c r="H234" s="2">
        <v>15323.4</v>
      </c>
      <c r="I234" s="2">
        <v>0</v>
      </c>
      <c r="J234" s="2">
        <v>0</v>
      </c>
      <c r="K234" s="2">
        <v>5993.85</v>
      </c>
      <c r="L234" s="2">
        <v>0</v>
      </c>
      <c r="M234" s="2">
        <v>0</v>
      </c>
      <c r="N234" s="2">
        <v>0</v>
      </c>
      <c r="O234" s="3">
        <f t="shared" si="4"/>
        <v>70689.650000000009</v>
      </c>
    </row>
    <row r="235" spans="1:15" x14ac:dyDescent="0.2">
      <c r="A235" s="5">
        <v>761</v>
      </c>
      <c r="B235" s="5">
        <v>1</v>
      </c>
      <c r="C235" s="2" t="s">
        <v>232</v>
      </c>
      <c r="D235" s="2">
        <v>0</v>
      </c>
      <c r="E235" s="2">
        <v>0</v>
      </c>
      <c r="F235" s="2">
        <v>339315.37</v>
      </c>
      <c r="G235" s="2">
        <v>0</v>
      </c>
      <c r="H235" s="2">
        <v>98712.909999999989</v>
      </c>
      <c r="I235" s="2">
        <v>0</v>
      </c>
      <c r="J235" s="2">
        <v>0</v>
      </c>
      <c r="K235" s="2">
        <v>30992.799999999999</v>
      </c>
      <c r="L235" s="2">
        <v>0</v>
      </c>
      <c r="M235" s="2">
        <v>0</v>
      </c>
      <c r="N235" s="2">
        <v>0</v>
      </c>
      <c r="O235" s="3">
        <f t="shared" si="4"/>
        <v>469021.07999999996</v>
      </c>
    </row>
    <row r="236" spans="1:15" x14ac:dyDescent="0.2">
      <c r="A236" s="5">
        <v>763</v>
      </c>
      <c r="B236" s="5">
        <v>1</v>
      </c>
      <c r="C236" s="2" t="s">
        <v>233</v>
      </c>
      <c r="D236" s="2">
        <v>0</v>
      </c>
      <c r="E236" s="2">
        <v>0</v>
      </c>
      <c r="F236" s="2">
        <v>82496.66</v>
      </c>
      <c r="G236" s="2">
        <v>2287.08</v>
      </c>
      <c r="H236" s="2">
        <v>10000</v>
      </c>
      <c r="I236" s="2">
        <v>0</v>
      </c>
      <c r="J236" s="2">
        <v>0</v>
      </c>
      <c r="K236" s="2">
        <v>7962.08</v>
      </c>
      <c r="L236" s="2">
        <v>0</v>
      </c>
      <c r="M236" s="2">
        <v>0</v>
      </c>
      <c r="N236" s="2">
        <v>0</v>
      </c>
      <c r="O236" s="3">
        <f t="shared" si="4"/>
        <v>102745.82</v>
      </c>
    </row>
    <row r="237" spans="1:15" x14ac:dyDescent="0.2">
      <c r="A237" s="5">
        <v>768</v>
      </c>
      <c r="B237" s="5">
        <v>1</v>
      </c>
      <c r="C237" s="2" t="s">
        <v>234</v>
      </c>
      <c r="D237" s="2">
        <v>0</v>
      </c>
      <c r="E237" s="2">
        <v>0</v>
      </c>
      <c r="F237" s="2">
        <v>16918.64</v>
      </c>
      <c r="G237" s="2">
        <v>0</v>
      </c>
      <c r="H237" s="2">
        <v>10000</v>
      </c>
      <c r="I237" s="2">
        <v>0</v>
      </c>
      <c r="J237" s="2">
        <v>0</v>
      </c>
      <c r="K237" s="2">
        <v>-500</v>
      </c>
      <c r="L237" s="2">
        <v>0</v>
      </c>
      <c r="M237" s="2">
        <v>0</v>
      </c>
      <c r="N237" s="2">
        <v>0</v>
      </c>
      <c r="O237" s="3">
        <f t="shared" si="4"/>
        <v>26418.639999999999</v>
      </c>
    </row>
    <row r="238" spans="1:15" x14ac:dyDescent="0.2">
      <c r="A238" s="5">
        <v>769</v>
      </c>
      <c r="B238" s="5">
        <v>1</v>
      </c>
      <c r="C238" s="2" t="s">
        <v>235</v>
      </c>
      <c r="D238" s="2">
        <v>0</v>
      </c>
      <c r="E238" s="2">
        <v>0</v>
      </c>
      <c r="F238" s="2">
        <v>161645.93</v>
      </c>
      <c r="G238" s="2">
        <v>0</v>
      </c>
      <c r="H238" s="2">
        <v>19126.400000000001</v>
      </c>
      <c r="I238" s="2">
        <v>0</v>
      </c>
      <c r="J238" s="2">
        <v>0</v>
      </c>
      <c r="K238" s="2">
        <v>22181.3</v>
      </c>
      <c r="L238" s="2">
        <v>0</v>
      </c>
      <c r="M238" s="2">
        <v>0</v>
      </c>
      <c r="N238" s="2">
        <v>0</v>
      </c>
      <c r="O238" s="3">
        <f t="shared" si="4"/>
        <v>202953.62999999998</v>
      </c>
    </row>
    <row r="239" spans="1:15" x14ac:dyDescent="0.2">
      <c r="A239" s="5">
        <v>771</v>
      </c>
      <c r="B239" s="5">
        <v>1</v>
      </c>
      <c r="C239" s="2" t="s">
        <v>236</v>
      </c>
      <c r="D239" s="2">
        <v>0</v>
      </c>
      <c r="E239" s="2">
        <v>0</v>
      </c>
      <c r="F239" s="2">
        <v>91489.25</v>
      </c>
      <c r="G239" s="2">
        <v>0</v>
      </c>
      <c r="H239" s="2">
        <v>10000</v>
      </c>
      <c r="I239" s="2">
        <v>0</v>
      </c>
      <c r="J239" s="2">
        <v>-683.71</v>
      </c>
      <c r="K239" s="2">
        <v>6911.26</v>
      </c>
      <c r="L239" s="2">
        <v>0</v>
      </c>
      <c r="M239" s="2">
        <v>0</v>
      </c>
      <c r="N239" s="2">
        <v>0</v>
      </c>
      <c r="O239" s="3">
        <f t="shared" si="4"/>
        <v>107716.79999999999</v>
      </c>
    </row>
    <row r="240" spans="1:15" x14ac:dyDescent="0.2">
      <c r="A240" s="5">
        <v>775</v>
      </c>
      <c r="B240" s="5">
        <v>1</v>
      </c>
      <c r="C240" s="2" t="s">
        <v>237</v>
      </c>
      <c r="D240" s="2">
        <v>0</v>
      </c>
      <c r="E240" s="2">
        <v>0</v>
      </c>
      <c r="F240" s="2">
        <v>70853.63</v>
      </c>
      <c r="G240" s="2">
        <v>2763.8</v>
      </c>
      <c r="H240" s="2">
        <v>11907.199999999999</v>
      </c>
      <c r="I240" s="2">
        <v>0</v>
      </c>
      <c r="J240" s="2">
        <v>0</v>
      </c>
      <c r="K240" s="2">
        <v>-9474.11</v>
      </c>
      <c r="L240" s="2">
        <v>0</v>
      </c>
      <c r="M240" s="2">
        <v>0</v>
      </c>
      <c r="N240" s="2">
        <v>0</v>
      </c>
      <c r="O240" s="3">
        <f t="shared" si="4"/>
        <v>76050.52</v>
      </c>
    </row>
    <row r="241" spans="1:15" x14ac:dyDescent="0.2">
      <c r="A241" s="5">
        <v>777</v>
      </c>
      <c r="B241" s="5">
        <v>1</v>
      </c>
      <c r="C241" s="2" t="s">
        <v>238</v>
      </c>
      <c r="D241" s="2">
        <v>0</v>
      </c>
      <c r="E241" s="2">
        <v>0</v>
      </c>
      <c r="F241" s="2">
        <v>57663.73</v>
      </c>
      <c r="G241" s="2">
        <v>0</v>
      </c>
      <c r="H241" s="2">
        <v>28001.02</v>
      </c>
      <c r="I241" s="2">
        <v>0</v>
      </c>
      <c r="J241" s="2">
        <v>0</v>
      </c>
      <c r="K241" s="2">
        <v>2536.2600000000002</v>
      </c>
      <c r="L241" s="2">
        <v>0</v>
      </c>
      <c r="M241" s="2">
        <v>0</v>
      </c>
      <c r="N241" s="2">
        <v>0</v>
      </c>
      <c r="O241" s="3">
        <f t="shared" si="4"/>
        <v>88201.01</v>
      </c>
    </row>
    <row r="242" spans="1:15" x14ac:dyDescent="0.2">
      <c r="A242" s="5">
        <v>786</v>
      </c>
      <c r="B242" s="5">
        <v>1</v>
      </c>
      <c r="C242" s="2" t="s">
        <v>239</v>
      </c>
      <c r="D242" s="2">
        <v>0</v>
      </c>
      <c r="E242" s="2">
        <v>0</v>
      </c>
      <c r="F242" s="2">
        <v>9085.75</v>
      </c>
      <c r="G242" s="2">
        <v>0</v>
      </c>
      <c r="H242" s="2">
        <v>0</v>
      </c>
      <c r="I242" s="2">
        <v>0</v>
      </c>
      <c r="J242" s="2">
        <v>-2500</v>
      </c>
      <c r="K242" s="2">
        <v>3431.8</v>
      </c>
      <c r="L242" s="2">
        <v>0</v>
      </c>
      <c r="M242" s="2">
        <v>0</v>
      </c>
      <c r="N242" s="2">
        <v>0</v>
      </c>
      <c r="O242" s="3">
        <f t="shared" si="4"/>
        <v>10017.549999999999</v>
      </c>
    </row>
    <row r="243" spans="1:15" x14ac:dyDescent="0.2">
      <c r="A243" s="5">
        <v>787</v>
      </c>
      <c r="B243" s="5">
        <v>1</v>
      </c>
      <c r="C243" s="2" t="s">
        <v>240</v>
      </c>
      <c r="D243" s="2">
        <v>0</v>
      </c>
      <c r="E243" s="2">
        <v>0</v>
      </c>
      <c r="F243" s="2">
        <v>16243.15</v>
      </c>
      <c r="G243" s="2">
        <v>0</v>
      </c>
      <c r="H243" s="2">
        <v>21563.35</v>
      </c>
      <c r="I243" s="2">
        <v>0</v>
      </c>
      <c r="J243" s="2">
        <v>0</v>
      </c>
      <c r="K243" s="2">
        <v>0</v>
      </c>
      <c r="L243" s="2">
        <v>0</v>
      </c>
      <c r="M243" s="2">
        <v>0</v>
      </c>
      <c r="N243" s="2">
        <v>0</v>
      </c>
      <c r="O243" s="3">
        <f t="shared" si="4"/>
        <v>37806.5</v>
      </c>
    </row>
    <row r="244" spans="1:15" x14ac:dyDescent="0.2">
      <c r="A244" s="5">
        <v>801</v>
      </c>
      <c r="B244" s="5">
        <v>1</v>
      </c>
      <c r="C244" s="2" t="s">
        <v>241</v>
      </c>
      <c r="D244" s="2">
        <v>0</v>
      </c>
      <c r="E244" s="2">
        <v>0</v>
      </c>
      <c r="F244" s="2">
        <v>38455.82</v>
      </c>
      <c r="G244" s="2">
        <v>1041.8699999999999</v>
      </c>
      <c r="H244" s="2">
        <v>0</v>
      </c>
      <c r="I244" s="2">
        <v>0</v>
      </c>
      <c r="J244" s="2">
        <v>0</v>
      </c>
      <c r="K244" s="2">
        <v>6.14</v>
      </c>
      <c r="L244" s="2">
        <v>0</v>
      </c>
      <c r="M244" s="2">
        <v>0</v>
      </c>
      <c r="N244" s="2">
        <v>0</v>
      </c>
      <c r="O244" s="3">
        <f t="shared" si="4"/>
        <v>39503.83</v>
      </c>
    </row>
    <row r="245" spans="1:15" x14ac:dyDescent="0.2">
      <c r="A245" s="5">
        <v>803</v>
      </c>
      <c r="B245" s="5">
        <v>1</v>
      </c>
      <c r="C245" s="2" t="s">
        <v>242</v>
      </c>
      <c r="D245" s="2">
        <v>0</v>
      </c>
      <c r="E245" s="2">
        <v>0</v>
      </c>
      <c r="F245" s="2">
        <v>87665.33</v>
      </c>
      <c r="G245" s="2">
        <v>0</v>
      </c>
      <c r="H245" s="2">
        <v>8955.0400000000009</v>
      </c>
      <c r="I245" s="2">
        <v>0</v>
      </c>
      <c r="J245" s="2">
        <v>0</v>
      </c>
      <c r="K245" s="2">
        <v>9450</v>
      </c>
      <c r="L245" s="2">
        <v>0</v>
      </c>
      <c r="M245" s="2">
        <v>0</v>
      </c>
      <c r="N245" s="2">
        <v>0</v>
      </c>
      <c r="O245" s="3">
        <f t="shared" si="4"/>
        <v>106070.37</v>
      </c>
    </row>
    <row r="246" spans="1:15" x14ac:dyDescent="0.2">
      <c r="A246" s="5">
        <v>811</v>
      </c>
      <c r="B246" s="5">
        <v>1</v>
      </c>
      <c r="C246" s="2" t="s">
        <v>243</v>
      </c>
      <c r="D246" s="2">
        <v>0</v>
      </c>
      <c r="E246" s="2">
        <v>0</v>
      </c>
      <c r="F246" s="2">
        <v>59013.4</v>
      </c>
      <c r="G246" s="2">
        <v>0</v>
      </c>
      <c r="H246" s="2">
        <v>16925.86</v>
      </c>
      <c r="I246" s="2">
        <v>0</v>
      </c>
      <c r="J246" s="2">
        <v>0</v>
      </c>
      <c r="K246" s="2">
        <v>965.95999999999992</v>
      </c>
      <c r="L246" s="2">
        <v>0</v>
      </c>
      <c r="M246" s="2">
        <v>0</v>
      </c>
      <c r="N246" s="2">
        <v>0</v>
      </c>
      <c r="O246" s="3">
        <f t="shared" si="4"/>
        <v>76905.220000000016</v>
      </c>
    </row>
    <row r="247" spans="1:15" x14ac:dyDescent="0.2">
      <c r="A247" s="5">
        <v>813</v>
      </c>
      <c r="B247" s="5">
        <v>1</v>
      </c>
      <c r="C247" s="2" t="s">
        <v>244</v>
      </c>
      <c r="D247" s="2">
        <v>0</v>
      </c>
      <c r="E247" s="2">
        <v>0</v>
      </c>
      <c r="F247" s="2">
        <v>0</v>
      </c>
      <c r="G247" s="2">
        <v>0</v>
      </c>
      <c r="H247" s="2">
        <v>25929.91</v>
      </c>
      <c r="I247" s="2">
        <v>0</v>
      </c>
      <c r="J247" s="2">
        <v>-5000</v>
      </c>
      <c r="K247" s="2">
        <v>2691.85</v>
      </c>
      <c r="L247" s="2">
        <v>0</v>
      </c>
      <c r="M247" s="2">
        <v>0</v>
      </c>
      <c r="N247" s="2">
        <v>0</v>
      </c>
      <c r="O247" s="3">
        <f t="shared" si="4"/>
        <v>23621.759999999998</v>
      </c>
    </row>
    <row r="248" spans="1:15" x14ac:dyDescent="0.2">
      <c r="A248" s="5">
        <v>815</v>
      </c>
      <c r="B248" s="5">
        <v>2</v>
      </c>
      <c r="C248" s="2" t="s">
        <v>245</v>
      </c>
      <c r="D248" s="2">
        <v>0</v>
      </c>
      <c r="E248" s="2">
        <v>0</v>
      </c>
      <c r="F248" s="2">
        <v>0</v>
      </c>
      <c r="G248" s="2">
        <v>0</v>
      </c>
      <c r="H248" s="2">
        <v>0</v>
      </c>
      <c r="I248" s="2">
        <v>0</v>
      </c>
      <c r="J248" s="2">
        <v>0</v>
      </c>
      <c r="K248" s="2">
        <v>0</v>
      </c>
      <c r="L248" s="2">
        <v>0</v>
      </c>
      <c r="M248" s="2">
        <v>0</v>
      </c>
      <c r="N248" s="2">
        <v>0</v>
      </c>
      <c r="O248" s="3">
        <f t="shared" si="4"/>
        <v>0</v>
      </c>
    </row>
    <row r="249" spans="1:15" x14ac:dyDescent="0.2">
      <c r="A249" s="5">
        <v>818</v>
      </c>
      <c r="B249" s="5">
        <v>1</v>
      </c>
      <c r="C249" s="2" t="s">
        <v>246</v>
      </c>
      <c r="D249" s="2">
        <v>0</v>
      </c>
      <c r="E249" s="2">
        <v>0</v>
      </c>
      <c r="F249" s="2">
        <v>10032.65</v>
      </c>
      <c r="G249" s="2">
        <v>0</v>
      </c>
      <c r="H249" s="2">
        <v>9794.1200000000008</v>
      </c>
      <c r="I249" s="2">
        <v>0</v>
      </c>
      <c r="J249" s="2">
        <v>0</v>
      </c>
      <c r="K249" s="2">
        <v>11169.24</v>
      </c>
      <c r="L249" s="2">
        <v>0</v>
      </c>
      <c r="M249" s="2">
        <v>0</v>
      </c>
      <c r="N249" s="2">
        <v>0</v>
      </c>
      <c r="O249" s="3">
        <f t="shared" si="4"/>
        <v>30996.010000000002</v>
      </c>
    </row>
    <row r="250" spans="1:15" x14ac:dyDescent="0.2">
      <c r="A250" s="5">
        <v>820</v>
      </c>
      <c r="B250" s="5">
        <v>1</v>
      </c>
      <c r="C250" s="2" t="s">
        <v>247</v>
      </c>
      <c r="D250" s="2">
        <v>0</v>
      </c>
      <c r="E250" s="2">
        <v>0</v>
      </c>
      <c r="F250" s="2">
        <v>16184.54</v>
      </c>
      <c r="G250" s="2">
        <v>0</v>
      </c>
      <c r="H250" s="2">
        <v>20990.86</v>
      </c>
      <c r="I250" s="2">
        <v>0</v>
      </c>
      <c r="J250" s="2">
        <v>-186</v>
      </c>
      <c r="K250" s="2">
        <v>-3548.56</v>
      </c>
      <c r="L250" s="2">
        <v>0</v>
      </c>
      <c r="M250" s="2">
        <v>0</v>
      </c>
      <c r="N250" s="2">
        <v>0</v>
      </c>
      <c r="O250" s="3">
        <f t="shared" si="4"/>
        <v>33440.840000000004</v>
      </c>
    </row>
    <row r="251" spans="1:15" x14ac:dyDescent="0.2">
      <c r="A251" s="5">
        <v>821</v>
      </c>
      <c r="B251" s="5">
        <v>1</v>
      </c>
      <c r="C251" s="2" t="s">
        <v>248</v>
      </c>
      <c r="D251" s="2">
        <v>0</v>
      </c>
      <c r="E251" s="2">
        <v>0</v>
      </c>
      <c r="F251" s="2">
        <v>0</v>
      </c>
      <c r="G251" s="2">
        <v>0</v>
      </c>
      <c r="H251" s="2">
        <v>14358.89</v>
      </c>
      <c r="I251" s="2">
        <v>0</v>
      </c>
      <c r="J251" s="2">
        <v>0</v>
      </c>
      <c r="K251" s="2">
        <v>-125.15999999999985</v>
      </c>
      <c r="L251" s="2">
        <v>0</v>
      </c>
      <c r="M251" s="2">
        <v>0</v>
      </c>
      <c r="N251" s="2">
        <v>0</v>
      </c>
      <c r="O251" s="3">
        <f t="shared" si="4"/>
        <v>14233.73</v>
      </c>
    </row>
    <row r="252" spans="1:15" x14ac:dyDescent="0.2">
      <c r="A252" s="5">
        <v>829</v>
      </c>
      <c r="B252" s="5">
        <v>1</v>
      </c>
      <c r="C252" s="2" t="s">
        <v>249</v>
      </c>
      <c r="D252" s="2">
        <v>0</v>
      </c>
      <c r="E252" s="2">
        <v>0</v>
      </c>
      <c r="F252" s="2">
        <v>96765.35</v>
      </c>
      <c r="G252" s="2">
        <v>0</v>
      </c>
      <c r="H252" s="2">
        <v>41201.199999999997</v>
      </c>
      <c r="I252" s="2">
        <v>0</v>
      </c>
      <c r="J252" s="2">
        <v>0</v>
      </c>
      <c r="K252" s="2">
        <v>15415.84</v>
      </c>
      <c r="L252" s="2">
        <v>0</v>
      </c>
      <c r="M252" s="2">
        <v>0</v>
      </c>
      <c r="N252" s="2">
        <v>0</v>
      </c>
      <c r="O252" s="3">
        <f t="shared" si="4"/>
        <v>153382.38999999998</v>
      </c>
    </row>
    <row r="253" spans="1:15" x14ac:dyDescent="0.2">
      <c r="A253" s="5">
        <v>831</v>
      </c>
      <c r="B253" s="5">
        <v>1</v>
      </c>
      <c r="C253" s="2" t="s">
        <v>250</v>
      </c>
      <c r="D253" s="2">
        <v>0</v>
      </c>
      <c r="E253" s="2">
        <v>0</v>
      </c>
      <c r="F253" s="2">
        <v>393408.33</v>
      </c>
      <c r="G253" s="2">
        <v>0</v>
      </c>
      <c r="H253" s="2">
        <v>106874.13</v>
      </c>
      <c r="I253" s="2">
        <v>0</v>
      </c>
      <c r="J253" s="2">
        <v>0</v>
      </c>
      <c r="K253" s="2">
        <v>42451.06</v>
      </c>
      <c r="L253" s="2">
        <v>0</v>
      </c>
      <c r="M253" s="2">
        <v>0</v>
      </c>
      <c r="N253" s="2">
        <v>0</v>
      </c>
      <c r="O253" s="3">
        <f t="shared" si="4"/>
        <v>542733.52</v>
      </c>
    </row>
    <row r="254" spans="1:15" x14ac:dyDescent="0.2">
      <c r="A254" s="5">
        <v>832</v>
      </c>
      <c r="B254" s="5">
        <v>1</v>
      </c>
      <c r="C254" s="2" t="s">
        <v>251</v>
      </c>
      <c r="D254" s="2">
        <v>0</v>
      </c>
      <c r="E254" s="2">
        <v>0</v>
      </c>
      <c r="F254" s="2">
        <v>632970.1</v>
      </c>
      <c r="G254" s="2">
        <v>20881.96</v>
      </c>
      <c r="H254" s="2">
        <v>59710.530000000006</v>
      </c>
      <c r="I254" s="2">
        <v>0</v>
      </c>
      <c r="J254" s="2">
        <v>0</v>
      </c>
      <c r="K254" s="2">
        <v>28700.11</v>
      </c>
      <c r="L254" s="2">
        <v>0</v>
      </c>
      <c r="M254" s="2">
        <v>0</v>
      </c>
      <c r="N254" s="2">
        <v>0</v>
      </c>
      <c r="O254" s="3">
        <f t="shared" si="4"/>
        <v>742262.7</v>
      </c>
    </row>
    <row r="255" spans="1:15" x14ac:dyDescent="0.2">
      <c r="A255" s="5">
        <v>833</v>
      </c>
      <c r="B255" s="5">
        <v>1</v>
      </c>
      <c r="C255" s="2" t="s">
        <v>252</v>
      </c>
      <c r="D255" s="2">
        <v>0</v>
      </c>
      <c r="E255" s="2">
        <v>0</v>
      </c>
      <c r="F255" s="2">
        <v>2822207.2</v>
      </c>
      <c r="G255" s="2">
        <v>55969.13</v>
      </c>
      <c r="H255" s="2">
        <v>295708</v>
      </c>
      <c r="I255" s="2">
        <v>0</v>
      </c>
      <c r="J255" s="2">
        <v>0</v>
      </c>
      <c r="K255" s="2">
        <v>116051.27</v>
      </c>
      <c r="L255" s="2">
        <v>0</v>
      </c>
      <c r="M255" s="2">
        <v>0</v>
      </c>
      <c r="N255" s="2">
        <v>0</v>
      </c>
      <c r="O255" s="3">
        <f t="shared" si="4"/>
        <v>3289935.6</v>
      </c>
    </row>
    <row r="256" spans="1:15" x14ac:dyDescent="0.2">
      <c r="A256" s="5">
        <v>834</v>
      </c>
      <c r="B256" s="5">
        <v>1</v>
      </c>
      <c r="C256" s="2" t="s">
        <v>253</v>
      </c>
      <c r="D256" s="2">
        <v>0</v>
      </c>
      <c r="E256" s="2">
        <v>0</v>
      </c>
      <c r="F256" s="2">
        <v>1639817.77</v>
      </c>
      <c r="G256" s="2">
        <v>207626.7</v>
      </c>
      <c r="H256" s="2">
        <v>154775.21</v>
      </c>
      <c r="I256" s="2">
        <v>0</v>
      </c>
      <c r="J256" s="2">
        <v>0</v>
      </c>
      <c r="K256" s="2">
        <v>40096.14</v>
      </c>
      <c r="L256" s="2">
        <v>0</v>
      </c>
      <c r="M256" s="2">
        <v>0</v>
      </c>
      <c r="N256" s="2">
        <v>0</v>
      </c>
      <c r="O256" s="3">
        <f t="shared" ref="O256:O318" si="5">SUM(D256:N256)</f>
        <v>2042315.8199999998</v>
      </c>
    </row>
    <row r="257" spans="1:15" x14ac:dyDescent="0.2">
      <c r="A257" s="5">
        <v>836</v>
      </c>
      <c r="B257" s="5">
        <v>1</v>
      </c>
      <c r="C257" s="2" t="s">
        <v>254</v>
      </c>
      <c r="D257" s="2">
        <v>0</v>
      </c>
      <c r="E257" s="2">
        <v>0</v>
      </c>
      <c r="F257" s="2">
        <v>69875.679999999993</v>
      </c>
      <c r="G257" s="2">
        <v>0</v>
      </c>
      <c r="H257" s="2">
        <v>10000</v>
      </c>
      <c r="I257" s="2">
        <v>0</v>
      </c>
      <c r="J257" s="2">
        <v>0</v>
      </c>
      <c r="K257" s="2">
        <v>1832.3500000000004</v>
      </c>
      <c r="L257" s="2">
        <v>0</v>
      </c>
      <c r="M257" s="2">
        <v>0</v>
      </c>
      <c r="N257" s="2">
        <v>0</v>
      </c>
      <c r="O257" s="3">
        <f t="shared" si="5"/>
        <v>81708.03</v>
      </c>
    </row>
    <row r="258" spans="1:15" x14ac:dyDescent="0.2">
      <c r="A258" s="5">
        <v>837</v>
      </c>
      <c r="B258" s="5">
        <v>1</v>
      </c>
      <c r="C258" s="2" t="s">
        <v>255</v>
      </c>
      <c r="D258" s="2">
        <v>0</v>
      </c>
      <c r="E258" s="2">
        <v>0</v>
      </c>
      <c r="F258" s="2">
        <v>78714.820000000007</v>
      </c>
      <c r="G258" s="2">
        <v>8589.65</v>
      </c>
      <c r="H258" s="2">
        <v>13235.7</v>
      </c>
      <c r="I258" s="2">
        <v>0</v>
      </c>
      <c r="J258" s="2">
        <v>0</v>
      </c>
      <c r="K258" s="2">
        <v>1978.9300000000003</v>
      </c>
      <c r="L258" s="2">
        <v>0</v>
      </c>
      <c r="M258" s="2">
        <v>0</v>
      </c>
      <c r="N258" s="2">
        <v>0</v>
      </c>
      <c r="O258" s="3">
        <f t="shared" si="5"/>
        <v>102519.1</v>
      </c>
    </row>
    <row r="259" spans="1:15" x14ac:dyDescent="0.2">
      <c r="A259" s="5">
        <v>840</v>
      </c>
      <c r="B259" s="5">
        <v>1</v>
      </c>
      <c r="C259" s="2" t="s">
        <v>256</v>
      </c>
      <c r="D259" s="2">
        <v>0</v>
      </c>
      <c r="E259" s="2">
        <v>0</v>
      </c>
      <c r="F259" s="2">
        <v>66890.06</v>
      </c>
      <c r="G259" s="2">
        <v>0</v>
      </c>
      <c r="H259" s="2">
        <v>8347.2900000000009</v>
      </c>
      <c r="I259" s="2">
        <v>0</v>
      </c>
      <c r="J259" s="2">
        <v>0</v>
      </c>
      <c r="K259" s="2">
        <v>27102.799999999999</v>
      </c>
      <c r="L259" s="2">
        <v>0</v>
      </c>
      <c r="M259" s="2">
        <v>0</v>
      </c>
      <c r="N259" s="2">
        <v>0</v>
      </c>
      <c r="O259" s="3">
        <f t="shared" si="5"/>
        <v>102340.15000000001</v>
      </c>
    </row>
    <row r="260" spans="1:15" x14ac:dyDescent="0.2">
      <c r="A260" s="5">
        <v>846</v>
      </c>
      <c r="B260" s="5">
        <v>1</v>
      </c>
      <c r="C260" s="2" t="s">
        <v>257</v>
      </c>
      <c r="D260" s="2">
        <v>0</v>
      </c>
      <c r="E260" s="2">
        <v>0</v>
      </c>
      <c r="F260" s="2">
        <v>18639.04</v>
      </c>
      <c r="G260" s="2">
        <v>0</v>
      </c>
      <c r="H260" s="2">
        <v>10000</v>
      </c>
      <c r="I260" s="2">
        <v>0</v>
      </c>
      <c r="J260" s="2">
        <v>0</v>
      </c>
      <c r="K260" s="2">
        <v>-3628.6499999999996</v>
      </c>
      <c r="L260" s="2">
        <v>0</v>
      </c>
      <c r="M260" s="2">
        <v>0</v>
      </c>
      <c r="N260" s="2">
        <v>0</v>
      </c>
      <c r="O260" s="3">
        <f t="shared" si="5"/>
        <v>25010.39</v>
      </c>
    </row>
    <row r="261" spans="1:15" x14ac:dyDescent="0.2">
      <c r="A261" s="5">
        <v>850</v>
      </c>
      <c r="B261" s="5">
        <v>1</v>
      </c>
      <c r="C261" s="2" t="s">
        <v>258</v>
      </c>
      <c r="D261" s="2">
        <v>0</v>
      </c>
      <c r="E261" s="2">
        <v>0</v>
      </c>
      <c r="F261" s="2">
        <v>70534.77</v>
      </c>
      <c r="G261" s="2">
        <v>0</v>
      </c>
      <c r="H261" s="2">
        <v>10000</v>
      </c>
      <c r="I261" s="2">
        <v>0</v>
      </c>
      <c r="J261" s="2">
        <v>0</v>
      </c>
      <c r="K261" s="2">
        <v>18296.54</v>
      </c>
      <c r="L261" s="2">
        <v>0</v>
      </c>
      <c r="M261" s="2">
        <v>0</v>
      </c>
      <c r="N261" s="2">
        <v>0</v>
      </c>
      <c r="O261" s="3">
        <f t="shared" si="5"/>
        <v>98831.31</v>
      </c>
    </row>
    <row r="262" spans="1:15" x14ac:dyDescent="0.2">
      <c r="A262" s="5">
        <v>852</v>
      </c>
      <c r="B262" s="5">
        <v>1</v>
      </c>
      <c r="C262" s="2" t="s">
        <v>259</v>
      </c>
      <c r="D262" s="2">
        <v>0</v>
      </c>
      <c r="E262" s="2">
        <v>0</v>
      </c>
      <c r="F262" s="2">
        <v>97310.3</v>
      </c>
      <c r="G262" s="2">
        <v>0</v>
      </c>
      <c r="H262" s="2">
        <v>10000</v>
      </c>
      <c r="I262" s="2">
        <v>0</v>
      </c>
      <c r="J262" s="2">
        <v>0</v>
      </c>
      <c r="K262" s="2">
        <v>9000</v>
      </c>
      <c r="L262" s="2">
        <v>0</v>
      </c>
      <c r="M262" s="2">
        <v>0</v>
      </c>
      <c r="N262" s="2">
        <v>0</v>
      </c>
      <c r="O262" s="3">
        <f t="shared" si="5"/>
        <v>116310.3</v>
      </c>
    </row>
    <row r="263" spans="1:15" x14ac:dyDescent="0.2">
      <c r="A263" s="5">
        <v>857</v>
      </c>
      <c r="B263" s="5">
        <v>1</v>
      </c>
      <c r="C263" s="2" t="s">
        <v>260</v>
      </c>
      <c r="D263" s="2">
        <v>0</v>
      </c>
      <c r="E263" s="2">
        <v>0</v>
      </c>
      <c r="F263" s="2">
        <v>0</v>
      </c>
      <c r="G263" s="2">
        <v>0</v>
      </c>
      <c r="H263" s="2">
        <v>14453.97</v>
      </c>
      <c r="I263" s="2">
        <v>0</v>
      </c>
      <c r="J263" s="2">
        <v>0</v>
      </c>
      <c r="K263" s="2">
        <v>4718.01</v>
      </c>
      <c r="L263" s="2">
        <v>0</v>
      </c>
      <c r="M263" s="2">
        <v>0</v>
      </c>
      <c r="N263" s="2">
        <v>0</v>
      </c>
      <c r="O263" s="3">
        <f t="shared" si="5"/>
        <v>19171.98</v>
      </c>
    </row>
    <row r="264" spans="1:15" x14ac:dyDescent="0.2">
      <c r="A264" s="5">
        <v>858</v>
      </c>
      <c r="B264" s="5">
        <v>1</v>
      </c>
      <c r="C264" s="2" t="s">
        <v>261</v>
      </c>
      <c r="D264" s="2">
        <v>0</v>
      </c>
      <c r="E264" s="2">
        <v>0</v>
      </c>
      <c r="F264" s="2">
        <v>0</v>
      </c>
      <c r="G264" s="2">
        <v>0</v>
      </c>
      <c r="H264" s="2">
        <v>14236.03</v>
      </c>
      <c r="I264" s="2">
        <v>0</v>
      </c>
      <c r="J264" s="2">
        <v>0</v>
      </c>
      <c r="K264" s="2">
        <v>-991.06</v>
      </c>
      <c r="L264" s="2">
        <v>0</v>
      </c>
      <c r="M264" s="2">
        <v>0</v>
      </c>
      <c r="N264" s="2">
        <v>0</v>
      </c>
      <c r="O264" s="3">
        <f t="shared" si="5"/>
        <v>13244.970000000001</v>
      </c>
    </row>
    <row r="265" spans="1:15" x14ac:dyDescent="0.2">
      <c r="A265" s="5">
        <v>861</v>
      </c>
      <c r="B265" s="5">
        <v>1</v>
      </c>
      <c r="C265" s="2" t="s">
        <v>262</v>
      </c>
      <c r="D265" s="2">
        <v>0</v>
      </c>
      <c r="E265" s="2">
        <v>0</v>
      </c>
      <c r="F265" s="2">
        <v>163275.60999999999</v>
      </c>
      <c r="G265" s="2">
        <v>0</v>
      </c>
      <c r="H265" s="2">
        <v>45420.62</v>
      </c>
      <c r="I265" s="2">
        <v>0</v>
      </c>
      <c r="J265" s="2">
        <v>0</v>
      </c>
      <c r="K265" s="2">
        <v>49134.36</v>
      </c>
      <c r="L265" s="2">
        <v>0</v>
      </c>
      <c r="M265" s="2">
        <v>0</v>
      </c>
      <c r="N265" s="2">
        <v>0</v>
      </c>
      <c r="O265" s="3">
        <f t="shared" si="5"/>
        <v>257830.58999999997</v>
      </c>
    </row>
    <row r="266" spans="1:15" x14ac:dyDescent="0.2">
      <c r="A266" s="5">
        <v>876</v>
      </c>
      <c r="B266" s="5">
        <v>1</v>
      </c>
      <c r="C266" s="2" t="s">
        <v>263</v>
      </c>
      <c r="D266" s="2">
        <v>0</v>
      </c>
      <c r="E266" s="2">
        <v>0</v>
      </c>
      <c r="F266" s="2">
        <v>207538.92</v>
      </c>
      <c r="G266" s="2">
        <v>63681.05</v>
      </c>
      <c r="H266" s="2">
        <v>36480.800000000003</v>
      </c>
      <c r="I266" s="2">
        <v>0</v>
      </c>
      <c r="J266" s="2">
        <v>0</v>
      </c>
      <c r="K266" s="2">
        <v>6916.43</v>
      </c>
      <c r="L266" s="2">
        <v>0</v>
      </c>
      <c r="M266" s="2">
        <v>0</v>
      </c>
      <c r="N266" s="2">
        <v>0</v>
      </c>
      <c r="O266" s="3">
        <f t="shared" si="5"/>
        <v>314617.2</v>
      </c>
    </row>
    <row r="267" spans="1:15" x14ac:dyDescent="0.2">
      <c r="A267" s="5">
        <v>877</v>
      </c>
      <c r="B267" s="5">
        <v>1</v>
      </c>
      <c r="C267" s="2" t="s">
        <v>264</v>
      </c>
      <c r="D267" s="2">
        <v>0</v>
      </c>
      <c r="E267" s="2">
        <v>0</v>
      </c>
      <c r="F267" s="2">
        <v>442510.09</v>
      </c>
      <c r="G267" s="2">
        <v>0</v>
      </c>
      <c r="H267" s="2">
        <v>104224.69</v>
      </c>
      <c r="I267" s="2">
        <v>0</v>
      </c>
      <c r="J267" s="2">
        <v>0</v>
      </c>
      <c r="K267" s="2">
        <v>41668.03</v>
      </c>
      <c r="L267" s="2">
        <v>0</v>
      </c>
      <c r="M267" s="2">
        <v>0</v>
      </c>
      <c r="N267" s="2">
        <v>0</v>
      </c>
      <c r="O267" s="3">
        <f t="shared" si="5"/>
        <v>588402.81000000006</v>
      </c>
    </row>
    <row r="268" spans="1:15" x14ac:dyDescent="0.2">
      <c r="A268" s="5">
        <v>879</v>
      </c>
      <c r="B268" s="5">
        <v>1</v>
      </c>
      <c r="C268" s="2" t="s">
        <v>265</v>
      </c>
      <c r="D268" s="2">
        <v>0</v>
      </c>
      <c r="E268" s="2">
        <v>0</v>
      </c>
      <c r="F268" s="2">
        <v>117957.42</v>
      </c>
      <c r="G268" s="2">
        <v>0</v>
      </c>
      <c r="H268" s="2">
        <v>46290.460000000006</v>
      </c>
      <c r="I268" s="2">
        <v>0</v>
      </c>
      <c r="J268" s="2">
        <v>0</v>
      </c>
      <c r="K268" s="2">
        <v>15387.83</v>
      </c>
      <c r="L268" s="2">
        <v>0</v>
      </c>
      <c r="M268" s="2">
        <v>0</v>
      </c>
      <c r="N268" s="2">
        <v>0</v>
      </c>
      <c r="O268" s="3">
        <f t="shared" si="5"/>
        <v>179635.71</v>
      </c>
    </row>
    <row r="269" spans="1:15" x14ac:dyDescent="0.2">
      <c r="A269" s="5">
        <v>881</v>
      </c>
      <c r="B269" s="5">
        <v>1</v>
      </c>
      <c r="C269" s="2" t="s">
        <v>266</v>
      </c>
      <c r="D269" s="2">
        <v>0</v>
      </c>
      <c r="E269" s="2">
        <v>0</v>
      </c>
      <c r="F269" s="2">
        <v>117442.28</v>
      </c>
      <c r="G269" s="2">
        <v>19558.900000000001</v>
      </c>
      <c r="H269" s="2">
        <v>17644.099999999999</v>
      </c>
      <c r="I269" s="2">
        <v>0</v>
      </c>
      <c r="J269" s="2">
        <v>0</v>
      </c>
      <c r="K269" s="2">
        <v>3048.86</v>
      </c>
      <c r="L269" s="2">
        <v>0</v>
      </c>
      <c r="M269" s="2">
        <v>0</v>
      </c>
      <c r="N269" s="2">
        <v>0</v>
      </c>
      <c r="O269" s="3">
        <f t="shared" si="5"/>
        <v>157694.13999999998</v>
      </c>
    </row>
    <row r="270" spans="1:15" x14ac:dyDescent="0.2">
      <c r="A270" s="5">
        <v>882</v>
      </c>
      <c r="B270" s="5">
        <v>1</v>
      </c>
      <c r="C270" s="2" t="s">
        <v>267</v>
      </c>
      <c r="D270" s="2">
        <v>0</v>
      </c>
      <c r="E270" s="2">
        <v>0</v>
      </c>
      <c r="F270" s="2">
        <v>480525.55</v>
      </c>
      <c r="G270" s="2">
        <v>155849.28</v>
      </c>
      <c r="H270" s="2">
        <v>45916.12</v>
      </c>
      <c r="I270" s="2">
        <v>0</v>
      </c>
      <c r="J270" s="2">
        <v>0</v>
      </c>
      <c r="K270" s="2">
        <v>29264.41</v>
      </c>
      <c r="L270" s="2">
        <v>0</v>
      </c>
      <c r="M270" s="2">
        <v>0</v>
      </c>
      <c r="N270" s="2">
        <v>0</v>
      </c>
      <c r="O270" s="3">
        <f t="shared" si="5"/>
        <v>711555.36</v>
      </c>
    </row>
    <row r="271" spans="1:15" x14ac:dyDescent="0.2">
      <c r="A271" s="5">
        <v>883</v>
      </c>
      <c r="B271" s="5">
        <v>1</v>
      </c>
      <c r="C271" s="2" t="s">
        <v>268</v>
      </c>
      <c r="D271" s="2">
        <v>0</v>
      </c>
      <c r="E271" s="2">
        <v>0</v>
      </c>
      <c r="F271" s="2">
        <v>108595.68</v>
      </c>
      <c r="G271" s="2">
        <v>0</v>
      </c>
      <c r="H271" s="2">
        <v>0</v>
      </c>
      <c r="I271" s="2">
        <v>0</v>
      </c>
      <c r="J271" s="2">
        <v>0</v>
      </c>
      <c r="K271" s="2">
        <v>41966.69</v>
      </c>
      <c r="L271" s="2">
        <v>0</v>
      </c>
      <c r="M271" s="2">
        <v>0</v>
      </c>
      <c r="N271" s="2">
        <v>0</v>
      </c>
      <c r="O271" s="3">
        <f t="shared" si="5"/>
        <v>150562.37</v>
      </c>
    </row>
    <row r="272" spans="1:15" x14ac:dyDescent="0.2">
      <c r="A272" s="5">
        <v>885</v>
      </c>
      <c r="B272" s="5">
        <v>1</v>
      </c>
      <c r="C272" s="2" t="s">
        <v>269</v>
      </c>
      <c r="D272" s="2">
        <v>0</v>
      </c>
      <c r="E272" s="2">
        <v>0</v>
      </c>
      <c r="F272" s="2">
        <v>131136.53</v>
      </c>
      <c r="G272" s="2">
        <v>0</v>
      </c>
      <c r="H272" s="2">
        <v>44309.939999999995</v>
      </c>
      <c r="I272" s="2">
        <v>0</v>
      </c>
      <c r="J272" s="2">
        <v>0</v>
      </c>
      <c r="K272" s="2">
        <v>40959.509999999995</v>
      </c>
      <c r="L272" s="2">
        <v>0</v>
      </c>
      <c r="M272" s="2">
        <v>0</v>
      </c>
      <c r="N272" s="2">
        <v>0</v>
      </c>
      <c r="O272" s="3">
        <f t="shared" si="5"/>
        <v>216405.97999999998</v>
      </c>
    </row>
    <row r="273" spans="1:15" x14ac:dyDescent="0.2">
      <c r="A273" s="5">
        <v>891</v>
      </c>
      <c r="B273" s="5">
        <v>1</v>
      </c>
      <c r="C273" s="2" t="s">
        <v>270</v>
      </c>
      <c r="D273" s="2">
        <v>0</v>
      </c>
      <c r="E273" s="2">
        <v>0</v>
      </c>
      <c r="F273" s="2">
        <v>32209.42</v>
      </c>
      <c r="G273" s="2">
        <v>18617.810000000001</v>
      </c>
      <c r="H273" s="2">
        <v>13497.6</v>
      </c>
      <c r="I273" s="2">
        <v>0</v>
      </c>
      <c r="J273" s="2">
        <v>-6953.09</v>
      </c>
      <c r="K273" s="2">
        <v>20165.330000000002</v>
      </c>
      <c r="L273" s="2">
        <v>0</v>
      </c>
      <c r="M273" s="2">
        <v>0</v>
      </c>
      <c r="N273" s="2">
        <v>0</v>
      </c>
      <c r="O273" s="3">
        <f t="shared" si="5"/>
        <v>77537.069999999992</v>
      </c>
    </row>
    <row r="274" spans="1:15" x14ac:dyDescent="0.2">
      <c r="A274" s="5">
        <v>911</v>
      </c>
      <c r="B274" s="5">
        <v>1</v>
      </c>
      <c r="C274" s="2" t="s">
        <v>271</v>
      </c>
      <c r="D274" s="2">
        <v>0</v>
      </c>
      <c r="E274" s="2">
        <v>0</v>
      </c>
      <c r="F274" s="2">
        <v>217668.75</v>
      </c>
      <c r="G274" s="2">
        <v>0</v>
      </c>
      <c r="H274" s="2">
        <v>115135.90999999999</v>
      </c>
      <c r="I274" s="2">
        <v>0</v>
      </c>
      <c r="J274" s="2">
        <v>0</v>
      </c>
      <c r="K274" s="2">
        <v>32741.89</v>
      </c>
      <c r="L274" s="2">
        <v>0</v>
      </c>
      <c r="M274" s="2">
        <v>0</v>
      </c>
      <c r="N274" s="2">
        <v>0</v>
      </c>
      <c r="O274" s="3">
        <f t="shared" si="5"/>
        <v>365546.55</v>
      </c>
    </row>
    <row r="275" spans="1:15" x14ac:dyDescent="0.2">
      <c r="A275" s="5">
        <v>912</v>
      </c>
      <c r="B275" s="5">
        <v>1</v>
      </c>
      <c r="C275" s="2" t="s">
        <v>272</v>
      </c>
      <c r="D275" s="2">
        <v>0</v>
      </c>
      <c r="E275" s="2">
        <v>0</v>
      </c>
      <c r="F275" s="2">
        <v>54092.15</v>
      </c>
      <c r="G275" s="2">
        <v>0</v>
      </c>
      <c r="H275" s="2">
        <v>36035.15</v>
      </c>
      <c r="I275" s="2">
        <v>0</v>
      </c>
      <c r="J275" s="2">
        <v>0</v>
      </c>
      <c r="K275" s="2">
        <v>43695.58</v>
      </c>
      <c r="L275" s="2">
        <v>0</v>
      </c>
      <c r="M275" s="2">
        <v>0</v>
      </c>
      <c r="N275" s="2">
        <v>0</v>
      </c>
      <c r="O275" s="3">
        <f t="shared" si="5"/>
        <v>133822.88</v>
      </c>
    </row>
    <row r="276" spans="1:15" x14ac:dyDescent="0.2">
      <c r="A276" s="5">
        <v>914</v>
      </c>
      <c r="B276" s="5">
        <v>1</v>
      </c>
      <c r="C276" s="2" t="s">
        <v>273</v>
      </c>
      <c r="D276" s="2">
        <v>0</v>
      </c>
      <c r="E276" s="2">
        <v>0</v>
      </c>
      <c r="F276" s="2">
        <v>88350</v>
      </c>
      <c r="G276" s="2">
        <v>527.82000000000005</v>
      </c>
      <c r="H276" s="2">
        <v>10000</v>
      </c>
      <c r="I276" s="2">
        <v>0</v>
      </c>
      <c r="J276" s="2">
        <v>0</v>
      </c>
      <c r="K276" s="2">
        <v>-3000</v>
      </c>
      <c r="L276" s="2">
        <v>0</v>
      </c>
      <c r="M276" s="2">
        <v>0</v>
      </c>
      <c r="N276" s="2">
        <v>0</v>
      </c>
      <c r="O276" s="3">
        <f t="shared" si="5"/>
        <v>95877.82</v>
      </c>
    </row>
    <row r="277" spans="1:15" x14ac:dyDescent="0.2">
      <c r="A277" s="5">
        <v>2071</v>
      </c>
      <c r="B277" s="5">
        <v>1</v>
      </c>
      <c r="C277" s="2" t="s">
        <v>274</v>
      </c>
      <c r="D277" s="2">
        <v>0</v>
      </c>
      <c r="E277" s="2">
        <v>0</v>
      </c>
      <c r="F277" s="2">
        <v>216532</v>
      </c>
      <c r="G277" s="2">
        <v>0</v>
      </c>
      <c r="H277" s="2">
        <v>29443.199999999997</v>
      </c>
      <c r="I277" s="2">
        <v>0</v>
      </c>
      <c r="J277" s="2">
        <v>0</v>
      </c>
      <c r="K277" s="2">
        <v>2827.4700000000003</v>
      </c>
      <c r="L277" s="2">
        <v>0</v>
      </c>
      <c r="M277" s="2">
        <v>0</v>
      </c>
      <c r="N277" s="2">
        <v>0</v>
      </c>
      <c r="O277" s="3">
        <f t="shared" si="5"/>
        <v>248802.67</v>
      </c>
    </row>
    <row r="278" spans="1:15" x14ac:dyDescent="0.2">
      <c r="A278" s="5">
        <v>2125</v>
      </c>
      <c r="B278" s="5">
        <v>1</v>
      </c>
      <c r="C278" s="2" t="s">
        <v>275</v>
      </c>
      <c r="D278" s="2">
        <v>0</v>
      </c>
      <c r="E278" s="2">
        <v>0</v>
      </c>
      <c r="F278" s="2">
        <v>130834.75</v>
      </c>
      <c r="G278" s="2">
        <v>0</v>
      </c>
      <c r="H278" s="2">
        <v>10687.5</v>
      </c>
      <c r="I278" s="2">
        <v>0</v>
      </c>
      <c r="J278" s="2">
        <v>0</v>
      </c>
      <c r="K278" s="2">
        <v>12.11</v>
      </c>
      <c r="L278" s="2">
        <v>0</v>
      </c>
      <c r="M278" s="2">
        <v>0</v>
      </c>
      <c r="N278" s="2">
        <v>0</v>
      </c>
      <c r="O278" s="3">
        <f t="shared" si="5"/>
        <v>141534.35999999999</v>
      </c>
    </row>
    <row r="279" spans="1:15" x14ac:dyDescent="0.2">
      <c r="A279" s="5">
        <v>2134</v>
      </c>
      <c r="B279" s="5">
        <v>1</v>
      </c>
      <c r="C279" s="2" t="s">
        <v>276</v>
      </c>
      <c r="D279" s="2">
        <v>0</v>
      </c>
      <c r="E279" s="2">
        <v>0</v>
      </c>
      <c r="F279" s="2">
        <v>243273.5</v>
      </c>
      <c r="G279" s="2">
        <v>10564.1</v>
      </c>
      <c r="H279" s="2">
        <v>19461.600000000002</v>
      </c>
      <c r="I279" s="2">
        <v>0</v>
      </c>
      <c r="J279" s="2">
        <v>0</v>
      </c>
      <c r="K279" s="2">
        <v>19749.52</v>
      </c>
      <c r="L279" s="2">
        <v>0</v>
      </c>
      <c r="M279" s="2">
        <v>0</v>
      </c>
      <c r="N279" s="2">
        <v>0</v>
      </c>
      <c r="O279" s="3">
        <f t="shared" si="5"/>
        <v>293048.72000000003</v>
      </c>
    </row>
    <row r="280" spans="1:15" x14ac:dyDescent="0.2">
      <c r="A280" s="5">
        <v>2135</v>
      </c>
      <c r="B280" s="5">
        <v>1</v>
      </c>
      <c r="C280" s="2" t="s">
        <v>277</v>
      </c>
      <c r="D280" s="2">
        <v>0</v>
      </c>
      <c r="E280" s="2">
        <v>0</v>
      </c>
      <c r="F280" s="2">
        <v>188722.05</v>
      </c>
      <c r="G280" s="2">
        <v>0</v>
      </c>
      <c r="H280" s="2">
        <v>23377.599999999999</v>
      </c>
      <c r="I280" s="2">
        <v>0</v>
      </c>
      <c r="J280" s="2">
        <v>0</v>
      </c>
      <c r="K280" s="2">
        <v>16058.21</v>
      </c>
      <c r="L280" s="2">
        <v>0</v>
      </c>
      <c r="M280" s="2">
        <v>0</v>
      </c>
      <c r="N280" s="2">
        <v>0</v>
      </c>
      <c r="O280" s="3">
        <f t="shared" si="5"/>
        <v>228157.86</v>
      </c>
    </row>
    <row r="281" spans="1:15" x14ac:dyDescent="0.2">
      <c r="A281" s="5">
        <v>2137</v>
      </c>
      <c r="B281" s="5">
        <v>1</v>
      </c>
      <c r="C281" s="2" t="s">
        <v>278</v>
      </c>
      <c r="D281" s="2">
        <v>0</v>
      </c>
      <c r="E281" s="2">
        <v>0</v>
      </c>
      <c r="F281" s="2">
        <v>63102.69</v>
      </c>
      <c r="G281" s="2">
        <v>0</v>
      </c>
      <c r="H281" s="2">
        <v>19148.990000000002</v>
      </c>
      <c r="I281" s="2">
        <v>0</v>
      </c>
      <c r="J281" s="2">
        <v>0</v>
      </c>
      <c r="K281" s="2">
        <v>19204.97</v>
      </c>
      <c r="L281" s="2">
        <v>0</v>
      </c>
      <c r="M281" s="2">
        <v>0</v>
      </c>
      <c r="N281" s="2">
        <v>0</v>
      </c>
      <c r="O281" s="3">
        <f t="shared" si="5"/>
        <v>101456.65000000001</v>
      </c>
    </row>
    <row r="282" spans="1:15" x14ac:dyDescent="0.2">
      <c r="A282" s="5">
        <v>2142</v>
      </c>
      <c r="B282" s="5">
        <v>1</v>
      </c>
      <c r="C282" s="2" t="s">
        <v>279</v>
      </c>
      <c r="D282" s="2">
        <v>0</v>
      </c>
      <c r="E282" s="2">
        <v>0</v>
      </c>
      <c r="F282" s="2">
        <v>171786.65</v>
      </c>
      <c r="G282" s="2">
        <v>21538.33</v>
      </c>
      <c r="H282" s="2">
        <v>19495.04</v>
      </c>
      <c r="I282" s="2">
        <v>102471.28</v>
      </c>
      <c r="J282" s="2">
        <v>0</v>
      </c>
      <c r="K282" s="2">
        <v>-11970.809999999998</v>
      </c>
      <c r="L282" s="2">
        <v>0</v>
      </c>
      <c r="M282" s="2">
        <v>0</v>
      </c>
      <c r="N282" s="2">
        <v>0</v>
      </c>
      <c r="O282" s="3">
        <f t="shared" si="5"/>
        <v>303320.49</v>
      </c>
    </row>
    <row r="283" spans="1:15" x14ac:dyDescent="0.2">
      <c r="A283" s="5">
        <v>2143</v>
      </c>
      <c r="B283" s="5">
        <v>1</v>
      </c>
      <c r="C283" s="2" t="s">
        <v>280</v>
      </c>
      <c r="D283" s="2">
        <v>0</v>
      </c>
      <c r="E283" s="2">
        <v>0</v>
      </c>
      <c r="F283" s="2">
        <v>72111.33</v>
      </c>
      <c r="G283" s="2">
        <v>0</v>
      </c>
      <c r="H283" s="2">
        <v>18397.169999999998</v>
      </c>
      <c r="I283" s="2">
        <v>0</v>
      </c>
      <c r="J283" s="2">
        <v>0</v>
      </c>
      <c r="K283" s="2">
        <v>859.55000000000018</v>
      </c>
      <c r="L283" s="2">
        <v>0</v>
      </c>
      <c r="M283" s="2">
        <v>0</v>
      </c>
      <c r="N283" s="2">
        <v>0</v>
      </c>
      <c r="O283" s="3">
        <f t="shared" si="5"/>
        <v>91368.05</v>
      </c>
    </row>
    <row r="284" spans="1:15" x14ac:dyDescent="0.2">
      <c r="A284" s="5">
        <v>2144</v>
      </c>
      <c r="B284" s="5">
        <v>1</v>
      </c>
      <c r="C284" s="2" t="s">
        <v>281</v>
      </c>
      <c r="D284" s="2">
        <v>0</v>
      </c>
      <c r="E284" s="2">
        <v>0</v>
      </c>
      <c r="F284" s="2">
        <v>212914.72</v>
      </c>
      <c r="G284" s="2">
        <v>0</v>
      </c>
      <c r="H284" s="2">
        <v>72181.600000000006</v>
      </c>
      <c r="I284" s="2">
        <v>0</v>
      </c>
      <c r="J284" s="2">
        <v>0</v>
      </c>
      <c r="K284" s="2">
        <v>22382.989999999998</v>
      </c>
      <c r="L284" s="2">
        <v>0</v>
      </c>
      <c r="M284" s="2">
        <v>0</v>
      </c>
      <c r="N284" s="2">
        <v>0</v>
      </c>
      <c r="O284" s="3">
        <f t="shared" si="5"/>
        <v>307479.31</v>
      </c>
    </row>
    <row r="285" spans="1:15" x14ac:dyDescent="0.2">
      <c r="A285" s="5">
        <v>2149</v>
      </c>
      <c r="B285" s="5">
        <v>1</v>
      </c>
      <c r="C285" s="2" t="s">
        <v>282</v>
      </c>
      <c r="D285" s="2">
        <v>0</v>
      </c>
      <c r="E285" s="2">
        <v>0</v>
      </c>
      <c r="F285" s="2">
        <v>105651.52</v>
      </c>
      <c r="G285" s="2">
        <v>0</v>
      </c>
      <c r="H285" s="2">
        <v>34344.89</v>
      </c>
      <c r="I285" s="2">
        <v>0</v>
      </c>
      <c r="J285" s="2">
        <v>0</v>
      </c>
      <c r="K285" s="2">
        <v>24435.73</v>
      </c>
      <c r="L285" s="2">
        <v>0</v>
      </c>
      <c r="M285" s="2">
        <v>0</v>
      </c>
      <c r="N285" s="2">
        <v>0</v>
      </c>
      <c r="O285" s="3">
        <f t="shared" si="5"/>
        <v>164432.14000000001</v>
      </c>
    </row>
    <row r="286" spans="1:15" x14ac:dyDescent="0.2">
      <c r="A286" s="5">
        <v>2154</v>
      </c>
      <c r="B286" s="5">
        <v>1</v>
      </c>
      <c r="C286" s="2" t="s">
        <v>283</v>
      </c>
      <c r="D286" s="2">
        <v>0</v>
      </c>
      <c r="E286" s="2">
        <v>0</v>
      </c>
      <c r="F286" s="2">
        <v>52276.22</v>
      </c>
      <c r="G286" s="2">
        <v>22207.47</v>
      </c>
      <c r="H286" s="2">
        <v>26747.93</v>
      </c>
      <c r="I286" s="2">
        <v>87571.33</v>
      </c>
      <c r="J286" s="2">
        <v>0</v>
      </c>
      <c r="K286" s="2">
        <v>67250.22</v>
      </c>
      <c r="L286" s="2">
        <v>0</v>
      </c>
      <c r="M286" s="2">
        <v>0</v>
      </c>
      <c r="N286" s="2">
        <v>0</v>
      </c>
      <c r="O286" s="3">
        <f t="shared" si="5"/>
        <v>256053.17</v>
      </c>
    </row>
    <row r="287" spans="1:15" x14ac:dyDescent="0.2">
      <c r="A287" s="5">
        <v>2155</v>
      </c>
      <c r="B287" s="5">
        <v>1</v>
      </c>
      <c r="C287" s="2" t="s">
        <v>284</v>
      </c>
      <c r="D287" s="2">
        <v>0</v>
      </c>
      <c r="E287" s="2">
        <v>0</v>
      </c>
      <c r="F287" s="2">
        <v>38157.32</v>
      </c>
      <c r="G287" s="2">
        <v>0</v>
      </c>
      <c r="H287" s="2">
        <v>29819.279999999999</v>
      </c>
      <c r="I287" s="2">
        <v>0</v>
      </c>
      <c r="J287" s="2">
        <v>0</v>
      </c>
      <c r="K287" s="2">
        <v>9902.25</v>
      </c>
      <c r="L287" s="2">
        <v>0</v>
      </c>
      <c r="M287" s="2">
        <v>0</v>
      </c>
      <c r="N287" s="2">
        <v>0</v>
      </c>
      <c r="O287" s="3">
        <f t="shared" si="5"/>
        <v>77878.850000000006</v>
      </c>
    </row>
    <row r="288" spans="1:15" x14ac:dyDescent="0.2">
      <c r="A288" s="5">
        <v>2159</v>
      </c>
      <c r="B288" s="5">
        <v>1</v>
      </c>
      <c r="C288" s="2" t="s">
        <v>285</v>
      </c>
      <c r="D288" s="2">
        <v>0</v>
      </c>
      <c r="E288" s="2">
        <v>0</v>
      </c>
      <c r="F288" s="2">
        <v>102520.67</v>
      </c>
      <c r="G288" s="2">
        <v>23853.190000000002</v>
      </c>
      <c r="H288" s="2">
        <v>11812.8</v>
      </c>
      <c r="I288" s="2">
        <v>0</v>
      </c>
      <c r="J288" s="2">
        <v>0</v>
      </c>
      <c r="K288" s="2">
        <v>0</v>
      </c>
      <c r="L288" s="2">
        <v>0</v>
      </c>
      <c r="M288" s="2">
        <v>0</v>
      </c>
      <c r="N288" s="2">
        <v>0</v>
      </c>
      <c r="O288" s="3">
        <f t="shared" si="5"/>
        <v>138186.66</v>
      </c>
    </row>
    <row r="289" spans="1:15" x14ac:dyDescent="0.2">
      <c r="A289" s="5">
        <v>2164</v>
      </c>
      <c r="B289" s="5">
        <v>1</v>
      </c>
      <c r="C289" s="2" t="s">
        <v>286</v>
      </c>
      <c r="D289" s="2">
        <v>0</v>
      </c>
      <c r="E289" s="2">
        <v>0</v>
      </c>
      <c r="F289" s="2">
        <v>55510.33</v>
      </c>
      <c r="G289" s="2">
        <v>0</v>
      </c>
      <c r="H289" s="2">
        <v>12494.42</v>
      </c>
      <c r="I289" s="2">
        <v>0</v>
      </c>
      <c r="J289" s="2">
        <v>0</v>
      </c>
      <c r="K289" s="2">
        <v>11616.04</v>
      </c>
      <c r="L289" s="2">
        <v>0</v>
      </c>
      <c r="M289" s="2">
        <v>0</v>
      </c>
      <c r="N289" s="2">
        <v>0</v>
      </c>
      <c r="O289" s="3">
        <f t="shared" si="5"/>
        <v>79620.790000000008</v>
      </c>
    </row>
    <row r="290" spans="1:15" x14ac:dyDescent="0.2">
      <c r="A290" s="5">
        <v>2165</v>
      </c>
      <c r="B290" s="5">
        <v>1</v>
      </c>
      <c r="C290" s="2" t="s">
        <v>287</v>
      </c>
      <c r="D290" s="2">
        <v>0</v>
      </c>
      <c r="E290" s="2">
        <v>0</v>
      </c>
      <c r="F290" s="2">
        <v>51707.97</v>
      </c>
      <c r="G290" s="2">
        <v>0</v>
      </c>
      <c r="H290" s="2">
        <v>0</v>
      </c>
      <c r="I290" s="2">
        <v>0</v>
      </c>
      <c r="J290" s="2">
        <v>0</v>
      </c>
      <c r="K290" s="2">
        <v>0</v>
      </c>
      <c r="L290" s="2">
        <v>0</v>
      </c>
      <c r="M290" s="2">
        <v>0</v>
      </c>
      <c r="N290" s="2">
        <v>0</v>
      </c>
      <c r="O290" s="3">
        <f t="shared" si="5"/>
        <v>51707.97</v>
      </c>
    </row>
    <row r="291" spans="1:15" x14ac:dyDescent="0.2">
      <c r="A291" s="5">
        <v>2167</v>
      </c>
      <c r="B291" s="5">
        <v>1</v>
      </c>
      <c r="C291" s="2" t="s">
        <v>288</v>
      </c>
      <c r="D291" s="2">
        <v>0</v>
      </c>
      <c r="E291" s="2">
        <v>0</v>
      </c>
      <c r="F291" s="2">
        <v>31840.2</v>
      </c>
      <c r="G291" s="2">
        <v>5689.16</v>
      </c>
      <c r="H291" s="2">
        <v>10655.81</v>
      </c>
      <c r="I291" s="2">
        <v>0</v>
      </c>
      <c r="J291" s="2">
        <v>0</v>
      </c>
      <c r="K291" s="2">
        <v>8106.39</v>
      </c>
      <c r="L291" s="2">
        <v>0</v>
      </c>
      <c r="M291" s="2">
        <v>0</v>
      </c>
      <c r="N291" s="2">
        <v>0</v>
      </c>
      <c r="O291" s="3">
        <f t="shared" si="5"/>
        <v>56291.56</v>
      </c>
    </row>
    <row r="292" spans="1:15" x14ac:dyDescent="0.2">
      <c r="A292" s="5">
        <v>2168</v>
      </c>
      <c r="B292" s="5">
        <v>1</v>
      </c>
      <c r="C292" s="2" t="s">
        <v>289</v>
      </c>
      <c r="D292" s="2">
        <v>0</v>
      </c>
      <c r="E292" s="2">
        <v>0</v>
      </c>
      <c r="F292" s="2">
        <v>77590.100000000006</v>
      </c>
      <c r="G292" s="2">
        <v>11668.37</v>
      </c>
      <c r="H292" s="2">
        <v>18832</v>
      </c>
      <c r="I292" s="2">
        <v>0</v>
      </c>
      <c r="J292" s="2">
        <v>0</v>
      </c>
      <c r="K292" s="2">
        <v>6103.34</v>
      </c>
      <c r="L292" s="2">
        <v>0</v>
      </c>
      <c r="M292" s="2">
        <v>0</v>
      </c>
      <c r="N292" s="2">
        <v>0</v>
      </c>
      <c r="O292" s="3">
        <f t="shared" si="5"/>
        <v>114193.81</v>
      </c>
    </row>
    <row r="293" spans="1:15" x14ac:dyDescent="0.2">
      <c r="A293" s="5">
        <v>2169</v>
      </c>
      <c r="B293" s="5">
        <v>1</v>
      </c>
      <c r="C293" s="2" t="s">
        <v>290</v>
      </c>
      <c r="D293" s="2">
        <v>0</v>
      </c>
      <c r="E293" s="2">
        <v>0</v>
      </c>
      <c r="F293" s="2">
        <v>61280.65</v>
      </c>
      <c r="G293" s="2">
        <v>5478.96</v>
      </c>
      <c r="H293" s="2">
        <v>14960.16</v>
      </c>
      <c r="I293" s="2">
        <v>0</v>
      </c>
      <c r="J293" s="2">
        <v>0</v>
      </c>
      <c r="K293" s="2">
        <v>12660.77</v>
      </c>
      <c r="L293" s="2">
        <v>0</v>
      </c>
      <c r="M293" s="2">
        <v>0</v>
      </c>
      <c r="N293" s="2">
        <v>0</v>
      </c>
      <c r="O293" s="3">
        <f t="shared" si="5"/>
        <v>94380.540000000008</v>
      </c>
    </row>
    <row r="294" spans="1:15" x14ac:dyDescent="0.2">
      <c r="A294" s="5">
        <v>2170</v>
      </c>
      <c r="B294" s="5">
        <v>1</v>
      </c>
      <c r="C294" s="2" t="s">
        <v>291</v>
      </c>
      <c r="D294" s="2">
        <v>0</v>
      </c>
      <c r="E294" s="2">
        <v>0</v>
      </c>
      <c r="F294" s="2">
        <v>78553.36</v>
      </c>
      <c r="G294" s="2">
        <v>0</v>
      </c>
      <c r="H294" s="2">
        <v>60835.63</v>
      </c>
      <c r="I294" s="2">
        <v>0</v>
      </c>
      <c r="J294" s="2">
        <v>0</v>
      </c>
      <c r="K294" s="2">
        <v>39487.67</v>
      </c>
      <c r="L294" s="2">
        <v>0</v>
      </c>
      <c r="M294" s="2">
        <v>0</v>
      </c>
      <c r="N294" s="2">
        <v>0</v>
      </c>
      <c r="O294" s="3">
        <f t="shared" si="5"/>
        <v>178876.65999999997</v>
      </c>
    </row>
    <row r="295" spans="1:15" x14ac:dyDescent="0.2">
      <c r="A295" s="5">
        <v>2171</v>
      </c>
      <c r="B295" s="5">
        <v>1</v>
      </c>
      <c r="C295" s="2" t="s">
        <v>292</v>
      </c>
      <c r="D295" s="2">
        <v>0</v>
      </c>
      <c r="E295" s="2">
        <v>0</v>
      </c>
      <c r="F295" s="2">
        <v>312434.59999999998</v>
      </c>
      <c r="G295" s="2">
        <v>0</v>
      </c>
      <c r="H295" s="2">
        <v>10000</v>
      </c>
      <c r="I295" s="2">
        <v>0</v>
      </c>
      <c r="J295" s="2">
        <v>0</v>
      </c>
      <c r="K295" s="2">
        <v>3792</v>
      </c>
      <c r="L295" s="2">
        <v>0</v>
      </c>
      <c r="M295" s="2">
        <v>0</v>
      </c>
      <c r="N295" s="2">
        <v>0</v>
      </c>
      <c r="O295" s="3">
        <f t="shared" si="5"/>
        <v>326226.59999999998</v>
      </c>
    </row>
    <row r="296" spans="1:15" x14ac:dyDescent="0.2">
      <c r="A296" s="5">
        <v>2172</v>
      </c>
      <c r="B296" s="5">
        <v>1</v>
      </c>
      <c r="C296" s="2" t="s">
        <v>293</v>
      </c>
      <c r="D296" s="2">
        <v>0</v>
      </c>
      <c r="E296" s="2">
        <v>0</v>
      </c>
      <c r="F296" s="2">
        <v>71959.179999999993</v>
      </c>
      <c r="G296" s="2">
        <v>0</v>
      </c>
      <c r="H296" s="2">
        <v>17175.72</v>
      </c>
      <c r="I296" s="2">
        <v>0</v>
      </c>
      <c r="J296" s="2">
        <v>0</v>
      </c>
      <c r="K296" s="2">
        <v>-2171.58</v>
      </c>
      <c r="L296" s="2">
        <v>0</v>
      </c>
      <c r="M296" s="2">
        <v>0</v>
      </c>
      <c r="N296" s="2">
        <v>0</v>
      </c>
      <c r="O296" s="3">
        <f t="shared" si="5"/>
        <v>86963.319999999992</v>
      </c>
    </row>
    <row r="297" spans="1:15" x14ac:dyDescent="0.2">
      <c r="A297" s="5">
        <v>2174</v>
      </c>
      <c r="B297" s="5">
        <v>1</v>
      </c>
      <c r="C297" s="2" t="s">
        <v>294</v>
      </c>
      <c r="D297" s="2">
        <v>0</v>
      </c>
      <c r="E297" s="2">
        <v>0</v>
      </c>
      <c r="F297" s="2">
        <v>0</v>
      </c>
      <c r="G297" s="2">
        <v>0</v>
      </c>
      <c r="H297" s="2">
        <v>14263.039999999997</v>
      </c>
      <c r="I297" s="2">
        <v>0</v>
      </c>
      <c r="J297" s="2">
        <v>0</v>
      </c>
      <c r="K297" s="2">
        <v>5626.8100000000013</v>
      </c>
      <c r="L297" s="2">
        <v>0</v>
      </c>
      <c r="M297" s="2">
        <v>0</v>
      </c>
      <c r="N297" s="2">
        <v>0</v>
      </c>
      <c r="O297" s="3">
        <f t="shared" si="5"/>
        <v>19889.849999999999</v>
      </c>
    </row>
    <row r="298" spans="1:15" x14ac:dyDescent="0.2">
      <c r="A298" s="5">
        <v>2176</v>
      </c>
      <c r="B298" s="5">
        <v>1</v>
      </c>
      <c r="C298" s="2" t="s">
        <v>295</v>
      </c>
      <c r="D298" s="2">
        <v>0</v>
      </c>
      <c r="E298" s="2">
        <v>0</v>
      </c>
      <c r="F298" s="2">
        <v>228879.6</v>
      </c>
      <c r="G298" s="2">
        <v>0</v>
      </c>
      <c r="H298" s="2">
        <v>10000</v>
      </c>
      <c r="I298" s="2">
        <v>0</v>
      </c>
      <c r="J298" s="2">
        <v>-12000</v>
      </c>
      <c r="K298" s="2">
        <v>10382.99</v>
      </c>
      <c r="L298" s="2">
        <v>0</v>
      </c>
      <c r="M298" s="2">
        <v>0</v>
      </c>
      <c r="N298" s="2">
        <v>0</v>
      </c>
      <c r="O298" s="3">
        <f t="shared" si="5"/>
        <v>237262.59</v>
      </c>
    </row>
    <row r="299" spans="1:15" x14ac:dyDescent="0.2">
      <c r="A299" s="5">
        <v>2180</v>
      </c>
      <c r="B299" s="5">
        <v>1</v>
      </c>
      <c r="C299" s="2" t="s">
        <v>296</v>
      </c>
      <c r="D299" s="2">
        <v>0</v>
      </c>
      <c r="E299" s="2">
        <v>0</v>
      </c>
      <c r="F299" s="2">
        <v>173617.36</v>
      </c>
      <c r="G299" s="2">
        <v>0</v>
      </c>
      <c r="H299" s="2">
        <v>10000</v>
      </c>
      <c r="I299" s="2">
        <v>0</v>
      </c>
      <c r="J299" s="2">
        <v>0</v>
      </c>
      <c r="K299" s="2">
        <v>-7096.6299999999992</v>
      </c>
      <c r="L299" s="2">
        <v>0</v>
      </c>
      <c r="M299" s="2">
        <v>0</v>
      </c>
      <c r="N299" s="2">
        <v>0</v>
      </c>
      <c r="O299" s="3">
        <f t="shared" si="5"/>
        <v>176520.72999999998</v>
      </c>
    </row>
    <row r="300" spans="1:15" x14ac:dyDescent="0.2">
      <c r="A300" s="5">
        <v>2184</v>
      </c>
      <c r="B300" s="5">
        <v>1</v>
      </c>
      <c r="C300" s="2" t="s">
        <v>297</v>
      </c>
      <c r="D300" s="2">
        <v>0</v>
      </c>
      <c r="E300" s="2">
        <v>0</v>
      </c>
      <c r="F300" s="2">
        <v>45058.55</v>
      </c>
      <c r="G300" s="2">
        <v>2150.0300000000002</v>
      </c>
      <c r="H300" s="2">
        <v>22699.64</v>
      </c>
      <c r="I300" s="2">
        <v>0</v>
      </c>
      <c r="J300" s="2">
        <v>-781.15</v>
      </c>
      <c r="K300" s="2">
        <v>3594.18</v>
      </c>
      <c r="L300" s="2">
        <v>0</v>
      </c>
      <c r="M300" s="2">
        <v>0</v>
      </c>
      <c r="N300" s="2">
        <v>0</v>
      </c>
      <c r="O300" s="3">
        <f t="shared" si="5"/>
        <v>72721.25</v>
      </c>
    </row>
    <row r="301" spans="1:15" x14ac:dyDescent="0.2">
      <c r="A301" s="5">
        <v>2190</v>
      </c>
      <c r="B301" s="5">
        <v>1</v>
      </c>
      <c r="C301" s="2" t="s">
        <v>298</v>
      </c>
      <c r="D301" s="2">
        <v>0</v>
      </c>
      <c r="E301" s="2">
        <v>0</v>
      </c>
      <c r="F301" s="2">
        <v>106127.39</v>
      </c>
      <c r="G301" s="2">
        <v>3393.38</v>
      </c>
      <c r="H301" s="2">
        <v>26905.61</v>
      </c>
      <c r="I301" s="2">
        <v>0</v>
      </c>
      <c r="J301" s="2">
        <v>0</v>
      </c>
      <c r="K301" s="2">
        <v>57770.09</v>
      </c>
      <c r="L301" s="2">
        <v>0</v>
      </c>
      <c r="M301" s="2">
        <v>0</v>
      </c>
      <c r="N301" s="2">
        <v>0</v>
      </c>
      <c r="O301" s="3">
        <f t="shared" si="5"/>
        <v>194196.47</v>
      </c>
    </row>
    <row r="302" spans="1:15" x14ac:dyDescent="0.2">
      <c r="A302" s="5">
        <v>2198</v>
      </c>
      <c r="B302" s="5">
        <v>1</v>
      </c>
      <c r="C302" s="2" t="s">
        <v>299</v>
      </c>
      <c r="D302" s="2">
        <v>0</v>
      </c>
      <c r="E302" s="2">
        <v>0</v>
      </c>
      <c r="F302" s="2">
        <v>54051.81</v>
      </c>
      <c r="G302" s="2">
        <v>0</v>
      </c>
      <c r="H302" s="2">
        <v>17595.189999999999</v>
      </c>
      <c r="I302" s="2">
        <v>0</v>
      </c>
      <c r="J302" s="2">
        <v>0</v>
      </c>
      <c r="K302" s="2">
        <v>1026.7799999999988</v>
      </c>
      <c r="L302" s="2">
        <v>0</v>
      </c>
      <c r="M302" s="2">
        <v>0</v>
      </c>
      <c r="N302" s="2">
        <v>0</v>
      </c>
      <c r="O302" s="3">
        <f t="shared" si="5"/>
        <v>72673.78</v>
      </c>
    </row>
    <row r="303" spans="1:15" x14ac:dyDescent="0.2">
      <c r="A303" s="5">
        <v>2215</v>
      </c>
      <c r="B303" s="5">
        <v>1</v>
      </c>
      <c r="C303" s="2" t="s">
        <v>300</v>
      </c>
      <c r="D303" s="2">
        <v>0</v>
      </c>
      <c r="E303" s="2">
        <v>0</v>
      </c>
      <c r="F303" s="2">
        <v>26598.22</v>
      </c>
      <c r="G303" s="2">
        <v>0</v>
      </c>
      <c r="H303" s="2">
        <v>19986.38</v>
      </c>
      <c r="I303" s="2">
        <v>0</v>
      </c>
      <c r="J303" s="2">
        <v>0</v>
      </c>
      <c r="K303" s="2">
        <v>8972.52</v>
      </c>
      <c r="L303" s="2">
        <v>0</v>
      </c>
      <c r="M303" s="2">
        <v>0</v>
      </c>
      <c r="N303" s="2">
        <v>0</v>
      </c>
      <c r="O303" s="3">
        <f t="shared" si="5"/>
        <v>55557.12000000001</v>
      </c>
    </row>
    <row r="304" spans="1:15" x14ac:dyDescent="0.2">
      <c r="A304" s="5">
        <v>2310</v>
      </c>
      <c r="B304" s="5">
        <v>1</v>
      </c>
      <c r="C304" s="2" t="s">
        <v>301</v>
      </c>
      <c r="D304" s="2">
        <v>0</v>
      </c>
      <c r="E304" s="2">
        <v>0</v>
      </c>
      <c r="F304" s="2">
        <v>69650.559999999998</v>
      </c>
      <c r="G304" s="2">
        <v>0</v>
      </c>
      <c r="H304" s="2">
        <v>25184.080000000002</v>
      </c>
      <c r="I304" s="2">
        <v>0</v>
      </c>
      <c r="J304" s="2">
        <v>-8097.82</v>
      </c>
      <c r="K304" s="2">
        <v>8384.85</v>
      </c>
      <c r="L304" s="2">
        <v>0</v>
      </c>
      <c r="M304" s="2">
        <v>0</v>
      </c>
      <c r="N304" s="2">
        <v>0</v>
      </c>
      <c r="O304" s="3">
        <f t="shared" si="5"/>
        <v>95121.670000000013</v>
      </c>
    </row>
    <row r="305" spans="1:15" x14ac:dyDescent="0.2">
      <c r="A305" s="5">
        <v>2311</v>
      </c>
      <c r="B305" s="5">
        <v>1</v>
      </c>
      <c r="C305" s="2" t="s">
        <v>302</v>
      </c>
      <c r="D305" s="2">
        <v>0</v>
      </c>
      <c r="E305" s="2">
        <v>0</v>
      </c>
      <c r="F305" s="2">
        <v>57346.63</v>
      </c>
      <c r="G305" s="2">
        <v>8613.4699999999993</v>
      </c>
      <c r="H305" s="2">
        <v>10000</v>
      </c>
      <c r="I305" s="2">
        <v>0</v>
      </c>
      <c r="J305" s="2">
        <v>0</v>
      </c>
      <c r="K305" s="2">
        <v>-4275.7700000000004</v>
      </c>
      <c r="L305" s="2">
        <v>0</v>
      </c>
      <c r="M305" s="2">
        <v>0</v>
      </c>
      <c r="N305" s="2">
        <v>0</v>
      </c>
      <c r="O305" s="3">
        <f t="shared" si="5"/>
        <v>71684.329999999987</v>
      </c>
    </row>
    <row r="306" spans="1:15" x14ac:dyDescent="0.2">
      <c r="A306" s="5">
        <v>2342</v>
      </c>
      <c r="B306" s="5">
        <v>1</v>
      </c>
      <c r="C306" s="2" t="s">
        <v>303</v>
      </c>
      <c r="D306" s="2">
        <v>0</v>
      </c>
      <c r="E306" s="2">
        <v>0</v>
      </c>
      <c r="F306" s="2">
        <v>76124.09</v>
      </c>
      <c r="G306" s="2">
        <v>0</v>
      </c>
      <c r="H306" s="2">
        <v>19813.490000000002</v>
      </c>
      <c r="I306" s="2">
        <v>0</v>
      </c>
      <c r="J306" s="2">
        <v>0</v>
      </c>
      <c r="K306" s="2">
        <v>11244.81</v>
      </c>
      <c r="L306" s="2">
        <v>0</v>
      </c>
      <c r="M306" s="2">
        <v>0</v>
      </c>
      <c r="N306" s="2">
        <v>0</v>
      </c>
      <c r="O306" s="3">
        <f t="shared" si="5"/>
        <v>107182.39</v>
      </c>
    </row>
    <row r="307" spans="1:15" x14ac:dyDescent="0.2">
      <c r="A307" s="5">
        <v>2358</v>
      </c>
      <c r="B307" s="5">
        <v>1</v>
      </c>
      <c r="C307" s="2" t="s">
        <v>304</v>
      </c>
      <c r="D307" s="2">
        <v>0</v>
      </c>
      <c r="E307" s="2">
        <v>0</v>
      </c>
      <c r="F307" s="2">
        <v>36123.39</v>
      </c>
      <c r="G307" s="2">
        <v>2260.84</v>
      </c>
      <c r="H307" s="2">
        <v>9570.41</v>
      </c>
      <c r="I307" s="2">
        <v>0</v>
      </c>
      <c r="J307" s="2">
        <v>-2500</v>
      </c>
      <c r="K307" s="2">
        <v>0</v>
      </c>
      <c r="L307" s="2">
        <v>0</v>
      </c>
      <c r="M307" s="2">
        <v>0</v>
      </c>
      <c r="N307" s="2">
        <v>0</v>
      </c>
      <c r="O307" s="3">
        <f t="shared" si="5"/>
        <v>45454.64</v>
      </c>
    </row>
    <row r="308" spans="1:15" x14ac:dyDescent="0.2">
      <c r="A308" s="5">
        <v>2364</v>
      </c>
      <c r="B308" s="5">
        <v>1</v>
      </c>
      <c r="C308" s="2" t="s">
        <v>305</v>
      </c>
      <c r="D308" s="2">
        <v>0</v>
      </c>
      <c r="E308" s="2">
        <v>0</v>
      </c>
      <c r="F308" s="2">
        <v>33392.53</v>
      </c>
      <c r="G308" s="2">
        <v>11.77</v>
      </c>
      <c r="H308" s="2">
        <v>21843.8</v>
      </c>
      <c r="I308" s="2">
        <v>0</v>
      </c>
      <c r="J308" s="2">
        <v>0</v>
      </c>
      <c r="K308" s="2">
        <v>-36460.15</v>
      </c>
      <c r="L308" s="2">
        <v>0</v>
      </c>
      <c r="M308" s="2">
        <v>0</v>
      </c>
      <c r="N308" s="2">
        <v>0</v>
      </c>
      <c r="O308" s="3">
        <f t="shared" si="5"/>
        <v>18787.94999999999</v>
      </c>
    </row>
    <row r="309" spans="1:15" x14ac:dyDescent="0.2">
      <c r="A309" s="5">
        <v>2365</v>
      </c>
      <c r="B309" s="5">
        <v>1</v>
      </c>
      <c r="C309" s="2" t="s">
        <v>306</v>
      </c>
      <c r="D309" s="2">
        <v>0</v>
      </c>
      <c r="E309" s="2">
        <v>0</v>
      </c>
      <c r="F309" s="2">
        <v>150758.15</v>
      </c>
      <c r="G309" s="2">
        <v>1584.22</v>
      </c>
      <c r="H309" s="2">
        <v>21774.080000000002</v>
      </c>
      <c r="I309" s="2">
        <v>0</v>
      </c>
      <c r="J309" s="2">
        <v>0</v>
      </c>
      <c r="K309" s="2">
        <v>-20.979999999999563</v>
      </c>
      <c r="L309" s="2">
        <v>0</v>
      </c>
      <c r="M309" s="2">
        <v>0</v>
      </c>
      <c r="N309" s="2">
        <v>0</v>
      </c>
      <c r="O309" s="3">
        <f t="shared" si="5"/>
        <v>174095.47</v>
      </c>
    </row>
    <row r="310" spans="1:15" x14ac:dyDescent="0.2">
      <c r="A310" s="5">
        <v>2396</v>
      </c>
      <c r="B310" s="5">
        <v>1</v>
      </c>
      <c r="C310" s="2" t="s">
        <v>307</v>
      </c>
      <c r="D310" s="2">
        <v>0</v>
      </c>
      <c r="E310" s="2">
        <v>0</v>
      </c>
      <c r="F310" s="2">
        <v>102338.72</v>
      </c>
      <c r="G310" s="2">
        <v>6520.58</v>
      </c>
      <c r="H310" s="2">
        <v>15637.5</v>
      </c>
      <c r="I310" s="2">
        <v>0</v>
      </c>
      <c r="J310" s="2">
        <v>0</v>
      </c>
      <c r="K310" s="2">
        <v>12055.26</v>
      </c>
      <c r="L310" s="2">
        <v>0</v>
      </c>
      <c r="M310" s="2">
        <v>0</v>
      </c>
      <c r="N310" s="2">
        <v>0</v>
      </c>
      <c r="O310" s="3">
        <f t="shared" si="5"/>
        <v>136552.06</v>
      </c>
    </row>
    <row r="311" spans="1:15" x14ac:dyDescent="0.2">
      <c r="A311" s="5">
        <v>2397</v>
      </c>
      <c r="B311" s="5">
        <v>1</v>
      </c>
      <c r="C311" s="2" t="s">
        <v>308</v>
      </c>
      <c r="D311" s="2">
        <v>0</v>
      </c>
      <c r="E311" s="2">
        <v>0</v>
      </c>
      <c r="F311" s="2">
        <v>75648.160000000003</v>
      </c>
      <c r="G311" s="2">
        <v>0</v>
      </c>
      <c r="H311" s="2">
        <v>25797.309999999998</v>
      </c>
      <c r="I311" s="2">
        <v>0</v>
      </c>
      <c r="J311" s="2">
        <v>0</v>
      </c>
      <c r="K311" s="2">
        <v>10289.450000000001</v>
      </c>
      <c r="L311" s="2">
        <v>0</v>
      </c>
      <c r="M311" s="2">
        <v>0</v>
      </c>
      <c r="N311" s="2">
        <v>0</v>
      </c>
      <c r="O311" s="3">
        <f t="shared" si="5"/>
        <v>111734.92</v>
      </c>
    </row>
    <row r="312" spans="1:15" x14ac:dyDescent="0.2">
      <c r="A312" s="5">
        <v>2448</v>
      </c>
      <c r="B312" s="5">
        <v>1</v>
      </c>
      <c r="C312" s="2" t="s">
        <v>309</v>
      </c>
      <c r="D312" s="2">
        <v>0</v>
      </c>
      <c r="E312" s="2">
        <v>0</v>
      </c>
      <c r="F312" s="2">
        <v>221365</v>
      </c>
      <c r="G312" s="2">
        <v>0</v>
      </c>
      <c r="H312" s="2">
        <v>23103.23</v>
      </c>
      <c r="I312" s="2">
        <v>0</v>
      </c>
      <c r="J312" s="2">
        <v>0</v>
      </c>
      <c r="K312" s="2">
        <v>55.809999999999491</v>
      </c>
      <c r="L312" s="2">
        <v>0</v>
      </c>
      <c r="M312" s="2">
        <v>0</v>
      </c>
      <c r="N312" s="2">
        <v>0</v>
      </c>
      <c r="O312" s="3">
        <f t="shared" si="5"/>
        <v>244524.04</v>
      </c>
    </row>
    <row r="313" spans="1:15" x14ac:dyDescent="0.2">
      <c r="A313" s="5">
        <v>2527</v>
      </c>
      <c r="B313" s="5">
        <v>1</v>
      </c>
      <c r="C313" s="2" t="s">
        <v>310</v>
      </c>
      <c r="D313" s="2">
        <v>0</v>
      </c>
      <c r="E313" s="2">
        <v>0</v>
      </c>
      <c r="F313" s="2">
        <v>61388.37</v>
      </c>
      <c r="G313" s="2">
        <v>0</v>
      </c>
      <c r="H313" s="2">
        <v>32599.15</v>
      </c>
      <c r="I313" s="2">
        <v>0</v>
      </c>
      <c r="J313" s="2">
        <v>0</v>
      </c>
      <c r="K313" s="2">
        <v>9407</v>
      </c>
      <c r="L313" s="2">
        <v>0</v>
      </c>
      <c r="M313" s="2">
        <v>0</v>
      </c>
      <c r="N313" s="2">
        <v>0</v>
      </c>
      <c r="O313" s="3">
        <f t="shared" si="5"/>
        <v>103394.52</v>
      </c>
    </row>
    <row r="314" spans="1:15" x14ac:dyDescent="0.2">
      <c r="A314" s="5">
        <v>2534</v>
      </c>
      <c r="B314" s="5">
        <v>1</v>
      </c>
      <c r="C314" s="2" t="s">
        <v>311</v>
      </c>
      <c r="D314" s="2">
        <v>0</v>
      </c>
      <c r="E314" s="2">
        <v>0</v>
      </c>
      <c r="F314" s="2">
        <v>96802.28</v>
      </c>
      <c r="G314" s="2">
        <v>0</v>
      </c>
      <c r="H314" s="2">
        <v>20978.01</v>
      </c>
      <c r="I314" s="2">
        <v>0</v>
      </c>
      <c r="J314" s="2">
        <v>0</v>
      </c>
      <c r="K314" s="2">
        <v>8118.8700000000008</v>
      </c>
      <c r="L314" s="2">
        <v>0</v>
      </c>
      <c r="M314" s="2">
        <v>0</v>
      </c>
      <c r="N314" s="2">
        <v>0</v>
      </c>
      <c r="O314" s="3">
        <f t="shared" si="5"/>
        <v>125899.15999999999</v>
      </c>
    </row>
    <row r="315" spans="1:15" x14ac:dyDescent="0.2">
      <c r="A315" s="5">
        <v>2536</v>
      </c>
      <c r="B315" s="5">
        <v>1</v>
      </c>
      <c r="C315" s="2" t="s">
        <v>312</v>
      </c>
      <c r="D315" s="2">
        <v>0</v>
      </c>
      <c r="E315" s="2">
        <v>0</v>
      </c>
      <c r="F315" s="2">
        <v>112538.9</v>
      </c>
      <c r="G315" s="2">
        <v>0</v>
      </c>
      <c r="H315" s="2">
        <v>0</v>
      </c>
      <c r="I315" s="2">
        <v>0</v>
      </c>
      <c r="J315" s="2">
        <v>0</v>
      </c>
      <c r="K315" s="2">
        <v>9735.73</v>
      </c>
      <c r="L315" s="2">
        <v>0</v>
      </c>
      <c r="M315" s="2">
        <v>0</v>
      </c>
      <c r="N315" s="2">
        <v>0</v>
      </c>
      <c r="O315" s="3">
        <f t="shared" si="5"/>
        <v>122274.62999999999</v>
      </c>
    </row>
    <row r="316" spans="1:15" x14ac:dyDescent="0.2">
      <c r="A316" s="5">
        <v>2580</v>
      </c>
      <c r="B316" s="5">
        <v>1</v>
      </c>
      <c r="C316" s="2" t="s">
        <v>313</v>
      </c>
      <c r="D316" s="2">
        <v>0</v>
      </c>
      <c r="E316" s="2">
        <v>0</v>
      </c>
      <c r="F316" s="2">
        <v>47527.08</v>
      </c>
      <c r="G316" s="2">
        <v>0</v>
      </c>
      <c r="H316" s="2">
        <v>17378.14</v>
      </c>
      <c r="I316" s="2">
        <v>0</v>
      </c>
      <c r="J316" s="2">
        <v>0</v>
      </c>
      <c r="K316" s="2">
        <v>29222.04</v>
      </c>
      <c r="L316" s="2">
        <v>0</v>
      </c>
      <c r="M316" s="2">
        <v>0</v>
      </c>
      <c r="N316" s="2">
        <v>0</v>
      </c>
      <c r="O316" s="3">
        <f t="shared" si="5"/>
        <v>94127.260000000009</v>
      </c>
    </row>
    <row r="317" spans="1:15" x14ac:dyDescent="0.2">
      <c r="A317" s="5">
        <v>2609</v>
      </c>
      <c r="B317" s="5">
        <v>1</v>
      </c>
      <c r="C317" s="2" t="s">
        <v>314</v>
      </c>
      <c r="D317" s="2">
        <v>0</v>
      </c>
      <c r="E317" s="2">
        <v>0</v>
      </c>
      <c r="F317" s="2">
        <v>16182.82</v>
      </c>
      <c r="G317" s="2">
        <v>2194.98</v>
      </c>
      <c r="H317" s="2">
        <v>10705.6</v>
      </c>
      <c r="I317" s="2">
        <v>0</v>
      </c>
      <c r="J317" s="2">
        <v>0</v>
      </c>
      <c r="K317" s="2">
        <v>1116.73</v>
      </c>
      <c r="L317" s="2">
        <v>0</v>
      </c>
      <c r="M317" s="2">
        <v>0</v>
      </c>
      <c r="N317" s="2">
        <v>0</v>
      </c>
      <c r="O317" s="3">
        <f t="shared" si="5"/>
        <v>30200.13</v>
      </c>
    </row>
    <row r="318" spans="1:15" x14ac:dyDescent="0.2">
      <c r="A318" s="5">
        <v>2683</v>
      </c>
      <c r="B318" s="5">
        <v>1</v>
      </c>
      <c r="C318" s="2" t="s">
        <v>315</v>
      </c>
      <c r="D318" s="2">
        <v>0</v>
      </c>
      <c r="E318" s="2">
        <v>0</v>
      </c>
      <c r="F318" s="2">
        <v>57512.51</v>
      </c>
      <c r="G318" s="2">
        <v>0</v>
      </c>
      <c r="H318" s="2">
        <v>11090.29</v>
      </c>
      <c r="I318" s="2">
        <v>0</v>
      </c>
      <c r="J318" s="2">
        <v>0</v>
      </c>
      <c r="K318" s="2">
        <v>1030.8399999999999</v>
      </c>
      <c r="L318" s="2">
        <v>0</v>
      </c>
      <c r="M318" s="2">
        <v>0</v>
      </c>
      <c r="N318" s="2">
        <v>0</v>
      </c>
      <c r="O318" s="3">
        <f t="shared" si="5"/>
        <v>69633.64</v>
      </c>
    </row>
    <row r="319" spans="1:15" x14ac:dyDescent="0.2">
      <c r="A319" s="5">
        <v>2687</v>
      </c>
      <c r="B319" s="5">
        <v>1</v>
      </c>
      <c r="C319" s="2" t="s">
        <v>316</v>
      </c>
      <c r="D319" s="2">
        <v>0</v>
      </c>
      <c r="E319" s="2">
        <v>0</v>
      </c>
      <c r="F319" s="2">
        <v>128380.69</v>
      </c>
      <c r="G319" s="2">
        <v>0</v>
      </c>
      <c r="H319" s="2">
        <v>22083.200000000001</v>
      </c>
      <c r="I319" s="2">
        <v>0</v>
      </c>
      <c r="J319" s="2">
        <v>0</v>
      </c>
      <c r="K319" s="2">
        <v>6244.15</v>
      </c>
      <c r="L319" s="2">
        <v>0</v>
      </c>
      <c r="M319" s="2">
        <v>0</v>
      </c>
      <c r="N319" s="2">
        <v>0</v>
      </c>
      <c r="O319" s="3">
        <f t="shared" ref="O319:O340" si="6">SUM(D319:N319)</f>
        <v>156708.04</v>
      </c>
    </row>
    <row r="320" spans="1:15" x14ac:dyDescent="0.2">
      <c r="A320" s="5">
        <v>2689</v>
      </c>
      <c r="B320" s="5">
        <v>1</v>
      </c>
      <c r="C320" s="2" t="s">
        <v>317</v>
      </c>
      <c r="D320" s="2">
        <v>0</v>
      </c>
      <c r="E320" s="2">
        <v>0</v>
      </c>
      <c r="F320" s="2">
        <v>41180.28</v>
      </c>
      <c r="G320" s="2">
        <v>0</v>
      </c>
      <c r="H320" s="2">
        <v>19742.09</v>
      </c>
      <c r="I320" s="2">
        <v>0</v>
      </c>
      <c r="J320" s="2">
        <v>0</v>
      </c>
      <c r="K320" s="2">
        <v>14131.779999999999</v>
      </c>
      <c r="L320" s="2">
        <v>0</v>
      </c>
      <c r="M320" s="2">
        <v>0</v>
      </c>
      <c r="N320" s="2">
        <v>0</v>
      </c>
      <c r="O320" s="3">
        <f t="shared" si="6"/>
        <v>75054.149999999994</v>
      </c>
    </row>
    <row r="321" spans="1:15" x14ac:dyDescent="0.2">
      <c r="A321" s="5">
        <v>2711</v>
      </c>
      <c r="B321" s="5">
        <v>1</v>
      </c>
      <c r="C321" s="2" t="s">
        <v>318</v>
      </c>
      <c r="D321" s="2">
        <v>0</v>
      </c>
      <c r="E321" s="2">
        <v>0</v>
      </c>
      <c r="F321" s="2">
        <v>76000.399999999994</v>
      </c>
      <c r="G321" s="2">
        <v>7178.43</v>
      </c>
      <c r="H321" s="2">
        <v>20182</v>
      </c>
      <c r="I321" s="2">
        <v>322454.40000000002</v>
      </c>
      <c r="J321" s="2">
        <v>0</v>
      </c>
      <c r="K321" s="2">
        <v>36929.94</v>
      </c>
      <c r="L321" s="2">
        <v>0</v>
      </c>
      <c r="M321" s="2">
        <v>0</v>
      </c>
      <c r="N321" s="2">
        <v>0</v>
      </c>
      <c r="O321" s="3">
        <f t="shared" si="6"/>
        <v>462745.17</v>
      </c>
    </row>
    <row r="322" spans="1:15" x14ac:dyDescent="0.2">
      <c r="A322" s="5">
        <v>2752</v>
      </c>
      <c r="B322" s="5">
        <v>1</v>
      </c>
      <c r="C322" s="2" t="s">
        <v>319</v>
      </c>
      <c r="D322" s="2">
        <v>0</v>
      </c>
      <c r="E322" s="2">
        <v>0</v>
      </c>
      <c r="F322" s="2">
        <v>54445.41</v>
      </c>
      <c r="G322" s="2">
        <v>0</v>
      </c>
      <c r="H322" s="2">
        <v>41360.339999999997</v>
      </c>
      <c r="I322" s="2">
        <v>0</v>
      </c>
      <c r="J322" s="2">
        <v>0</v>
      </c>
      <c r="K322" s="2">
        <v>27543.54</v>
      </c>
      <c r="L322" s="2">
        <v>0</v>
      </c>
      <c r="M322" s="2">
        <v>0</v>
      </c>
      <c r="N322" s="2">
        <v>0</v>
      </c>
      <c r="O322" s="3">
        <f t="shared" si="6"/>
        <v>123349.29000000001</v>
      </c>
    </row>
    <row r="323" spans="1:15" x14ac:dyDescent="0.2">
      <c r="A323" s="5">
        <v>2753</v>
      </c>
      <c r="B323" s="5">
        <v>1</v>
      </c>
      <c r="C323" s="2" t="s">
        <v>320</v>
      </c>
      <c r="D323" s="2">
        <v>0</v>
      </c>
      <c r="E323" s="2">
        <v>0</v>
      </c>
      <c r="F323" s="2">
        <v>61420.61</v>
      </c>
      <c r="G323" s="2">
        <v>0</v>
      </c>
      <c r="H323" s="2">
        <v>74078.570000000007</v>
      </c>
      <c r="I323" s="2">
        <v>0</v>
      </c>
      <c r="J323" s="2">
        <v>0</v>
      </c>
      <c r="K323" s="2">
        <v>45045.1</v>
      </c>
      <c r="L323" s="2">
        <v>0</v>
      </c>
      <c r="M323" s="2">
        <v>0</v>
      </c>
      <c r="N323" s="2">
        <v>0</v>
      </c>
      <c r="O323" s="3">
        <f t="shared" si="6"/>
        <v>180544.28</v>
      </c>
    </row>
    <row r="324" spans="1:15" x14ac:dyDescent="0.2">
      <c r="A324" s="5">
        <v>2754</v>
      </c>
      <c r="B324" s="5">
        <v>1</v>
      </c>
      <c r="C324" s="2" t="s">
        <v>321</v>
      </c>
      <c r="D324" s="2">
        <v>0</v>
      </c>
      <c r="E324" s="2">
        <v>0</v>
      </c>
      <c r="F324" s="2">
        <v>98018.3</v>
      </c>
      <c r="G324" s="2">
        <v>8095.57</v>
      </c>
      <c r="H324" s="2">
        <v>8425.6</v>
      </c>
      <c r="I324" s="2">
        <v>0</v>
      </c>
      <c r="J324" s="2">
        <v>0</v>
      </c>
      <c r="K324" s="2">
        <v>658.02</v>
      </c>
      <c r="L324" s="2">
        <v>0</v>
      </c>
      <c r="M324" s="2">
        <v>0</v>
      </c>
      <c r="N324" s="2">
        <v>0</v>
      </c>
      <c r="O324" s="3">
        <f t="shared" si="6"/>
        <v>115197.49</v>
      </c>
    </row>
    <row r="325" spans="1:15" x14ac:dyDescent="0.2">
      <c r="A325" s="5">
        <v>2759</v>
      </c>
      <c r="B325" s="5">
        <v>1</v>
      </c>
      <c r="C325" s="2" t="s">
        <v>322</v>
      </c>
      <c r="D325" s="2">
        <v>0</v>
      </c>
      <c r="E325" s="2">
        <v>0</v>
      </c>
      <c r="F325" s="2">
        <v>12843.72</v>
      </c>
      <c r="G325" s="2">
        <v>0</v>
      </c>
      <c r="H325" s="2">
        <v>21922.79</v>
      </c>
      <c r="I325" s="2">
        <v>0</v>
      </c>
      <c r="J325" s="2">
        <v>0</v>
      </c>
      <c r="K325" s="2">
        <v>31261.75</v>
      </c>
      <c r="L325" s="2">
        <v>0</v>
      </c>
      <c r="M325" s="2">
        <v>0</v>
      </c>
      <c r="N325" s="2">
        <v>0</v>
      </c>
      <c r="O325" s="3">
        <f t="shared" si="6"/>
        <v>66028.260000000009</v>
      </c>
    </row>
    <row r="326" spans="1:15" x14ac:dyDescent="0.2">
      <c r="A326" s="5">
        <v>2805</v>
      </c>
      <c r="B326" s="5">
        <v>1</v>
      </c>
      <c r="C326" s="2" t="s">
        <v>323</v>
      </c>
      <c r="D326" s="2">
        <v>0</v>
      </c>
      <c r="E326" s="2">
        <v>0</v>
      </c>
      <c r="F326" s="2">
        <v>152693.4</v>
      </c>
      <c r="G326" s="2">
        <v>0</v>
      </c>
      <c r="H326" s="2">
        <v>23512.65</v>
      </c>
      <c r="I326" s="2">
        <v>0</v>
      </c>
      <c r="J326" s="2">
        <v>0</v>
      </c>
      <c r="K326" s="2">
        <v>0</v>
      </c>
      <c r="L326" s="2">
        <v>0</v>
      </c>
      <c r="M326" s="2">
        <v>0</v>
      </c>
      <c r="N326" s="2">
        <v>0</v>
      </c>
      <c r="O326" s="3">
        <f t="shared" si="6"/>
        <v>176206.05</v>
      </c>
    </row>
    <row r="327" spans="1:15" x14ac:dyDescent="0.2">
      <c r="A327" s="5">
        <v>2835</v>
      </c>
      <c r="B327" s="5">
        <v>1</v>
      </c>
      <c r="C327" s="2" t="s">
        <v>324</v>
      </c>
      <c r="D327" s="2">
        <v>0</v>
      </c>
      <c r="E327" s="2">
        <v>0</v>
      </c>
      <c r="F327" s="2">
        <v>161255.4</v>
      </c>
      <c r="G327" s="2">
        <v>0</v>
      </c>
      <c r="H327" s="2">
        <v>18672.36</v>
      </c>
      <c r="I327" s="2">
        <v>0</v>
      </c>
      <c r="J327" s="2">
        <v>0</v>
      </c>
      <c r="K327" s="2">
        <v>477.95000000000073</v>
      </c>
      <c r="L327" s="2">
        <v>0</v>
      </c>
      <c r="M327" s="2">
        <v>0</v>
      </c>
      <c r="N327" s="2">
        <v>0</v>
      </c>
      <c r="O327" s="3">
        <f t="shared" si="6"/>
        <v>180405.71000000002</v>
      </c>
    </row>
    <row r="328" spans="1:15" x14ac:dyDescent="0.2">
      <c r="A328" s="5">
        <v>2853</v>
      </c>
      <c r="B328" s="5">
        <v>1</v>
      </c>
      <c r="C328" s="2" t="s">
        <v>325</v>
      </c>
      <c r="D328" s="2">
        <v>0</v>
      </c>
      <c r="E328" s="2">
        <v>0</v>
      </c>
      <c r="F328" s="2">
        <v>88378.21</v>
      </c>
      <c r="G328" s="2">
        <v>642.47</v>
      </c>
      <c r="H328" s="2">
        <v>30047.08</v>
      </c>
      <c r="I328" s="2">
        <v>0</v>
      </c>
      <c r="J328" s="2">
        <v>0</v>
      </c>
      <c r="K328" s="2">
        <v>6896.23</v>
      </c>
      <c r="L328" s="2">
        <v>0</v>
      </c>
      <c r="M328" s="2">
        <v>0</v>
      </c>
      <c r="N328" s="2">
        <v>0</v>
      </c>
      <c r="O328" s="3">
        <f t="shared" si="6"/>
        <v>125963.99</v>
      </c>
    </row>
    <row r="329" spans="1:15" x14ac:dyDescent="0.2">
      <c r="A329" s="5">
        <v>2854</v>
      </c>
      <c r="B329" s="5">
        <v>1</v>
      </c>
      <c r="C329" s="2" t="s">
        <v>326</v>
      </c>
      <c r="D329" s="2">
        <v>0</v>
      </c>
      <c r="E329" s="2">
        <v>0</v>
      </c>
      <c r="F329" s="2">
        <v>40913.339999999997</v>
      </c>
      <c r="G329" s="2">
        <v>0</v>
      </c>
      <c r="H329" s="2">
        <v>97</v>
      </c>
      <c r="I329" s="2">
        <v>0</v>
      </c>
      <c r="J329" s="2">
        <v>-2000</v>
      </c>
      <c r="K329" s="2">
        <v>2000</v>
      </c>
      <c r="L329" s="2">
        <v>0</v>
      </c>
      <c r="M329" s="2">
        <v>0</v>
      </c>
      <c r="N329" s="2">
        <v>0</v>
      </c>
      <c r="O329" s="3">
        <f t="shared" si="6"/>
        <v>41010.339999999997</v>
      </c>
    </row>
    <row r="330" spans="1:15" x14ac:dyDescent="0.2">
      <c r="A330" s="5">
        <v>2856</v>
      </c>
      <c r="B330" s="5">
        <v>1</v>
      </c>
      <c r="C330" s="2" t="s">
        <v>327</v>
      </c>
      <c r="D330" s="2">
        <v>0</v>
      </c>
      <c r="E330" s="2">
        <v>0</v>
      </c>
      <c r="F330" s="2">
        <v>122060.62</v>
      </c>
      <c r="G330" s="2">
        <v>2021.24</v>
      </c>
      <c r="H330" s="2">
        <v>10000</v>
      </c>
      <c r="I330" s="2">
        <v>0</v>
      </c>
      <c r="J330" s="2">
        <v>0</v>
      </c>
      <c r="K330" s="2">
        <v>950.53000000000065</v>
      </c>
      <c r="L330" s="2">
        <v>0</v>
      </c>
      <c r="M330" s="2">
        <v>0</v>
      </c>
      <c r="N330" s="2">
        <v>0</v>
      </c>
      <c r="O330" s="3">
        <f t="shared" si="6"/>
        <v>135032.38999999998</v>
      </c>
    </row>
    <row r="331" spans="1:15" x14ac:dyDescent="0.2">
      <c r="A331" s="5">
        <v>2859</v>
      </c>
      <c r="B331" s="5">
        <v>1</v>
      </c>
      <c r="C331" s="2" t="s">
        <v>328</v>
      </c>
      <c r="D331" s="2">
        <v>0</v>
      </c>
      <c r="E331" s="2">
        <v>0</v>
      </c>
      <c r="F331" s="2">
        <v>168353.22</v>
      </c>
      <c r="G331" s="2">
        <v>3949.77</v>
      </c>
      <c r="H331" s="2">
        <v>34842.400000000001</v>
      </c>
      <c r="I331" s="2">
        <v>0</v>
      </c>
      <c r="J331" s="2">
        <v>0</v>
      </c>
      <c r="K331" s="2">
        <v>41215.06</v>
      </c>
      <c r="L331" s="2">
        <v>0</v>
      </c>
      <c r="M331" s="2">
        <v>0</v>
      </c>
      <c r="N331" s="2">
        <v>0</v>
      </c>
      <c r="O331" s="3">
        <f t="shared" si="6"/>
        <v>248360.44999999998</v>
      </c>
    </row>
    <row r="332" spans="1:15" x14ac:dyDescent="0.2">
      <c r="A332" s="5">
        <v>2860</v>
      </c>
      <c r="B332" s="5">
        <v>1</v>
      </c>
      <c r="C332" s="2" t="s">
        <v>329</v>
      </c>
      <c r="D332" s="2">
        <v>0</v>
      </c>
      <c r="E332" s="2">
        <v>0</v>
      </c>
      <c r="F332" s="2">
        <v>161661.34</v>
      </c>
      <c r="G332" s="2">
        <v>0</v>
      </c>
      <c r="H332" s="2">
        <v>0</v>
      </c>
      <c r="I332" s="2">
        <v>0</v>
      </c>
      <c r="J332" s="2">
        <v>0</v>
      </c>
      <c r="K332" s="2">
        <v>355.3</v>
      </c>
      <c r="L332" s="2">
        <v>0</v>
      </c>
      <c r="M332" s="2">
        <v>0</v>
      </c>
      <c r="N332" s="2">
        <v>0</v>
      </c>
      <c r="O332" s="3">
        <f t="shared" si="6"/>
        <v>162016.63999999998</v>
      </c>
    </row>
    <row r="333" spans="1:15" x14ac:dyDescent="0.2">
      <c r="A333" s="5">
        <v>2884</v>
      </c>
      <c r="B333" s="5">
        <v>1</v>
      </c>
      <c r="C333" s="2" t="s">
        <v>330</v>
      </c>
      <c r="D333" s="2">
        <v>0</v>
      </c>
      <c r="E333" s="2">
        <v>0</v>
      </c>
      <c r="F333" s="2">
        <v>56094.94</v>
      </c>
      <c r="G333" s="2">
        <v>16313.15</v>
      </c>
      <c r="H333" s="2">
        <v>0</v>
      </c>
      <c r="I333" s="2">
        <v>0</v>
      </c>
      <c r="J333" s="2">
        <v>0</v>
      </c>
      <c r="K333" s="2">
        <v>2100</v>
      </c>
      <c r="L333" s="2">
        <v>0</v>
      </c>
      <c r="M333" s="2">
        <v>0</v>
      </c>
      <c r="N333" s="2">
        <v>0</v>
      </c>
      <c r="O333" s="3">
        <f t="shared" si="6"/>
        <v>74508.09</v>
      </c>
    </row>
    <row r="334" spans="1:15" x14ac:dyDescent="0.2">
      <c r="A334" s="5">
        <v>2886</v>
      </c>
      <c r="B334" s="5">
        <v>1</v>
      </c>
      <c r="C334" s="2" t="s">
        <v>331</v>
      </c>
      <c r="D334" s="2">
        <v>0</v>
      </c>
      <c r="E334" s="2">
        <v>0</v>
      </c>
      <c r="F334" s="2">
        <v>122081.61</v>
      </c>
      <c r="G334" s="2">
        <v>519.49</v>
      </c>
      <c r="H334" s="2">
        <v>3234.2</v>
      </c>
      <c r="I334" s="2">
        <v>0</v>
      </c>
      <c r="J334" s="2">
        <v>0</v>
      </c>
      <c r="K334" s="2">
        <v>20720.489999999998</v>
      </c>
      <c r="L334" s="2">
        <v>0</v>
      </c>
      <c r="M334" s="2">
        <v>0</v>
      </c>
      <c r="N334" s="2">
        <v>0</v>
      </c>
      <c r="O334" s="3">
        <f t="shared" si="6"/>
        <v>146555.79</v>
      </c>
    </row>
    <row r="335" spans="1:15" x14ac:dyDescent="0.2">
      <c r="A335" s="5">
        <v>2888</v>
      </c>
      <c r="B335" s="5">
        <v>1</v>
      </c>
      <c r="C335" s="2" t="s">
        <v>332</v>
      </c>
      <c r="D335" s="2">
        <v>0</v>
      </c>
      <c r="E335" s="2">
        <v>0</v>
      </c>
      <c r="F335" s="2">
        <v>38564.47</v>
      </c>
      <c r="G335" s="2">
        <v>5805.07</v>
      </c>
      <c r="H335" s="2">
        <v>10218.49</v>
      </c>
      <c r="I335" s="2">
        <v>0</v>
      </c>
      <c r="J335" s="2">
        <v>0</v>
      </c>
      <c r="K335" s="2">
        <v>1586.17</v>
      </c>
      <c r="L335" s="2">
        <v>0</v>
      </c>
      <c r="M335" s="2">
        <v>0</v>
      </c>
      <c r="N335" s="2">
        <v>0</v>
      </c>
      <c r="O335" s="3">
        <f t="shared" si="6"/>
        <v>56174.2</v>
      </c>
    </row>
    <row r="336" spans="1:15" x14ac:dyDescent="0.2">
      <c r="A336" s="5">
        <v>2889</v>
      </c>
      <c r="B336" s="5">
        <v>1</v>
      </c>
      <c r="C336" s="2" t="s">
        <v>333</v>
      </c>
      <c r="D336" s="2">
        <v>0</v>
      </c>
      <c r="E336" s="2">
        <v>0</v>
      </c>
      <c r="F336" s="2">
        <v>70465.440000000002</v>
      </c>
      <c r="G336" s="2">
        <v>11121.56</v>
      </c>
      <c r="H336" s="2">
        <v>13494.12</v>
      </c>
      <c r="I336" s="2">
        <v>0</v>
      </c>
      <c r="J336" s="2">
        <v>0</v>
      </c>
      <c r="K336" s="2">
        <v>9967.98</v>
      </c>
      <c r="L336" s="2">
        <v>0</v>
      </c>
      <c r="M336" s="2">
        <v>0</v>
      </c>
      <c r="N336" s="2">
        <v>0</v>
      </c>
      <c r="O336" s="3">
        <f t="shared" si="6"/>
        <v>105049.09999999999</v>
      </c>
    </row>
    <row r="337" spans="1:15" x14ac:dyDescent="0.2">
      <c r="A337" s="5">
        <v>2890</v>
      </c>
      <c r="B337" s="5">
        <v>1</v>
      </c>
      <c r="C337" s="2" t="s">
        <v>334</v>
      </c>
      <c r="D337" s="2">
        <v>0</v>
      </c>
      <c r="E337" s="2">
        <v>0</v>
      </c>
      <c r="F337" s="2">
        <v>202355.05</v>
      </c>
      <c r="G337" s="2">
        <v>0</v>
      </c>
      <c r="H337" s="2">
        <v>13037.38</v>
      </c>
      <c r="I337" s="2">
        <v>0</v>
      </c>
      <c r="J337" s="2">
        <v>0</v>
      </c>
      <c r="K337" s="2">
        <v>452.42000000000007</v>
      </c>
      <c r="L337" s="2">
        <v>0</v>
      </c>
      <c r="M337" s="2">
        <v>0</v>
      </c>
      <c r="N337" s="2">
        <v>0</v>
      </c>
      <c r="O337" s="3">
        <f t="shared" si="6"/>
        <v>215844.85</v>
      </c>
    </row>
    <row r="338" spans="1:15" x14ac:dyDescent="0.2">
      <c r="A338" s="5">
        <v>2895</v>
      </c>
      <c r="B338" s="5">
        <v>1</v>
      </c>
      <c r="C338" s="2" t="s">
        <v>335</v>
      </c>
      <c r="D338" s="2">
        <v>0</v>
      </c>
      <c r="E338" s="2">
        <v>0</v>
      </c>
      <c r="F338" s="2">
        <v>40827.550000000003</v>
      </c>
      <c r="G338" s="2">
        <v>13469.21</v>
      </c>
      <c r="H338" s="2">
        <v>21031.050000000003</v>
      </c>
      <c r="I338" s="2">
        <v>0</v>
      </c>
      <c r="J338" s="2">
        <v>0</v>
      </c>
      <c r="K338" s="2">
        <v>5324.12</v>
      </c>
      <c r="L338" s="2">
        <v>0</v>
      </c>
      <c r="M338" s="2">
        <v>0</v>
      </c>
      <c r="N338" s="2">
        <v>0</v>
      </c>
      <c r="O338" s="3">
        <f t="shared" si="6"/>
        <v>80651.929999999993</v>
      </c>
    </row>
    <row r="339" spans="1:15" x14ac:dyDescent="0.2">
      <c r="A339" s="5">
        <v>2897</v>
      </c>
      <c r="B339" s="5">
        <v>1</v>
      </c>
      <c r="C339" s="2" t="s">
        <v>336</v>
      </c>
      <c r="D339" s="2">
        <v>0</v>
      </c>
      <c r="E339" s="2">
        <v>0</v>
      </c>
      <c r="F339" s="2">
        <v>0</v>
      </c>
      <c r="G339" s="2">
        <v>0</v>
      </c>
      <c r="H339" s="2">
        <v>0</v>
      </c>
      <c r="I339" s="2">
        <v>0</v>
      </c>
      <c r="J339" s="2">
        <v>-5000</v>
      </c>
      <c r="K339" s="2">
        <v>10342.83</v>
      </c>
      <c r="L339" s="2">
        <v>0</v>
      </c>
      <c r="M339" s="2">
        <v>0</v>
      </c>
      <c r="N339" s="2">
        <v>0</v>
      </c>
      <c r="O339" s="3">
        <f t="shared" si="6"/>
        <v>5342.83</v>
      </c>
    </row>
    <row r="340" spans="1:15" x14ac:dyDescent="0.2">
      <c r="A340" s="5">
        <v>2898</v>
      </c>
      <c r="B340" s="5">
        <v>1</v>
      </c>
      <c r="C340" s="2" t="s">
        <v>337</v>
      </c>
      <c r="D340" s="2">
        <v>0</v>
      </c>
      <c r="E340" s="2">
        <v>0</v>
      </c>
      <c r="F340" s="2">
        <v>115844.14</v>
      </c>
      <c r="G340" s="2">
        <v>0</v>
      </c>
      <c r="H340" s="2">
        <v>504</v>
      </c>
      <c r="I340" s="2">
        <v>0</v>
      </c>
      <c r="J340" s="2">
        <v>0</v>
      </c>
      <c r="K340" s="2">
        <v>1181.33</v>
      </c>
      <c r="L340" s="2">
        <v>0</v>
      </c>
      <c r="M340" s="2">
        <v>0</v>
      </c>
      <c r="N340" s="2">
        <v>0</v>
      </c>
      <c r="O340" s="3">
        <f t="shared" si="6"/>
        <v>117529.47</v>
      </c>
    </row>
    <row r="341" spans="1:15" x14ac:dyDescent="0.2">
      <c r="A341" s="5">
        <v>2899</v>
      </c>
      <c r="B341" s="5">
        <v>1</v>
      </c>
      <c r="C341" s="2" t="s">
        <v>503</v>
      </c>
      <c r="D341" s="2">
        <v>0</v>
      </c>
      <c r="E341" s="2">
        <v>0</v>
      </c>
      <c r="F341" s="2">
        <v>24224.82</v>
      </c>
      <c r="G341" s="2">
        <v>0</v>
      </c>
      <c r="H341" s="2">
        <v>31630.400000000001</v>
      </c>
      <c r="I341" s="2">
        <v>0</v>
      </c>
      <c r="J341" s="2">
        <v>0</v>
      </c>
      <c r="K341" s="2">
        <v>4611.8100000000004</v>
      </c>
      <c r="L341" s="2">
        <v>0</v>
      </c>
      <c r="M341" s="2">
        <v>0</v>
      </c>
      <c r="N341" s="2">
        <v>0</v>
      </c>
      <c r="O341" s="3">
        <f>SUM(D341:N341)</f>
        <v>60467.03</v>
      </c>
    </row>
    <row r="342" spans="1:15" x14ac:dyDescent="0.2">
      <c r="A342" s="5">
        <v>2902</v>
      </c>
      <c r="B342" s="5">
        <v>1</v>
      </c>
      <c r="C342" s="2" t="s">
        <v>502</v>
      </c>
      <c r="D342" s="2">
        <v>0</v>
      </c>
      <c r="E342" s="2">
        <v>0</v>
      </c>
      <c r="F342" s="2">
        <v>56182.83</v>
      </c>
      <c r="G342" s="2">
        <v>479.17</v>
      </c>
      <c r="H342" s="2">
        <v>12531.2</v>
      </c>
      <c r="I342" s="2">
        <v>0</v>
      </c>
      <c r="J342" s="2">
        <v>-3888.97</v>
      </c>
      <c r="K342" s="2">
        <v>-2309.3100000000004</v>
      </c>
      <c r="L342" s="2">
        <v>0</v>
      </c>
      <c r="M342" s="2">
        <v>0</v>
      </c>
      <c r="N342" s="2">
        <v>0</v>
      </c>
      <c r="O342" s="3">
        <f>SUM(D342:N342)</f>
        <v>62994.92</v>
      </c>
    </row>
    <row r="343" spans="1:15" x14ac:dyDescent="0.2">
      <c r="A343" s="5">
        <v>2903</v>
      </c>
      <c r="B343" s="5">
        <v>1</v>
      </c>
      <c r="C343" s="2" t="s">
        <v>649</v>
      </c>
      <c r="D343" s="2">
        <v>0</v>
      </c>
      <c r="E343" s="2">
        <v>0</v>
      </c>
      <c r="F343" s="2">
        <v>78903.95</v>
      </c>
      <c r="G343" s="2">
        <v>0</v>
      </c>
      <c r="H343" s="2">
        <v>17446.849999999999</v>
      </c>
      <c r="I343" s="2">
        <v>0</v>
      </c>
      <c r="J343" s="2">
        <v>0</v>
      </c>
      <c r="K343" s="2">
        <v>0</v>
      </c>
      <c r="L343" s="2">
        <v>0</v>
      </c>
      <c r="M343" s="2">
        <v>0</v>
      </c>
      <c r="N343" s="2">
        <v>0</v>
      </c>
      <c r="O343" s="3">
        <f>SUM(D343:N343)</f>
        <v>96350.799999999988</v>
      </c>
    </row>
    <row r="344" spans="1:15" x14ac:dyDescent="0.2">
      <c r="A344" s="5">
        <v>2904</v>
      </c>
      <c r="B344" s="5">
        <v>1</v>
      </c>
      <c r="C344" s="2" t="s">
        <v>650</v>
      </c>
      <c r="D344" s="2">
        <v>0</v>
      </c>
      <c r="E344" s="2">
        <v>0</v>
      </c>
      <c r="F344" s="2">
        <v>99195.199999999997</v>
      </c>
      <c r="G344" s="2">
        <v>4004.21</v>
      </c>
      <c r="H344" s="2">
        <v>18378.79</v>
      </c>
      <c r="I344" s="2">
        <v>0</v>
      </c>
      <c r="J344" s="2">
        <v>0</v>
      </c>
      <c r="K344" s="2">
        <v>21652.82</v>
      </c>
      <c r="L344" s="2">
        <v>0</v>
      </c>
      <c r="M344" s="2">
        <v>0</v>
      </c>
      <c r="N344" s="2">
        <v>0</v>
      </c>
      <c r="O344" s="3">
        <f>SUM(D344:N344)</f>
        <v>143231.02000000002</v>
      </c>
    </row>
  </sheetData>
  <phoneticPr fontId="0" type="noConversion"/>
  <printOptions horizontalCentered="1"/>
  <pageMargins left="0.5" right="0.5" top="1" bottom="1" header="0.5" footer="0.5"/>
  <pageSetup scale="79" fitToHeight="0" orientation="landscape" r:id="rId1"/>
  <headerFooter alignWithMargins="0">
    <oddFooter>&amp;C&amp;P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D344"/>
  <sheetViews>
    <sheetView workbookViewId="0">
      <pane xSplit="3" ySplit="7" topLeftCell="P207" activePane="bottomRight" state="frozen"/>
      <selection pane="topRight" activeCell="D1" sqref="D1"/>
      <selection pane="bottomLeft" activeCell="A8" sqref="A8"/>
      <selection pane="bottomRight" activeCell="V209" sqref="V209"/>
    </sheetView>
  </sheetViews>
  <sheetFormatPr defaultRowHeight="11.25" x14ac:dyDescent="0.2"/>
  <cols>
    <col min="1" max="1" width="7" style="5" customWidth="1"/>
    <col min="2" max="2" width="6.83203125" style="5" customWidth="1"/>
    <col min="3" max="3" width="18.33203125" style="2" customWidth="1"/>
    <col min="4" max="4" width="15.33203125" style="3" customWidth="1"/>
    <col min="5" max="5" width="13.83203125" style="3" customWidth="1"/>
    <col min="6" max="6" width="16" style="21" customWidth="1"/>
    <col min="7" max="10" width="16" style="3" customWidth="1"/>
    <col min="11" max="13" width="17.6640625" style="3" customWidth="1"/>
    <col min="14" max="14" width="16.6640625" style="3" customWidth="1"/>
    <col min="15" max="15" width="16.6640625" style="154" customWidth="1"/>
    <col min="16" max="16" width="16.6640625" style="3" customWidth="1"/>
    <col min="17" max="17" width="15.1640625" style="3" bestFit="1" customWidth="1"/>
    <col min="18" max="22" width="14.83203125" style="3" customWidth="1"/>
    <col min="23" max="25" width="14.83203125" style="175" customWidth="1"/>
    <col min="26" max="26" width="13.33203125" style="2" customWidth="1"/>
    <col min="27" max="27" width="14.6640625" style="2" customWidth="1"/>
    <col min="28" max="28" width="13.83203125" style="2" bestFit="1" customWidth="1"/>
    <col min="29" max="29" width="11.33203125" style="2" customWidth="1"/>
    <col min="30" max="30" width="13" style="2" bestFit="1" customWidth="1"/>
    <col min="31" max="16384" width="9.33203125" style="2"/>
  </cols>
  <sheetData>
    <row r="1" spans="1:30" x14ac:dyDescent="0.2">
      <c r="A1" s="11" t="s">
        <v>492</v>
      </c>
      <c r="V1" s="144">
        <f>Report!I1</f>
        <v>40795</v>
      </c>
      <c r="W1" s="174"/>
      <c r="X1" s="174"/>
      <c r="Y1" s="174"/>
    </row>
    <row r="2" spans="1:30" x14ac:dyDescent="0.2">
      <c r="A2" s="162" t="str">
        <f>"Preliminary "&amp;Instructions!P2&amp;" credits"</f>
        <v>Preliminary Pay 2010 credits</v>
      </c>
    </row>
    <row r="3" spans="1:30" x14ac:dyDescent="0.2">
      <c r="A3" s="162" t="str">
        <f>Instructions!P1&amp;" Levy"</f>
        <v>Pay 2011 Levy</v>
      </c>
      <c r="B3" s="18"/>
      <c r="C3" s="3"/>
      <c r="D3" s="167" t="s">
        <v>695</v>
      </c>
      <c r="E3" s="167" t="s">
        <v>695</v>
      </c>
      <c r="F3" s="168" t="s">
        <v>696</v>
      </c>
      <c r="G3" s="167" t="s">
        <v>697</v>
      </c>
      <c r="H3" s="167" t="s">
        <v>698</v>
      </c>
      <c r="I3" s="167" t="s">
        <v>699</v>
      </c>
      <c r="J3" s="167" t="s">
        <v>700</v>
      </c>
      <c r="K3" s="167" t="s">
        <v>701</v>
      </c>
      <c r="L3" s="167" t="s">
        <v>702</v>
      </c>
      <c r="M3" s="167" t="s">
        <v>705</v>
      </c>
      <c r="N3" s="167" t="s">
        <v>703</v>
      </c>
    </row>
    <row r="4" spans="1:30" s="8" customFormat="1" ht="22.5" x14ac:dyDescent="0.2">
      <c r="A4" s="6"/>
      <c r="B4" s="6"/>
      <c r="D4" s="150" t="s">
        <v>691</v>
      </c>
      <c r="E4" s="150" t="s">
        <v>666</v>
      </c>
      <c r="F4" s="17" t="s">
        <v>652</v>
      </c>
      <c r="G4" s="169" t="s">
        <v>653</v>
      </c>
      <c r="H4" s="9" t="s">
        <v>654</v>
      </c>
      <c r="I4" s="169" t="s">
        <v>655</v>
      </c>
      <c r="J4" s="9" t="s">
        <v>656</v>
      </c>
      <c r="K4" s="9" t="s">
        <v>657</v>
      </c>
      <c r="L4" s="9" t="s">
        <v>658</v>
      </c>
      <c r="M4" s="9" t="s">
        <v>659</v>
      </c>
      <c r="N4" s="9" t="s">
        <v>660</v>
      </c>
      <c r="O4" s="155" t="s">
        <v>493</v>
      </c>
      <c r="P4" s="9" t="s">
        <v>491</v>
      </c>
      <c r="Q4" s="9" t="s">
        <v>488</v>
      </c>
      <c r="R4" s="9" t="s">
        <v>487</v>
      </c>
      <c r="S4" s="169" t="s">
        <v>706</v>
      </c>
      <c r="T4" s="169" t="s">
        <v>707</v>
      </c>
      <c r="U4" s="9" t="s">
        <v>489</v>
      </c>
      <c r="V4" s="9" t="s">
        <v>490</v>
      </c>
      <c r="W4" s="176" t="s">
        <v>708</v>
      </c>
      <c r="X4" s="176" t="s">
        <v>709</v>
      </c>
      <c r="Y4" s="176"/>
      <c r="Z4" s="8">
        <f>SUM(U6:X6)</f>
        <v>49396221.639999963</v>
      </c>
      <c r="AA4" s="8">
        <v>2286575.52</v>
      </c>
      <c r="AB4" s="8">
        <f>Z4-AA4</f>
        <v>47109646.11999996</v>
      </c>
      <c r="AC4" s="8">
        <f>E6-AB4</f>
        <v>28908513.230000049</v>
      </c>
    </row>
    <row r="6" spans="1:30" x14ac:dyDescent="0.2">
      <c r="C6" s="2" t="s">
        <v>347</v>
      </c>
      <c r="D6" s="3">
        <f>SUM(D8:D344)</f>
        <v>73730757.410000086</v>
      </c>
      <c r="E6" s="3">
        <f t="shared" ref="E6:AC6" si="0">SUM(E8:E344)</f>
        <v>76018159.350000009</v>
      </c>
      <c r="F6" s="21">
        <f t="shared" si="0"/>
        <v>734149608.63000047</v>
      </c>
      <c r="G6" s="3">
        <f t="shared" si="0"/>
        <v>100154820.76999995</v>
      </c>
      <c r="H6" s="3">
        <f t="shared" si="0"/>
        <v>40595498.219999999</v>
      </c>
      <c r="I6" s="3">
        <f t="shared" si="0"/>
        <v>428870309.60000002</v>
      </c>
      <c r="J6" s="3">
        <f t="shared" si="0"/>
        <v>73254627.609999985</v>
      </c>
      <c r="K6" s="3">
        <f>SUM(K8:K344)</f>
        <v>604375226.47000015</v>
      </c>
      <c r="L6" s="3">
        <f>SUM(L8:L344)</f>
        <v>199896159.84999993</v>
      </c>
      <c r="M6" s="3">
        <f>SUM(M8:M344)</f>
        <v>0</v>
      </c>
      <c r="N6" s="3">
        <f>SUM(N8:N344)</f>
        <v>59639647.830000006</v>
      </c>
      <c r="O6" s="154">
        <f t="shared" si="0"/>
        <v>2240935898.98</v>
      </c>
      <c r="P6" s="3">
        <f>SUM(P8:P344)</f>
        <v>1406631469.5800002</v>
      </c>
      <c r="Q6" s="3">
        <f>SUM(Q8:Q344)</f>
        <v>469465807.82000029</v>
      </c>
      <c r="R6" s="3">
        <f>SUM(R8:R344)</f>
        <v>73254627.609999985</v>
      </c>
      <c r="S6" s="3">
        <f>SUM(S8:S344)</f>
        <v>804271386.32000029</v>
      </c>
      <c r="T6" s="3">
        <f>SUM(T8:T344)</f>
        <v>59639647.830000006</v>
      </c>
      <c r="U6" s="3">
        <f t="shared" si="0"/>
        <v>0</v>
      </c>
      <c r="V6" s="3">
        <f t="shared" si="0"/>
        <v>0</v>
      </c>
      <c r="W6" s="175">
        <f t="shared" si="0"/>
        <v>45165060.029999964</v>
      </c>
      <c r="X6" s="175">
        <f t="shared" si="0"/>
        <v>4231161.6100000022</v>
      </c>
      <c r="Z6" s="3">
        <f t="shared" si="0"/>
        <v>24698981.500000015</v>
      </c>
      <c r="AA6" s="3">
        <f t="shared" si="0"/>
        <v>4143013.8400000012</v>
      </c>
      <c r="AB6" s="3">
        <f t="shared" si="0"/>
        <v>56110.450000000164</v>
      </c>
      <c r="AC6" s="3">
        <f t="shared" si="0"/>
        <v>10407.33000000004</v>
      </c>
      <c r="AD6" s="2">
        <f>SUM(Z6:AC6)</f>
        <v>28908513.120000012</v>
      </c>
    </row>
    <row r="8" spans="1:30" ht="15" x14ac:dyDescent="0.25">
      <c r="A8" s="5">
        <v>1</v>
      </c>
      <c r="B8" s="5">
        <v>1</v>
      </c>
      <c r="C8" s="2" t="s">
        <v>6</v>
      </c>
      <c r="D8" s="3">
        <v>92902.44</v>
      </c>
      <c r="E8" s="3">
        <v>42148.72</v>
      </c>
      <c r="F8" s="171">
        <v>82.68</v>
      </c>
      <c r="G8" s="171">
        <v>353780.58</v>
      </c>
      <c r="H8" s="171">
        <v>0</v>
      </c>
      <c r="I8" s="171">
        <v>532517.18999999994</v>
      </c>
      <c r="J8" s="172">
        <v>5153.4399999999996</v>
      </c>
      <c r="K8" s="171">
        <v>0</v>
      </c>
      <c r="L8" s="171">
        <v>0</v>
      </c>
      <c r="M8" s="3">
        <v>0</v>
      </c>
      <c r="N8" s="173">
        <v>0</v>
      </c>
      <c r="O8" s="154">
        <f>SUM(F8:N8)</f>
        <v>891533.8899999999</v>
      </c>
      <c r="P8" s="3">
        <f>SUM(H8:N8)</f>
        <v>537670.62999999989</v>
      </c>
      <c r="Q8" s="3">
        <f>SUM(H8:I8)</f>
        <v>532517.18999999994</v>
      </c>
      <c r="R8" s="3">
        <f>J8</f>
        <v>5153.4399999999996</v>
      </c>
      <c r="S8" s="3">
        <f>K8+L8</f>
        <v>0</v>
      </c>
      <c r="T8" s="3">
        <f>N8+M8</f>
        <v>0</v>
      </c>
      <c r="U8" s="3">
        <v>0</v>
      </c>
      <c r="V8" s="3">
        <v>0</v>
      </c>
      <c r="W8" s="175">
        <f>IF($P8=0,0,ROUND(S8/$P8*$E8,2))+1142.92</f>
        <v>1142.92</v>
      </c>
      <c r="X8" s="175">
        <f>IF($P8=0,0,ROUND(T8/$P8*$E8,2))</f>
        <v>0</v>
      </c>
      <c r="Z8" s="2">
        <f>[2]credits!$M8-U8</f>
        <v>98360.23000000001</v>
      </c>
      <c r="AA8" s="2">
        <f>[2]credits!$O8-V8</f>
        <v>858.61</v>
      </c>
      <c r="AB8" s="2">
        <f>[2]credits!$Q8-W8</f>
        <v>0</v>
      </c>
      <c r="AC8" s="2">
        <f>[2]credits!$S8-X8</f>
        <v>0</v>
      </c>
    </row>
    <row r="9" spans="1:30" ht="15" x14ac:dyDescent="0.25">
      <c r="A9" s="5">
        <v>1.2</v>
      </c>
      <c r="B9" s="5">
        <v>3</v>
      </c>
      <c r="C9" s="2" t="s">
        <v>7</v>
      </c>
      <c r="D9" s="3">
        <v>2663277.4299999997</v>
      </c>
      <c r="E9" s="3">
        <v>2694951.48</v>
      </c>
      <c r="F9" s="171">
        <v>65578247.200000003</v>
      </c>
      <c r="G9" s="171">
        <v>8745449.2300000004</v>
      </c>
      <c r="H9" s="171">
        <v>0</v>
      </c>
      <c r="I9" s="171">
        <v>33619344.43</v>
      </c>
      <c r="J9" s="172">
        <v>4104049.28</v>
      </c>
      <c r="K9" s="171">
        <v>0</v>
      </c>
      <c r="L9" s="171">
        <v>49081739.18</v>
      </c>
      <c r="M9" s="3">
        <v>0</v>
      </c>
      <c r="N9" s="173">
        <v>2728704</v>
      </c>
      <c r="O9" s="154">
        <f t="shared" ref="O9:O72" si="1">SUM(F9:N9)</f>
        <v>163857533.32000002</v>
      </c>
      <c r="P9" s="3">
        <f t="shared" ref="P9:P72" si="2">SUM(H9:N9)</f>
        <v>89533836.890000001</v>
      </c>
      <c r="Q9" s="3">
        <f t="shared" ref="Q9:Q72" si="3">SUM(H9:I9)</f>
        <v>33619344.43</v>
      </c>
      <c r="R9" s="3">
        <f t="shared" ref="R9:R72" si="4">J9</f>
        <v>4104049.28</v>
      </c>
      <c r="S9" s="3">
        <f t="shared" ref="S9:S72" si="5">K9+L9</f>
        <v>49081739.18</v>
      </c>
      <c r="T9" s="3">
        <f t="shared" ref="T9:T72" si="6">N9+M9</f>
        <v>2728704</v>
      </c>
      <c r="U9" s="3">
        <v>0</v>
      </c>
      <c r="V9" s="3">
        <v>0</v>
      </c>
      <c r="W9" s="175">
        <f t="shared" ref="W9:X24" si="7">IF($P9=0,0,ROUND(S9/$P9*$E9,2))</f>
        <v>1477351.02</v>
      </c>
      <c r="X9" s="175">
        <f t="shared" si="7"/>
        <v>82133.47</v>
      </c>
      <c r="Z9" s="2">
        <f>[2]credits!$M9-U9</f>
        <v>1011935.88</v>
      </c>
      <c r="AA9" s="2">
        <f>[2]credits!$O9-V9</f>
        <v>123531.1</v>
      </c>
      <c r="AB9" s="2">
        <f>[2]credits!$Q9-W9</f>
        <v>0</v>
      </c>
      <c r="AC9" s="2">
        <f>[2]credits!$S9-X9</f>
        <v>0</v>
      </c>
    </row>
    <row r="10" spans="1:30" ht="15" x14ac:dyDescent="0.25">
      <c r="A10" s="5">
        <v>2</v>
      </c>
      <c r="B10" s="5">
        <v>1</v>
      </c>
      <c r="C10" s="2" t="s">
        <v>8</v>
      </c>
      <c r="D10" s="3">
        <v>61193.020000000004</v>
      </c>
      <c r="E10" s="3">
        <v>62222.09</v>
      </c>
      <c r="F10" s="171">
        <v>0</v>
      </c>
      <c r="G10" s="171">
        <v>31903.83</v>
      </c>
      <c r="H10" s="171">
        <v>0</v>
      </c>
      <c r="I10" s="171">
        <v>79442.22</v>
      </c>
      <c r="J10" s="172">
        <v>18913.3</v>
      </c>
      <c r="K10" s="171">
        <v>583928.52</v>
      </c>
      <c r="L10" s="171">
        <v>0</v>
      </c>
      <c r="M10" s="3">
        <v>0</v>
      </c>
      <c r="N10" s="173">
        <v>0</v>
      </c>
      <c r="O10" s="154">
        <f t="shared" si="1"/>
        <v>714187.87</v>
      </c>
      <c r="P10" s="3">
        <f t="shared" si="2"/>
        <v>682284.04</v>
      </c>
      <c r="Q10" s="3">
        <f t="shared" si="3"/>
        <v>79442.22</v>
      </c>
      <c r="R10" s="3">
        <f t="shared" si="4"/>
        <v>18913.3</v>
      </c>
      <c r="S10" s="3">
        <f t="shared" si="5"/>
        <v>583928.52</v>
      </c>
      <c r="T10" s="3">
        <f t="shared" si="6"/>
        <v>0</v>
      </c>
      <c r="U10" s="3">
        <v>0</v>
      </c>
      <c r="V10" s="3">
        <v>0</v>
      </c>
      <c r="W10" s="175">
        <f t="shared" si="7"/>
        <v>53252.39</v>
      </c>
      <c r="X10" s="175">
        <f t="shared" si="7"/>
        <v>0</v>
      </c>
      <c r="Z10" s="2">
        <f>[2]credits!$M10-U10</f>
        <v>7244.87</v>
      </c>
      <c r="AA10" s="2">
        <f>[2]credits!$O10-V10</f>
        <v>1724.83</v>
      </c>
      <c r="AB10" s="2">
        <f>[2]credits!$Q10-W10</f>
        <v>0</v>
      </c>
      <c r="AC10" s="2">
        <f>[2]credits!$S10-X10</f>
        <v>0</v>
      </c>
    </row>
    <row r="11" spans="1:30" ht="15" x14ac:dyDescent="0.25">
      <c r="A11" s="5">
        <v>4</v>
      </c>
      <c r="B11" s="5">
        <v>1</v>
      </c>
      <c r="C11" s="2" t="s">
        <v>9</v>
      </c>
      <c r="D11" s="3">
        <v>80147.900000000009</v>
      </c>
      <c r="E11" s="3">
        <v>77463.08</v>
      </c>
      <c r="F11" s="171">
        <v>674.24</v>
      </c>
      <c r="G11" s="171">
        <v>115531.99</v>
      </c>
      <c r="H11" s="171">
        <v>0</v>
      </c>
      <c r="I11" s="171">
        <v>269632.63</v>
      </c>
      <c r="J11" s="172">
        <v>52116.06</v>
      </c>
      <c r="K11" s="171">
        <v>710845.48</v>
      </c>
      <c r="L11" s="171">
        <v>0</v>
      </c>
      <c r="M11" s="3">
        <v>0</v>
      </c>
      <c r="N11" s="173">
        <v>163417</v>
      </c>
      <c r="O11" s="154">
        <f t="shared" si="1"/>
        <v>1312217.3999999999</v>
      </c>
      <c r="P11" s="3">
        <f t="shared" si="2"/>
        <v>1196011.17</v>
      </c>
      <c r="Q11" s="3">
        <f t="shared" si="3"/>
        <v>269632.63</v>
      </c>
      <c r="R11" s="3">
        <f t="shared" si="4"/>
        <v>52116.06</v>
      </c>
      <c r="S11" s="3">
        <f t="shared" si="5"/>
        <v>710845.48</v>
      </c>
      <c r="T11" s="3">
        <f t="shared" si="6"/>
        <v>163417</v>
      </c>
      <c r="U11" s="3">
        <v>0</v>
      </c>
      <c r="V11" s="3">
        <v>0</v>
      </c>
      <c r="W11" s="175">
        <f t="shared" si="7"/>
        <v>46039.94</v>
      </c>
      <c r="X11" s="175">
        <f t="shared" si="7"/>
        <v>10584.17</v>
      </c>
      <c r="Z11" s="2">
        <f>[2]credits!$M11-U11</f>
        <v>17463.53</v>
      </c>
      <c r="AA11" s="2">
        <f>[2]credits!$O11-V11</f>
        <v>3375.45</v>
      </c>
      <c r="AB11" s="2">
        <f>[2]credits!$Q11-W11</f>
        <v>0</v>
      </c>
      <c r="AC11" s="2">
        <f>[2]credits!$S11-X11</f>
        <v>0</v>
      </c>
    </row>
    <row r="12" spans="1:30" ht="15" x14ac:dyDescent="0.25">
      <c r="A12" s="5">
        <v>6</v>
      </c>
      <c r="B12" s="5">
        <v>3</v>
      </c>
      <c r="C12" s="2" t="s">
        <v>10</v>
      </c>
      <c r="D12" s="3">
        <v>325402.93999999994</v>
      </c>
      <c r="E12" s="3">
        <v>355904.43</v>
      </c>
      <c r="F12" s="171">
        <v>3203250</v>
      </c>
      <c r="G12" s="171">
        <v>539388</v>
      </c>
      <c r="H12" s="171">
        <v>640087</v>
      </c>
      <c r="I12" s="171">
        <v>1589109</v>
      </c>
      <c r="J12" s="172">
        <v>302251</v>
      </c>
      <c r="K12" s="171">
        <v>2031939</v>
      </c>
      <c r="L12" s="171">
        <v>0</v>
      </c>
      <c r="M12" s="3">
        <v>0</v>
      </c>
      <c r="N12" s="173">
        <v>423222</v>
      </c>
      <c r="O12" s="154">
        <f t="shared" si="1"/>
        <v>8729246</v>
      </c>
      <c r="P12" s="3">
        <f t="shared" si="2"/>
        <v>4986608</v>
      </c>
      <c r="Q12" s="3">
        <f t="shared" si="3"/>
        <v>2229196</v>
      </c>
      <c r="R12" s="3">
        <f t="shared" si="4"/>
        <v>302251</v>
      </c>
      <c r="S12" s="3">
        <f t="shared" si="5"/>
        <v>2031939</v>
      </c>
      <c r="T12" s="3">
        <f t="shared" si="6"/>
        <v>423222</v>
      </c>
      <c r="U12" s="3">
        <v>0</v>
      </c>
      <c r="V12" s="3">
        <v>0</v>
      </c>
      <c r="W12" s="175">
        <f t="shared" si="7"/>
        <v>145023.65</v>
      </c>
      <c r="X12" s="175">
        <f t="shared" si="7"/>
        <v>30206.22</v>
      </c>
      <c r="Z12" s="2">
        <f>[2]credits!$M12-U12</f>
        <v>159102.25</v>
      </c>
      <c r="AA12" s="2">
        <f>[2]credits!$O12-V12</f>
        <v>21572.3</v>
      </c>
      <c r="AB12" s="2">
        <f>[2]credits!$Q12-W12</f>
        <v>1.0000000009313226E-2</v>
      </c>
      <c r="AC12" s="2">
        <f>[2]credits!$S12-X12</f>
        <v>0</v>
      </c>
    </row>
    <row r="13" spans="1:30" ht="15" x14ac:dyDescent="0.25">
      <c r="A13" s="5">
        <v>11</v>
      </c>
      <c r="B13" s="5">
        <v>1</v>
      </c>
      <c r="C13" s="2" t="s">
        <v>11</v>
      </c>
      <c r="D13" s="3">
        <v>2321154.0600000005</v>
      </c>
      <c r="E13" s="3">
        <v>2739867.2499999991</v>
      </c>
      <c r="F13" s="171">
        <v>50454873.270000003</v>
      </c>
      <c r="G13" s="171">
        <v>4370826.51</v>
      </c>
      <c r="H13" s="171">
        <v>0</v>
      </c>
      <c r="I13" s="171">
        <v>21735864.23</v>
      </c>
      <c r="J13" s="172">
        <v>3260433.24</v>
      </c>
      <c r="K13" s="171">
        <v>17401834.120000001</v>
      </c>
      <c r="L13" s="171">
        <v>3340843.94</v>
      </c>
      <c r="M13" s="3">
        <v>0</v>
      </c>
      <c r="N13" s="173">
        <v>2206101</v>
      </c>
      <c r="O13" s="154">
        <f t="shared" si="1"/>
        <v>102770776.31</v>
      </c>
      <c r="P13" s="3">
        <f t="shared" si="2"/>
        <v>47945076.530000001</v>
      </c>
      <c r="Q13" s="3">
        <f t="shared" si="3"/>
        <v>21735864.23</v>
      </c>
      <c r="R13" s="3">
        <f t="shared" si="4"/>
        <v>3260433.24</v>
      </c>
      <c r="S13" s="3">
        <f t="shared" si="5"/>
        <v>20742678.060000002</v>
      </c>
      <c r="T13" s="3">
        <f t="shared" si="6"/>
        <v>2206101</v>
      </c>
      <c r="U13" s="3">
        <v>0</v>
      </c>
      <c r="V13" s="3">
        <v>0</v>
      </c>
      <c r="W13" s="175">
        <f t="shared" si="7"/>
        <v>1185360.17</v>
      </c>
      <c r="X13" s="175">
        <f t="shared" si="7"/>
        <v>126069.75</v>
      </c>
      <c r="Z13" s="2">
        <f>[2]credits!$M13-U13</f>
        <v>1240262.93</v>
      </c>
      <c r="AA13" s="2">
        <f>[2]credits!$O13-V13</f>
        <v>186042.5</v>
      </c>
      <c r="AB13" s="2">
        <f>[2]credits!$Q13-W13</f>
        <v>2320.0600000000559</v>
      </c>
      <c r="AC13" s="2">
        <f>[2]credits!$S13-X13</f>
        <v>-188.14999999999418</v>
      </c>
    </row>
    <row r="14" spans="1:30" ht="15" x14ac:dyDescent="0.25">
      <c r="A14" s="5">
        <v>12</v>
      </c>
      <c r="B14" s="5">
        <v>1</v>
      </c>
      <c r="C14" s="2" t="s">
        <v>12</v>
      </c>
      <c r="D14" s="3">
        <v>435943.19</v>
      </c>
      <c r="E14" s="3">
        <v>506074.54</v>
      </c>
      <c r="F14" s="171">
        <v>4247476.97</v>
      </c>
      <c r="G14" s="171">
        <v>934744.97</v>
      </c>
      <c r="H14" s="171">
        <v>0</v>
      </c>
      <c r="I14" s="171">
        <v>2541150.14</v>
      </c>
      <c r="J14" s="172">
        <v>463676.71</v>
      </c>
      <c r="K14" s="171">
        <v>8913176.2699999996</v>
      </c>
      <c r="L14" s="171">
        <v>385581.79</v>
      </c>
      <c r="M14" s="3">
        <v>0</v>
      </c>
      <c r="N14" s="173">
        <v>684256</v>
      </c>
      <c r="O14" s="154">
        <f t="shared" si="1"/>
        <v>18170062.849999998</v>
      </c>
      <c r="P14" s="3">
        <f t="shared" si="2"/>
        <v>12987840.909999998</v>
      </c>
      <c r="Q14" s="3">
        <f t="shared" si="3"/>
        <v>2541150.14</v>
      </c>
      <c r="R14" s="3">
        <f t="shared" si="4"/>
        <v>463676.71</v>
      </c>
      <c r="S14" s="3">
        <f t="shared" si="5"/>
        <v>9298758.0599999987</v>
      </c>
      <c r="T14" s="3">
        <f t="shared" si="6"/>
        <v>684256</v>
      </c>
      <c r="U14" s="3">
        <v>0</v>
      </c>
      <c r="V14" s="3">
        <v>0</v>
      </c>
      <c r="W14" s="175">
        <f t="shared" si="7"/>
        <v>362328.48</v>
      </c>
      <c r="X14" s="175">
        <f t="shared" si="7"/>
        <v>26662.21</v>
      </c>
      <c r="Z14" s="2">
        <f>[2]credits!$M14-U14</f>
        <v>99016.56</v>
      </c>
      <c r="AA14" s="2">
        <f>[2]credits!$O14-V14</f>
        <v>18067.28</v>
      </c>
      <c r="AB14" s="2">
        <f>[2]credits!$Q14-W14</f>
        <v>0</v>
      </c>
      <c r="AC14" s="2">
        <f>[2]credits!$S14-X14</f>
        <v>0</v>
      </c>
    </row>
    <row r="15" spans="1:30" ht="15" x14ac:dyDescent="0.25">
      <c r="A15" s="5">
        <v>13</v>
      </c>
      <c r="B15" s="5">
        <v>1</v>
      </c>
      <c r="C15" s="2" t="s">
        <v>13</v>
      </c>
      <c r="D15" s="3">
        <v>313192.27999999997</v>
      </c>
      <c r="E15" s="3">
        <v>247897.21</v>
      </c>
      <c r="F15" s="171">
        <v>3288637.86</v>
      </c>
      <c r="G15" s="171">
        <v>346840.3</v>
      </c>
      <c r="H15" s="171">
        <v>0</v>
      </c>
      <c r="I15" s="171">
        <v>1713397.29</v>
      </c>
      <c r="J15" s="172">
        <v>287096.98</v>
      </c>
      <c r="K15" s="171">
        <v>2345373.23</v>
      </c>
      <c r="L15" s="171">
        <v>0</v>
      </c>
      <c r="M15" s="3">
        <v>0</v>
      </c>
      <c r="N15" s="173">
        <v>0</v>
      </c>
      <c r="O15" s="154">
        <f t="shared" si="1"/>
        <v>7981345.6600000001</v>
      </c>
      <c r="P15" s="3">
        <f t="shared" si="2"/>
        <v>4345867.5</v>
      </c>
      <c r="Q15" s="3">
        <f t="shared" si="3"/>
        <v>1713397.29</v>
      </c>
      <c r="R15" s="3">
        <f t="shared" si="4"/>
        <v>287096.98</v>
      </c>
      <c r="S15" s="3">
        <f t="shared" si="5"/>
        <v>2345373.23</v>
      </c>
      <c r="T15" s="3">
        <f t="shared" si="6"/>
        <v>0</v>
      </c>
      <c r="U15" s="3">
        <v>0</v>
      </c>
      <c r="V15" s="3">
        <v>0</v>
      </c>
      <c r="W15" s="175">
        <f t="shared" si="7"/>
        <v>133784.91</v>
      </c>
      <c r="X15" s="175">
        <f t="shared" si="7"/>
        <v>0</v>
      </c>
      <c r="Z15" s="2">
        <f>[2]credits!$M15-U15</f>
        <v>97735.7</v>
      </c>
      <c r="AA15" s="2">
        <f>[2]credits!$O15-V15</f>
        <v>16376.6</v>
      </c>
      <c r="AB15" s="2">
        <f>[2]credits!$Q15-W15</f>
        <v>0</v>
      </c>
      <c r="AC15" s="2">
        <f>[2]credits!$S15-X15</f>
        <v>0</v>
      </c>
    </row>
    <row r="16" spans="1:30" ht="15" x14ac:dyDescent="0.25">
      <c r="A16" s="5">
        <v>14</v>
      </c>
      <c r="B16" s="5">
        <v>1</v>
      </c>
      <c r="C16" s="2" t="s">
        <v>14</v>
      </c>
      <c r="D16" s="3">
        <v>265890.49</v>
      </c>
      <c r="E16" s="3">
        <v>273959.90000000002</v>
      </c>
      <c r="F16" s="171">
        <v>2852552.42</v>
      </c>
      <c r="G16" s="171">
        <v>374692.1</v>
      </c>
      <c r="H16" s="171">
        <v>820454</v>
      </c>
      <c r="I16" s="171">
        <v>1480611.06</v>
      </c>
      <c r="J16" s="172">
        <v>451361.41</v>
      </c>
      <c r="K16" s="171">
        <v>1188566.46</v>
      </c>
      <c r="L16" s="171">
        <v>1322055.72</v>
      </c>
      <c r="M16" s="3">
        <v>0</v>
      </c>
      <c r="N16" s="173">
        <v>593647</v>
      </c>
      <c r="O16" s="154">
        <f t="shared" si="1"/>
        <v>9083940.1699999999</v>
      </c>
      <c r="P16" s="3">
        <f t="shared" si="2"/>
        <v>5856695.6500000004</v>
      </c>
      <c r="Q16" s="3">
        <f t="shared" si="3"/>
        <v>2301065.06</v>
      </c>
      <c r="R16" s="3">
        <f t="shared" si="4"/>
        <v>451361.41</v>
      </c>
      <c r="S16" s="3">
        <f t="shared" si="5"/>
        <v>2510622.1799999997</v>
      </c>
      <c r="T16" s="3">
        <f t="shared" si="6"/>
        <v>593647</v>
      </c>
      <c r="U16" s="3">
        <v>0</v>
      </c>
      <c r="V16" s="3">
        <v>0</v>
      </c>
      <c r="W16" s="175">
        <f t="shared" si="7"/>
        <v>117439.91</v>
      </c>
      <c r="X16" s="175">
        <f t="shared" si="7"/>
        <v>27769.15</v>
      </c>
      <c r="Z16" s="2">
        <f>[2]credits!$M16-U16</f>
        <v>107637.41</v>
      </c>
      <c r="AA16" s="2">
        <f>[2]credits!$O16-V16</f>
        <v>21113.43</v>
      </c>
      <c r="AB16" s="2">
        <f>[2]credits!$Q16-W16</f>
        <v>0</v>
      </c>
      <c r="AC16" s="2">
        <f>[2]credits!$S16-X16</f>
        <v>0</v>
      </c>
    </row>
    <row r="17" spans="1:29" ht="15" x14ac:dyDescent="0.25">
      <c r="A17" s="5">
        <v>15</v>
      </c>
      <c r="B17" s="5">
        <v>1</v>
      </c>
      <c r="C17" s="2" t="s">
        <v>15</v>
      </c>
      <c r="D17" s="3">
        <v>415829.18</v>
      </c>
      <c r="E17" s="3">
        <v>482378.91</v>
      </c>
      <c r="F17" s="171">
        <v>2072491.15</v>
      </c>
      <c r="G17" s="171">
        <v>916918.25</v>
      </c>
      <c r="H17" s="171">
        <v>0</v>
      </c>
      <c r="I17" s="171">
        <v>2200892.62</v>
      </c>
      <c r="J17" s="172">
        <v>401120.65</v>
      </c>
      <c r="K17" s="171">
        <v>4785774.05</v>
      </c>
      <c r="L17" s="171">
        <v>836787.82</v>
      </c>
      <c r="M17" s="3">
        <v>0</v>
      </c>
      <c r="N17" s="173">
        <v>311173</v>
      </c>
      <c r="O17" s="154">
        <f t="shared" si="1"/>
        <v>11525157.539999999</v>
      </c>
      <c r="P17" s="3">
        <f t="shared" si="2"/>
        <v>8535748.1400000006</v>
      </c>
      <c r="Q17" s="3">
        <f t="shared" si="3"/>
        <v>2200892.62</v>
      </c>
      <c r="R17" s="3">
        <f t="shared" si="4"/>
        <v>401120.65</v>
      </c>
      <c r="S17" s="3">
        <f t="shared" si="5"/>
        <v>5622561.8700000001</v>
      </c>
      <c r="T17" s="3">
        <f t="shared" si="6"/>
        <v>311173</v>
      </c>
      <c r="U17" s="3">
        <v>0</v>
      </c>
      <c r="V17" s="3">
        <v>0</v>
      </c>
      <c r="W17" s="175">
        <f t="shared" si="7"/>
        <v>317746.64</v>
      </c>
      <c r="X17" s="175">
        <f t="shared" si="7"/>
        <v>17585.25</v>
      </c>
      <c r="Z17" s="2">
        <f>[2]credits!$M17-U17</f>
        <v>124378.57</v>
      </c>
      <c r="AA17" s="2">
        <f>[2]credits!$O17-V17</f>
        <v>22668.45</v>
      </c>
      <c r="AB17" s="2">
        <f>[2]credits!$Q17-W17</f>
        <v>0</v>
      </c>
      <c r="AC17" s="2">
        <f>[2]credits!$S17-X17</f>
        <v>0</v>
      </c>
    </row>
    <row r="18" spans="1:29" ht="15" x14ac:dyDescent="0.25">
      <c r="A18" s="5">
        <v>16</v>
      </c>
      <c r="B18" s="5">
        <v>1</v>
      </c>
      <c r="C18" s="2" t="s">
        <v>16</v>
      </c>
      <c r="D18" s="3">
        <v>425562.85</v>
      </c>
      <c r="E18" s="3">
        <v>456648.25</v>
      </c>
      <c r="F18" s="171">
        <v>4571087.76</v>
      </c>
      <c r="G18" s="171">
        <v>928233.15</v>
      </c>
      <c r="H18" s="171">
        <v>0</v>
      </c>
      <c r="I18" s="171">
        <v>3225149.7</v>
      </c>
      <c r="J18" s="172">
        <v>424326.86</v>
      </c>
      <c r="K18" s="171">
        <v>8005034.5300000003</v>
      </c>
      <c r="L18" s="171">
        <v>695330</v>
      </c>
      <c r="M18" s="3">
        <v>0</v>
      </c>
      <c r="N18" s="173">
        <v>308931</v>
      </c>
      <c r="O18" s="154">
        <f t="shared" si="1"/>
        <v>18158093</v>
      </c>
      <c r="P18" s="3">
        <f t="shared" si="2"/>
        <v>12658772.09</v>
      </c>
      <c r="Q18" s="3">
        <f t="shared" si="3"/>
        <v>3225149.7</v>
      </c>
      <c r="R18" s="3">
        <f t="shared" si="4"/>
        <v>424326.86</v>
      </c>
      <c r="S18" s="3">
        <f t="shared" si="5"/>
        <v>8700364.5300000012</v>
      </c>
      <c r="T18" s="3">
        <f t="shared" si="6"/>
        <v>308931</v>
      </c>
      <c r="U18" s="3">
        <v>0</v>
      </c>
      <c r="V18" s="3">
        <v>0</v>
      </c>
      <c r="W18" s="175">
        <f t="shared" si="7"/>
        <v>313854</v>
      </c>
      <c r="X18" s="175">
        <f t="shared" si="7"/>
        <v>11144.27</v>
      </c>
      <c r="Z18" s="2">
        <f>[2]credits!$M18-U18</f>
        <v>116342.96</v>
      </c>
      <c r="AA18" s="2">
        <f>[2]credits!$O18-V18</f>
        <v>15307.02</v>
      </c>
      <c r="AB18" s="2">
        <f>[2]credits!$Q18-W18</f>
        <v>0</v>
      </c>
      <c r="AC18" s="2">
        <f>[2]credits!$S18-X18</f>
        <v>0</v>
      </c>
    </row>
    <row r="19" spans="1:29" ht="15" x14ac:dyDescent="0.25">
      <c r="A19" s="5">
        <v>22</v>
      </c>
      <c r="B19" s="5">
        <v>1</v>
      </c>
      <c r="C19" s="2" t="s">
        <v>17</v>
      </c>
      <c r="D19" s="3">
        <v>142876.4</v>
      </c>
      <c r="E19" s="3">
        <v>142486.25</v>
      </c>
      <c r="F19" s="171">
        <v>1352181.9</v>
      </c>
      <c r="G19" s="171">
        <v>392084.49</v>
      </c>
      <c r="H19" s="171">
        <v>0</v>
      </c>
      <c r="I19" s="171">
        <v>1111466.99</v>
      </c>
      <c r="J19" s="172">
        <v>198652.23</v>
      </c>
      <c r="K19" s="171">
        <v>826371.66</v>
      </c>
      <c r="L19" s="171">
        <v>0</v>
      </c>
      <c r="M19" s="3">
        <v>0</v>
      </c>
      <c r="N19" s="173">
        <v>0</v>
      </c>
      <c r="O19" s="154">
        <f t="shared" si="1"/>
        <v>3880757.27</v>
      </c>
      <c r="P19" s="3">
        <f t="shared" si="2"/>
        <v>2136490.88</v>
      </c>
      <c r="Q19" s="3">
        <f t="shared" si="3"/>
        <v>1111466.99</v>
      </c>
      <c r="R19" s="3">
        <f t="shared" si="4"/>
        <v>198652.23</v>
      </c>
      <c r="S19" s="3">
        <f t="shared" si="5"/>
        <v>826371.66</v>
      </c>
      <c r="T19" s="3">
        <f t="shared" si="6"/>
        <v>0</v>
      </c>
      <c r="U19" s="3">
        <v>0</v>
      </c>
      <c r="V19" s="3">
        <v>0</v>
      </c>
      <c r="W19" s="175">
        <f t="shared" si="7"/>
        <v>55112.15</v>
      </c>
      <c r="X19" s="175">
        <f t="shared" si="7"/>
        <v>0</v>
      </c>
      <c r="Z19" s="2">
        <f>[2]credits!$M19-U19</f>
        <v>74125.64</v>
      </c>
      <c r="AA19" s="2">
        <f>[2]credits!$O19-V19</f>
        <v>13248.46</v>
      </c>
      <c r="AB19" s="2">
        <f>[2]credits!$Q19-W19</f>
        <v>0</v>
      </c>
      <c r="AC19" s="2">
        <f>[2]credits!$S19-X19</f>
        <v>0</v>
      </c>
    </row>
    <row r="20" spans="1:29" ht="15" x14ac:dyDescent="0.25">
      <c r="A20" s="5">
        <v>23</v>
      </c>
      <c r="B20" s="5">
        <v>1</v>
      </c>
      <c r="C20" s="2" t="s">
        <v>18</v>
      </c>
      <c r="D20" s="3">
        <v>140619.95000000001</v>
      </c>
      <c r="E20" s="3">
        <v>116961.94</v>
      </c>
      <c r="F20" s="171">
        <v>975291.82</v>
      </c>
      <c r="G20" s="171">
        <v>96293.54</v>
      </c>
      <c r="H20" s="171">
        <v>0</v>
      </c>
      <c r="I20" s="171">
        <v>310925.21999999997</v>
      </c>
      <c r="J20" s="172">
        <v>83237.89</v>
      </c>
      <c r="K20" s="171">
        <v>651545.04</v>
      </c>
      <c r="L20" s="171">
        <v>109011.12</v>
      </c>
      <c r="M20" s="3">
        <v>0</v>
      </c>
      <c r="N20" s="173">
        <v>0</v>
      </c>
      <c r="O20" s="154">
        <f t="shared" si="1"/>
        <v>2226304.63</v>
      </c>
      <c r="P20" s="3">
        <f t="shared" si="2"/>
        <v>1154719.27</v>
      </c>
      <c r="Q20" s="3">
        <f t="shared" si="3"/>
        <v>310925.21999999997</v>
      </c>
      <c r="R20" s="3">
        <f t="shared" si="4"/>
        <v>83237.89</v>
      </c>
      <c r="S20" s="3">
        <f t="shared" si="5"/>
        <v>760556.16</v>
      </c>
      <c r="T20" s="3">
        <f t="shared" si="6"/>
        <v>0</v>
      </c>
      <c r="U20" s="3">
        <v>0</v>
      </c>
      <c r="V20" s="3">
        <v>0</v>
      </c>
      <c r="W20" s="175">
        <f t="shared" si="7"/>
        <v>77037.009999999995</v>
      </c>
      <c r="X20" s="175">
        <f t="shared" si="7"/>
        <v>0</v>
      </c>
      <c r="Z20" s="2">
        <f>[2]credits!$M20-U20</f>
        <v>31493.73</v>
      </c>
      <c r="AA20" s="2">
        <f>[2]credits!$O20-V20</f>
        <v>8431.2000000000007</v>
      </c>
      <c r="AB20" s="2">
        <f>[2]credits!$Q20-W20</f>
        <v>0</v>
      </c>
      <c r="AC20" s="2">
        <f>[2]credits!$S20-X20</f>
        <v>0</v>
      </c>
    </row>
    <row r="21" spans="1:29" ht="15" x14ac:dyDescent="0.25">
      <c r="A21" s="5">
        <v>25</v>
      </c>
      <c r="B21" s="5">
        <v>1</v>
      </c>
      <c r="C21" s="2" t="s">
        <v>348</v>
      </c>
      <c r="D21" s="3">
        <v>0</v>
      </c>
      <c r="E21" s="3">
        <v>0</v>
      </c>
      <c r="F21" s="171">
        <v>0</v>
      </c>
      <c r="G21" s="171">
        <v>0</v>
      </c>
      <c r="H21" s="171">
        <v>0</v>
      </c>
      <c r="I21" s="171">
        <v>0</v>
      </c>
      <c r="J21" s="172">
        <v>0</v>
      </c>
      <c r="K21" s="171">
        <v>0</v>
      </c>
      <c r="L21" s="171">
        <v>0</v>
      </c>
      <c r="M21" s="3">
        <v>0</v>
      </c>
      <c r="N21" s="173">
        <v>0</v>
      </c>
      <c r="O21" s="154">
        <f t="shared" si="1"/>
        <v>0</v>
      </c>
      <c r="P21" s="3">
        <f t="shared" si="2"/>
        <v>0</v>
      </c>
      <c r="Q21" s="3">
        <f t="shared" si="3"/>
        <v>0</v>
      </c>
      <c r="R21" s="3">
        <f t="shared" si="4"/>
        <v>0</v>
      </c>
      <c r="S21" s="3">
        <f t="shared" si="5"/>
        <v>0</v>
      </c>
      <c r="T21" s="3">
        <f t="shared" si="6"/>
        <v>0</v>
      </c>
      <c r="U21" s="3">
        <v>0</v>
      </c>
      <c r="V21" s="3">
        <v>0</v>
      </c>
      <c r="W21" s="175">
        <f t="shared" si="7"/>
        <v>0</v>
      </c>
      <c r="X21" s="175">
        <f t="shared" si="7"/>
        <v>0</v>
      </c>
      <c r="Z21" s="2">
        <f>[2]credits!$M21-U21</f>
        <v>0</v>
      </c>
      <c r="AA21" s="2">
        <f>[2]credits!$O21-V21</f>
        <v>0</v>
      </c>
      <c r="AB21" s="2">
        <f>[2]credits!$Q21-W21</f>
        <v>0</v>
      </c>
      <c r="AC21" s="2">
        <f>[2]credits!$S21-X21</f>
        <v>0</v>
      </c>
    </row>
    <row r="22" spans="1:29" ht="15" x14ac:dyDescent="0.25">
      <c r="A22" s="5">
        <v>31</v>
      </c>
      <c r="B22" s="5">
        <v>1</v>
      </c>
      <c r="C22" s="2" t="s">
        <v>19</v>
      </c>
      <c r="D22" s="3">
        <v>510751.24</v>
      </c>
      <c r="E22" s="3">
        <v>513146.78999999992</v>
      </c>
      <c r="F22" s="171">
        <v>2249947.2999999998</v>
      </c>
      <c r="G22" s="171">
        <v>485249</v>
      </c>
      <c r="H22" s="171">
        <v>0</v>
      </c>
      <c r="I22" s="171">
        <v>1626562.43</v>
      </c>
      <c r="J22" s="172">
        <v>360382.89</v>
      </c>
      <c r="K22" s="171">
        <v>4274894.32</v>
      </c>
      <c r="L22" s="171">
        <v>0</v>
      </c>
      <c r="M22" s="3">
        <v>0</v>
      </c>
      <c r="N22" s="173">
        <v>0</v>
      </c>
      <c r="O22" s="154">
        <f t="shared" si="1"/>
        <v>8997035.9399999995</v>
      </c>
      <c r="P22" s="3">
        <f t="shared" si="2"/>
        <v>6261839.6400000006</v>
      </c>
      <c r="Q22" s="3">
        <f t="shared" si="3"/>
        <v>1626562.43</v>
      </c>
      <c r="R22" s="3">
        <f t="shared" si="4"/>
        <v>360382.89</v>
      </c>
      <c r="S22" s="3">
        <f t="shared" si="5"/>
        <v>4274894.32</v>
      </c>
      <c r="T22" s="3">
        <f t="shared" si="6"/>
        <v>0</v>
      </c>
      <c r="U22" s="3">
        <v>0</v>
      </c>
      <c r="V22" s="3">
        <v>0</v>
      </c>
      <c r="W22" s="175">
        <f t="shared" si="7"/>
        <v>350320.1</v>
      </c>
      <c r="X22" s="175">
        <f t="shared" si="7"/>
        <v>0</v>
      </c>
      <c r="Z22" s="2">
        <f>[2]credits!$M22-U22</f>
        <v>133293.94</v>
      </c>
      <c r="AA22" s="2">
        <f>[2]credits!$O22-V22</f>
        <v>29532.75</v>
      </c>
      <c r="AB22" s="2">
        <f>[2]credits!$Q22-W22</f>
        <v>0</v>
      </c>
      <c r="AC22" s="2">
        <f>[2]credits!$S22-X22</f>
        <v>0</v>
      </c>
    </row>
    <row r="23" spans="1:29" ht="15" x14ac:dyDescent="0.25">
      <c r="A23" s="5">
        <v>32</v>
      </c>
      <c r="B23" s="5">
        <v>1</v>
      </c>
      <c r="C23" s="2" t="s">
        <v>20</v>
      </c>
      <c r="D23" s="3">
        <v>84805.84</v>
      </c>
      <c r="E23" s="3">
        <v>92811.46</v>
      </c>
      <c r="F23" s="171">
        <v>382.22</v>
      </c>
      <c r="G23" s="171">
        <v>103612.05</v>
      </c>
      <c r="H23" s="171">
        <v>0</v>
      </c>
      <c r="I23" s="171">
        <v>203593.16</v>
      </c>
      <c r="J23" s="172">
        <v>35127.71</v>
      </c>
      <c r="K23" s="171">
        <v>553691.1</v>
      </c>
      <c r="L23" s="171">
        <v>0</v>
      </c>
      <c r="M23" s="3">
        <v>0</v>
      </c>
      <c r="N23" s="173">
        <v>0</v>
      </c>
      <c r="O23" s="154">
        <f t="shared" si="1"/>
        <v>896406.24</v>
      </c>
      <c r="P23" s="3">
        <f t="shared" si="2"/>
        <v>792411.97</v>
      </c>
      <c r="Q23" s="3">
        <f t="shared" si="3"/>
        <v>203593.16</v>
      </c>
      <c r="R23" s="3">
        <f t="shared" si="4"/>
        <v>35127.71</v>
      </c>
      <c r="S23" s="3">
        <f t="shared" si="5"/>
        <v>553691.1</v>
      </c>
      <c r="T23" s="3">
        <f t="shared" si="6"/>
        <v>0</v>
      </c>
      <c r="U23" s="3">
        <v>0</v>
      </c>
      <c r="V23" s="3">
        <v>0</v>
      </c>
      <c r="W23" s="175">
        <f t="shared" si="7"/>
        <v>64851.22</v>
      </c>
      <c r="X23" s="175">
        <f t="shared" si="7"/>
        <v>0</v>
      </c>
      <c r="Z23" s="2">
        <f>[2]credits!$M23-U23</f>
        <v>23845.9</v>
      </c>
      <c r="AA23" s="2">
        <f>[2]credits!$O23-V23</f>
        <v>4114.34</v>
      </c>
      <c r="AB23" s="2">
        <f>[2]credits!$Q23-W23</f>
        <v>0</v>
      </c>
      <c r="AC23" s="2">
        <f>[2]credits!$S23-X23</f>
        <v>0</v>
      </c>
    </row>
    <row r="24" spans="1:29" ht="15" x14ac:dyDescent="0.25">
      <c r="A24" s="5">
        <v>36</v>
      </c>
      <c r="B24" s="5">
        <v>1</v>
      </c>
      <c r="C24" s="2" t="s">
        <v>21</v>
      </c>
      <c r="D24" s="3">
        <v>34565.879999999997</v>
      </c>
      <c r="E24" s="3">
        <v>35033.32</v>
      </c>
      <c r="F24" s="171">
        <v>0</v>
      </c>
      <c r="G24" s="171">
        <v>29921.66</v>
      </c>
      <c r="H24" s="171">
        <v>0</v>
      </c>
      <c r="I24" s="171">
        <v>155.12</v>
      </c>
      <c r="J24" s="172">
        <v>12517.88</v>
      </c>
      <c r="K24" s="171">
        <v>427637.73</v>
      </c>
      <c r="L24" s="171">
        <v>0</v>
      </c>
      <c r="M24" s="3">
        <v>0</v>
      </c>
      <c r="N24" s="173">
        <v>0</v>
      </c>
      <c r="O24" s="154">
        <f t="shared" si="1"/>
        <v>470232.38999999996</v>
      </c>
      <c r="P24" s="3">
        <f t="shared" si="2"/>
        <v>440310.73</v>
      </c>
      <c r="Q24" s="3">
        <f t="shared" si="3"/>
        <v>155.12</v>
      </c>
      <c r="R24" s="3">
        <f t="shared" si="4"/>
        <v>12517.88</v>
      </c>
      <c r="S24" s="3">
        <f t="shared" si="5"/>
        <v>427637.73</v>
      </c>
      <c r="T24" s="3">
        <f t="shared" si="6"/>
        <v>0</v>
      </c>
      <c r="U24" s="3">
        <v>0</v>
      </c>
      <c r="V24" s="3">
        <v>0</v>
      </c>
      <c r="W24" s="175">
        <f t="shared" si="7"/>
        <v>34024.99</v>
      </c>
      <c r="X24" s="175">
        <f t="shared" si="7"/>
        <v>0</v>
      </c>
      <c r="Z24" s="2">
        <f>[2]credits!$M24-U24</f>
        <v>12.34</v>
      </c>
      <c r="AA24" s="2">
        <f>[2]credits!$O24-V24</f>
        <v>995.99</v>
      </c>
      <c r="AB24" s="2">
        <f>[2]credits!$Q24-W24</f>
        <v>0</v>
      </c>
      <c r="AC24" s="2">
        <f>[2]credits!$S24-X24</f>
        <v>0</v>
      </c>
    </row>
    <row r="25" spans="1:29" ht="15" x14ac:dyDescent="0.25">
      <c r="A25" s="5">
        <v>38</v>
      </c>
      <c r="B25" s="5">
        <v>1</v>
      </c>
      <c r="C25" s="2" t="s">
        <v>22</v>
      </c>
      <c r="D25" s="3">
        <v>153.91</v>
      </c>
      <c r="E25" s="3">
        <v>146.71</v>
      </c>
      <c r="F25" s="171">
        <v>2061.06</v>
      </c>
      <c r="G25" s="171">
        <v>241.34</v>
      </c>
      <c r="H25" s="171">
        <v>0</v>
      </c>
      <c r="I25" s="171">
        <v>2639.92</v>
      </c>
      <c r="J25" s="172">
        <v>119.92</v>
      </c>
      <c r="K25" s="171">
        <v>3078.47</v>
      </c>
      <c r="L25" s="171">
        <v>0</v>
      </c>
      <c r="M25" s="3">
        <v>0</v>
      </c>
      <c r="N25" s="173">
        <v>0</v>
      </c>
      <c r="O25" s="154">
        <f t="shared" si="1"/>
        <v>8140.7099999999991</v>
      </c>
      <c r="P25" s="3">
        <f t="shared" si="2"/>
        <v>5838.3099999999995</v>
      </c>
      <c r="Q25" s="3">
        <f t="shared" si="3"/>
        <v>2639.92</v>
      </c>
      <c r="R25" s="3">
        <f t="shared" si="4"/>
        <v>119.92</v>
      </c>
      <c r="S25" s="3">
        <f t="shared" si="5"/>
        <v>3078.47</v>
      </c>
      <c r="T25" s="3">
        <f t="shared" si="6"/>
        <v>0</v>
      </c>
      <c r="U25" s="3">
        <v>0</v>
      </c>
      <c r="V25" s="3">
        <v>0</v>
      </c>
      <c r="W25" s="175">
        <f t="shared" ref="W25:X88" si="8">IF($P25=0,0,ROUND(S25/$P25*$E25,2))</f>
        <v>77.36</v>
      </c>
      <c r="X25" s="175">
        <f t="shared" si="8"/>
        <v>0</v>
      </c>
      <c r="Z25" s="2">
        <f>[2]credits!$M25-U25</f>
        <v>66.34</v>
      </c>
      <c r="AA25" s="2">
        <f>[2]credits!$O25-V25</f>
        <v>3.01</v>
      </c>
      <c r="AB25" s="2">
        <f>[2]credits!$Q25-W25</f>
        <v>0</v>
      </c>
      <c r="AC25" s="2">
        <f>[2]credits!$S25-X25</f>
        <v>0</v>
      </c>
    </row>
    <row r="26" spans="1:29" ht="15" x14ac:dyDescent="0.25">
      <c r="A26" s="5">
        <v>47</v>
      </c>
      <c r="B26" s="5">
        <v>1</v>
      </c>
      <c r="C26" s="2" t="s">
        <v>23</v>
      </c>
      <c r="D26" s="3">
        <v>410257.18999999994</v>
      </c>
      <c r="E26" s="3">
        <v>399302.36</v>
      </c>
      <c r="F26" s="171">
        <v>0</v>
      </c>
      <c r="G26" s="171">
        <v>277746.95</v>
      </c>
      <c r="H26" s="171">
        <v>0</v>
      </c>
      <c r="I26" s="171">
        <v>1103876.3600000001</v>
      </c>
      <c r="J26" s="172">
        <v>262977.25</v>
      </c>
      <c r="K26" s="171">
        <v>4978642.05</v>
      </c>
      <c r="L26" s="171">
        <v>0</v>
      </c>
      <c r="M26" s="3">
        <v>0</v>
      </c>
      <c r="N26" s="173">
        <v>0</v>
      </c>
      <c r="O26" s="154">
        <f t="shared" si="1"/>
        <v>6623242.6099999994</v>
      </c>
      <c r="P26" s="3">
        <f t="shared" si="2"/>
        <v>6345495.6600000001</v>
      </c>
      <c r="Q26" s="3">
        <f t="shared" si="3"/>
        <v>1103876.3600000001</v>
      </c>
      <c r="R26" s="3">
        <f t="shared" si="4"/>
        <v>262977.25</v>
      </c>
      <c r="S26" s="3">
        <f t="shared" si="5"/>
        <v>4978642.05</v>
      </c>
      <c r="T26" s="3">
        <f t="shared" si="6"/>
        <v>0</v>
      </c>
      <c r="U26" s="3">
        <v>0</v>
      </c>
      <c r="V26" s="3">
        <v>0</v>
      </c>
      <c r="W26" s="175">
        <f t="shared" si="8"/>
        <v>313290.5</v>
      </c>
      <c r="X26" s="175">
        <f t="shared" si="8"/>
        <v>0</v>
      </c>
      <c r="Z26" s="2">
        <f>[2]credits!$M26-U26</f>
        <v>69463.520000000004</v>
      </c>
      <c r="AA26" s="2">
        <f>[2]credits!$O26-V26</f>
        <v>16548.34</v>
      </c>
      <c r="AB26" s="2">
        <f>[2]credits!$Q26-W26</f>
        <v>0</v>
      </c>
      <c r="AC26" s="2">
        <f>[2]credits!$S26-X26</f>
        <v>0</v>
      </c>
    </row>
    <row r="27" spans="1:29" ht="15" x14ac:dyDescent="0.25">
      <c r="A27" s="5">
        <v>51</v>
      </c>
      <c r="B27" s="5">
        <v>1</v>
      </c>
      <c r="C27" s="2" t="s">
        <v>24</v>
      </c>
      <c r="D27" s="3">
        <v>325406.46000000002</v>
      </c>
      <c r="E27" s="3">
        <v>330645.38</v>
      </c>
      <c r="F27" s="171">
        <v>255903.46</v>
      </c>
      <c r="G27" s="171">
        <v>147664.54999999999</v>
      </c>
      <c r="H27" s="171">
        <v>0</v>
      </c>
      <c r="I27" s="171">
        <v>403407.51</v>
      </c>
      <c r="J27" s="172">
        <v>98424.47</v>
      </c>
      <c r="K27" s="171">
        <v>2846755</v>
      </c>
      <c r="L27" s="171">
        <v>0</v>
      </c>
      <c r="M27" s="3">
        <v>0</v>
      </c>
      <c r="N27" s="173">
        <v>0</v>
      </c>
      <c r="O27" s="154">
        <f t="shared" si="1"/>
        <v>3752154.99</v>
      </c>
      <c r="P27" s="3">
        <f t="shared" si="2"/>
        <v>3348586.98</v>
      </c>
      <c r="Q27" s="3">
        <f t="shared" si="3"/>
        <v>403407.51</v>
      </c>
      <c r="R27" s="3">
        <f t="shared" si="4"/>
        <v>98424.47</v>
      </c>
      <c r="S27" s="3">
        <f t="shared" si="5"/>
        <v>2846755</v>
      </c>
      <c r="T27" s="3">
        <f t="shared" si="6"/>
        <v>0</v>
      </c>
      <c r="U27" s="3">
        <v>0</v>
      </c>
      <c r="V27" s="3">
        <v>0</v>
      </c>
      <c r="W27" s="175">
        <f t="shared" si="8"/>
        <v>281093.61</v>
      </c>
      <c r="X27" s="175">
        <f t="shared" si="8"/>
        <v>0</v>
      </c>
      <c r="Z27" s="2">
        <f>[2]credits!$M27-U27</f>
        <v>39833.17</v>
      </c>
      <c r="AA27" s="2">
        <f>[2]credits!$O27-V27</f>
        <v>9718.61</v>
      </c>
      <c r="AB27" s="2">
        <f>[2]credits!$Q27-W27</f>
        <v>0</v>
      </c>
      <c r="AC27" s="2">
        <f>[2]credits!$S27-X27</f>
        <v>0</v>
      </c>
    </row>
    <row r="28" spans="1:29" ht="15" x14ac:dyDescent="0.25">
      <c r="A28" s="5">
        <v>75</v>
      </c>
      <c r="B28" s="5">
        <v>1</v>
      </c>
      <c r="C28" s="2" t="s">
        <v>25</v>
      </c>
      <c r="D28" s="3">
        <v>74303.739999999991</v>
      </c>
      <c r="E28" s="3">
        <v>79275.990000000005</v>
      </c>
      <c r="F28" s="171">
        <v>216863.33</v>
      </c>
      <c r="G28" s="171">
        <v>72709.350000000006</v>
      </c>
      <c r="H28" s="171">
        <v>0</v>
      </c>
      <c r="I28" s="171">
        <v>213725.47</v>
      </c>
      <c r="J28" s="172">
        <v>30746.71</v>
      </c>
      <c r="K28" s="171">
        <v>923502.58</v>
      </c>
      <c r="L28" s="171">
        <v>0</v>
      </c>
      <c r="M28" s="3">
        <v>0</v>
      </c>
      <c r="N28" s="173">
        <v>0</v>
      </c>
      <c r="O28" s="154">
        <f t="shared" si="1"/>
        <v>1457547.44</v>
      </c>
      <c r="P28" s="3">
        <f t="shared" si="2"/>
        <v>1167974.76</v>
      </c>
      <c r="Q28" s="3">
        <f t="shared" si="3"/>
        <v>213725.47</v>
      </c>
      <c r="R28" s="3">
        <f t="shared" si="4"/>
        <v>30746.71</v>
      </c>
      <c r="S28" s="3">
        <f t="shared" si="5"/>
        <v>923502.58</v>
      </c>
      <c r="T28" s="3">
        <f t="shared" si="6"/>
        <v>0</v>
      </c>
      <c r="U28" s="3">
        <v>0</v>
      </c>
      <c r="V28" s="3">
        <v>0</v>
      </c>
      <c r="W28" s="175">
        <f t="shared" si="8"/>
        <v>62682.5</v>
      </c>
      <c r="X28" s="175">
        <f t="shared" si="8"/>
        <v>0</v>
      </c>
      <c r="Z28" s="2">
        <f>[2]credits!$M28-U28</f>
        <v>14506.56</v>
      </c>
      <c r="AA28" s="2">
        <f>[2]credits!$O28-V28</f>
        <v>2086.9299999999998</v>
      </c>
      <c r="AB28" s="2">
        <f>[2]credits!$Q28-W28</f>
        <v>0</v>
      </c>
      <c r="AC28" s="2">
        <f>[2]credits!$S28-X28</f>
        <v>0</v>
      </c>
    </row>
    <row r="29" spans="1:29" ht="15" x14ac:dyDescent="0.25">
      <c r="A29" s="5">
        <v>77</v>
      </c>
      <c r="B29" s="5">
        <v>1</v>
      </c>
      <c r="C29" s="2" t="s">
        <v>26</v>
      </c>
      <c r="D29" s="3">
        <v>655551.76</v>
      </c>
      <c r="E29" s="3">
        <v>693612.28</v>
      </c>
      <c r="F29" s="171">
        <v>5457333.6200000001</v>
      </c>
      <c r="G29" s="171">
        <v>1108874.51</v>
      </c>
      <c r="H29" s="171">
        <v>500000</v>
      </c>
      <c r="I29" s="171">
        <v>3134312.89</v>
      </c>
      <c r="J29" s="172">
        <v>669107.93000000005</v>
      </c>
      <c r="K29" s="171">
        <v>5483319.9699999997</v>
      </c>
      <c r="L29" s="171">
        <v>0</v>
      </c>
      <c r="M29" s="3">
        <v>0</v>
      </c>
      <c r="N29" s="173">
        <v>1023729</v>
      </c>
      <c r="O29" s="154">
        <f t="shared" si="1"/>
        <v>17376677.919999998</v>
      </c>
      <c r="P29" s="3">
        <f t="shared" si="2"/>
        <v>10810469.789999999</v>
      </c>
      <c r="Q29" s="3">
        <f t="shared" si="3"/>
        <v>3634312.89</v>
      </c>
      <c r="R29" s="3">
        <f t="shared" si="4"/>
        <v>669107.93000000005</v>
      </c>
      <c r="S29" s="3">
        <f t="shared" si="5"/>
        <v>5483319.9699999997</v>
      </c>
      <c r="T29" s="3">
        <f t="shared" si="6"/>
        <v>1023729</v>
      </c>
      <c r="U29" s="3">
        <v>0</v>
      </c>
      <c r="V29" s="3">
        <v>0</v>
      </c>
      <c r="W29" s="175">
        <f t="shared" si="8"/>
        <v>351816.17</v>
      </c>
      <c r="X29" s="175">
        <f t="shared" si="8"/>
        <v>65683.64</v>
      </c>
      <c r="Z29" s="2">
        <f>[2]credits!$M29-U29</f>
        <v>233181.73</v>
      </c>
      <c r="AA29" s="2">
        <f>[2]credits!$O29-V29</f>
        <v>42930.74</v>
      </c>
      <c r="AB29" s="2">
        <f>[2]credits!$Q29-W29</f>
        <v>0</v>
      </c>
      <c r="AC29" s="2">
        <f>[2]credits!$S29-X29</f>
        <v>0</v>
      </c>
    </row>
    <row r="30" spans="1:29" ht="15" x14ac:dyDescent="0.25">
      <c r="A30" s="5">
        <v>81</v>
      </c>
      <c r="B30" s="5">
        <v>1</v>
      </c>
      <c r="C30" s="2" t="s">
        <v>27</v>
      </c>
      <c r="D30" s="3">
        <v>14149.09</v>
      </c>
      <c r="E30" s="3">
        <v>18230.78</v>
      </c>
      <c r="F30" s="171">
        <v>154586.38</v>
      </c>
      <c r="G30" s="171">
        <v>16411.63</v>
      </c>
      <c r="H30" s="171">
        <v>0</v>
      </c>
      <c r="I30" s="171">
        <v>136015.71</v>
      </c>
      <c r="J30" s="172">
        <v>24672.28</v>
      </c>
      <c r="K30" s="171">
        <v>0</v>
      </c>
      <c r="L30" s="171">
        <v>0</v>
      </c>
      <c r="M30" s="3">
        <v>0</v>
      </c>
      <c r="N30" s="173">
        <v>0</v>
      </c>
      <c r="O30" s="154">
        <f t="shared" si="1"/>
        <v>331686</v>
      </c>
      <c r="P30" s="3">
        <f t="shared" si="2"/>
        <v>160687.99</v>
      </c>
      <c r="Q30" s="3">
        <f t="shared" si="3"/>
        <v>136015.71</v>
      </c>
      <c r="R30" s="3">
        <f t="shared" si="4"/>
        <v>24672.28</v>
      </c>
      <c r="S30" s="3">
        <f t="shared" si="5"/>
        <v>0</v>
      </c>
      <c r="T30" s="3">
        <f t="shared" si="6"/>
        <v>0</v>
      </c>
      <c r="U30" s="3">
        <v>0</v>
      </c>
      <c r="V30" s="3">
        <v>0</v>
      </c>
      <c r="W30" s="175">
        <f t="shared" si="8"/>
        <v>0</v>
      </c>
      <c r="X30" s="175">
        <f t="shared" si="8"/>
        <v>0</v>
      </c>
      <c r="Z30" s="2">
        <f>[2]credits!$M30-U30</f>
        <v>15431.6</v>
      </c>
      <c r="AA30" s="2">
        <f>[2]credits!$O30-V30</f>
        <v>2799.18</v>
      </c>
      <c r="AB30" s="2">
        <f>[2]credits!$Q30-W30</f>
        <v>0</v>
      </c>
      <c r="AC30" s="2">
        <f>[2]credits!$S30-X30</f>
        <v>0</v>
      </c>
    </row>
    <row r="31" spans="1:29" ht="15" x14ac:dyDescent="0.25">
      <c r="A31" s="5">
        <v>84</v>
      </c>
      <c r="B31" s="5">
        <v>1</v>
      </c>
      <c r="C31" s="2" t="s">
        <v>28</v>
      </c>
      <c r="D31" s="3">
        <v>89288.26999999999</v>
      </c>
      <c r="E31" s="3">
        <v>76452.289999999994</v>
      </c>
      <c r="F31" s="171">
        <v>0</v>
      </c>
      <c r="G31" s="171">
        <v>74813.91</v>
      </c>
      <c r="H31" s="171">
        <v>0</v>
      </c>
      <c r="I31" s="171">
        <v>257059.63</v>
      </c>
      <c r="J31" s="172">
        <v>72040.94</v>
      </c>
      <c r="K31" s="171">
        <v>0</v>
      </c>
      <c r="L31" s="171">
        <v>365599.18</v>
      </c>
      <c r="M31" s="3">
        <v>0</v>
      </c>
      <c r="N31" s="173">
        <v>0</v>
      </c>
      <c r="O31" s="154">
        <f t="shared" si="1"/>
        <v>769513.66</v>
      </c>
      <c r="P31" s="3">
        <f t="shared" si="2"/>
        <v>694699.75</v>
      </c>
      <c r="Q31" s="3">
        <f t="shared" si="3"/>
        <v>257059.63</v>
      </c>
      <c r="R31" s="3">
        <f t="shared" si="4"/>
        <v>72040.94</v>
      </c>
      <c r="S31" s="3">
        <f t="shared" si="5"/>
        <v>365599.18</v>
      </c>
      <c r="T31" s="3">
        <f t="shared" si="6"/>
        <v>0</v>
      </c>
      <c r="U31" s="3">
        <v>0</v>
      </c>
      <c r="V31" s="3">
        <v>0</v>
      </c>
      <c r="W31" s="175">
        <f t="shared" si="8"/>
        <v>40234.5</v>
      </c>
      <c r="X31" s="175">
        <f t="shared" si="8"/>
        <v>0</v>
      </c>
      <c r="Z31" s="2">
        <f>[2]credits!$M31-U31</f>
        <v>28289.63</v>
      </c>
      <c r="AA31" s="2">
        <f>[2]credits!$O31-V31</f>
        <v>7928.17</v>
      </c>
      <c r="AB31" s="2">
        <f>[2]credits!$Q31-W31</f>
        <v>0</v>
      </c>
      <c r="AC31" s="2">
        <f>[2]credits!$S31-X31</f>
        <v>0</v>
      </c>
    </row>
    <row r="32" spans="1:29" ht="15" x14ac:dyDescent="0.25">
      <c r="A32" s="5">
        <v>85</v>
      </c>
      <c r="B32" s="5">
        <v>1</v>
      </c>
      <c r="C32" s="2" t="s">
        <v>29</v>
      </c>
      <c r="D32" s="3">
        <v>64340.39</v>
      </c>
      <c r="E32" s="3">
        <v>62705.03</v>
      </c>
      <c r="F32" s="171">
        <v>157575.48000000001</v>
      </c>
      <c r="G32" s="171">
        <v>38587.599999999999</v>
      </c>
      <c r="H32" s="171">
        <v>0</v>
      </c>
      <c r="I32" s="171">
        <v>210083.34</v>
      </c>
      <c r="J32" s="172">
        <v>33773.17</v>
      </c>
      <c r="K32" s="171">
        <v>469178.61</v>
      </c>
      <c r="L32" s="171">
        <v>0</v>
      </c>
      <c r="M32" s="3">
        <v>0</v>
      </c>
      <c r="N32" s="173">
        <v>0</v>
      </c>
      <c r="O32" s="154">
        <f t="shared" si="1"/>
        <v>909198.2</v>
      </c>
      <c r="P32" s="3">
        <f t="shared" si="2"/>
        <v>713035.12</v>
      </c>
      <c r="Q32" s="3">
        <f t="shared" si="3"/>
        <v>210083.34</v>
      </c>
      <c r="R32" s="3">
        <f t="shared" si="4"/>
        <v>33773.17</v>
      </c>
      <c r="S32" s="3">
        <f t="shared" si="5"/>
        <v>469178.61</v>
      </c>
      <c r="T32" s="3">
        <f t="shared" si="6"/>
        <v>0</v>
      </c>
      <c r="U32" s="3">
        <v>0</v>
      </c>
      <c r="V32" s="3">
        <v>0</v>
      </c>
      <c r="W32" s="175">
        <f t="shared" si="8"/>
        <v>41260.04</v>
      </c>
      <c r="X32" s="175">
        <f t="shared" si="8"/>
        <v>0</v>
      </c>
      <c r="Z32" s="2">
        <f>[2]credits!$M32-U32</f>
        <v>18474.939999999999</v>
      </c>
      <c r="AA32" s="2">
        <f>[2]credits!$O32-V32</f>
        <v>2970.05</v>
      </c>
      <c r="AB32" s="2">
        <f>[2]credits!$Q32-W32</f>
        <v>0</v>
      </c>
      <c r="AC32" s="2">
        <f>[2]credits!$S32-X32</f>
        <v>0</v>
      </c>
    </row>
    <row r="33" spans="1:29" ht="15" x14ac:dyDescent="0.25">
      <c r="A33" s="5">
        <v>88</v>
      </c>
      <c r="B33" s="5">
        <v>1</v>
      </c>
      <c r="C33" s="2" t="s">
        <v>30</v>
      </c>
      <c r="D33" s="3">
        <v>295930.39</v>
      </c>
      <c r="E33" s="3">
        <v>294418.49</v>
      </c>
      <c r="F33" s="171">
        <v>1777890.32</v>
      </c>
      <c r="G33" s="171">
        <v>239996.64</v>
      </c>
      <c r="H33" s="171">
        <v>0</v>
      </c>
      <c r="I33" s="171">
        <v>1200874.18</v>
      </c>
      <c r="J33" s="172">
        <v>204030.21</v>
      </c>
      <c r="K33" s="171">
        <v>761684.79</v>
      </c>
      <c r="L33" s="171">
        <v>766187.25</v>
      </c>
      <c r="M33" s="3">
        <v>0</v>
      </c>
      <c r="N33" s="173">
        <v>0</v>
      </c>
      <c r="O33" s="154">
        <f t="shared" si="1"/>
        <v>4950663.3899999997</v>
      </c>
      <c r="P33" s="3">
        <f t="shared" si="2"/>
        <v>2932776.4299999997</v>
      </c>
      <c r="Q33" s="3">
        <f t="shared" si="3"/>
        <v>1200874.18</v>
      </c>
      <c r="R33" s="3">
        <f t="shared" si="4"/>
        <v>204030.21</v>
      </c>
      <c r="S33" s="3">
        <f t="shared" si="5"/>
        <v>1527872.04</v>
      </c>
      <c r="T33" s="3">
        <f t="shared" si="6"/>
        <v>0</v>
      </c>
      <c r="U33" s="3">
        <v>0</v>
      </c>
      <c r="V33" s="3">
        <v>0</v>
      </c>
      <c r="W33" s="175">
        <f t="shared" si="8"/>
        <v>153381.54</v>
      </c>
      <c r="X33" s="175">
        <f t="shared" si="8"/>
        <v>0</v>
      </c>
      <c r="Z33" s="2">
        <f>[2]credits!$M33-U33</f>
        <v>120554.56</v>
      </c>
      <c r="AA33" s="2">
        <f>[2]credits!$O33-V33</f>
        <v>20482.39</v>
      </c>
      <c r="AB33" s="2">
        <f>[2]credits!$Q33-W33</f>
        <v>0</v>
      </c>
      <c r="AC33" s="2">
        <f>[2]credits!$S33-X33</f>
        <v>0</v>
      </c>
    </row>
    <row r="34" spans="1:29" ht="15" x14ac:dyDescent="0.25">
      <c r="A34" s="5">
        <v>91</v>
      </c>
      <c r="B34" s="5">
        <v>1</v>
      </c>
      <c r="C34" s="2" t="s">
        <v>31</v>
      </c>
      <c r="D34" s="3">
        <v>135824.41999999998</v>
      </c>
      <c r="E34" s="3">
        <v>134447.60999999999</v>
      </c>
      <c r="F34" s="171">
        <v>93222.74</v>
      </c>
      <c r="G34" s="171">
        <v>74501.31</v>
      </c>
      <c r="H34" s="171">
        <v>0</v>
      </c>
      <c r="I34" s="171">
        <v>199766.92</v>
      </c>
      <c r="J34" s="172">
        <v>50273.37</v>
      </c>
      <c r="K34" s="171">
        <v>1264132.3899999999</v>
      </c>
      <c r="L34" s="171">
        <v>0</v>
      </c>
      <c r="M34" s="3">
        <v>0</v>
      </c>
      <c r="N34" s="173">
        <v>0</v>
      </c>
      <c r="O34" s="154">
        <f t="shared" si="1"/>
        <v>1681896.73</v>
      </c>
      <c r="P34" s="3">
        <f t="shared" si="2"/>
        <v>1514172.68</v>
      </c>
      <c r="Q34" s="3">
        <f t="shared" si="3"/>
        <v>199766.92</v>
      </c>
      <c r="R34" s="3">
        <f t="shared" si="4"/>
        <v>50273.37</v>
      </c>
      <c r="S34" s="3">
        <f t="shared" si="5"/>
        <v>1264132.3899999999</v>
      </c>
      <c r="T34" s="3">
        <f t="shared" si="6"/>
        <v>0</v>
      </c>
      <c r="U34" s="3">
        <v>0</v>
      </c>
      <c r="V34" s="3">
        <v>0</v>
      </c>
      <c r="W34" s="175">
        <f t="shared" si="8"/>
        <v>112245.84</v>
      </c>
      <c r="X34" s="175">
        <f t="shared" si="8"/>
        <v>0</v>
      </c>
      <c r="Z34" s="2">
        <f>[2]credits!$M34-U34</f>
        <v>17737.86</v>
      </c>
      <c r="AA34" s="2">
        <f>[2]credits!$O34-V34</f>
        <v>4463.91</v>
      </c>
      <c r="AB34" s="2">
        <f>[2]credits!$Q34-W34</f>
        <v>0</v>
      </c>
      <c r="AC34" s="2">
        <f>[2]credits!$S34-X34</f>
        <v>0</v>
      </c>
    </row>
    <row r="35" spans="1:29" ht="15" x14ac:dyDescent="0.25">
      <c r="A35" s="5">
        <v>93</v>
      </c>
      <c r="B35" s="5">
        <v>1</v>
      </c>
      <c r="C35" s="2" t="s">
        <v>32</v>
      </c>
      <c r="D35" s="3">
        <v>62280.729999999996</v>
      </c>
      <c r="E35" s="3">
        <v>62846.61</v>
      </c>
      <c r="F35" s="171">
        <v>757879.99</v>
      </c>
      <c r="G35" s="171">
        <v>27502.32</v>
      </c>
      <c r="H35" s="171">
        <v>0</v>
      </c>
      <c r="I35" s="171">
        <v>178535.83</v>
      </c>
      <c r="J35" s="172">
        <v>39107.230000000003</v>
      </c>
      <c r="K35" s="171">
        <v>0</v>
      </c>
      <c r="L35" s="171">
        <v>66485.279999999999</v>
      </c>
      <c r="M35" s="3">
        <v>0</v>
      </c>
      <c r="N35" s="173">
        <v>232607</v>
      </c>
      <c r="O35" s="154">
        <f t="shared" si="1"/>
        <v>1302117.6499999999</v>
      </c>
      <c r="P35" s="3">
        <f t="shared" si="2"/>
        <v>516735.33999999997</v>
      </c>
      <c r="Q35" s="3">
        <f t="shared" si="3"/>
        <v>178535.83</v>
      </c>
      <c r="R35" s="3">
        <f t="shared" si="4"/>
        <v>39107.230000000003</v>
      </c>
      <c r="S35" s="3">
        <f t="shared" si="5"/>
        <v>66485.279999999999</v>
      </c>
      <c r="T35" s="3">
        <f t="shared" si="6"/>
        <v>232607</v>
      </c>
      <c r="U35" s="3">
        <v>0</v>
      </c>
      <c r="V35" s="3">
        <v>0</v>
      </c>
      <c r="W35" s="175">
        <f t="shared" si="8"/>
        <v>8086.1</v>
      </c>
      <c r="X35" s="175">
        <f t="shared" si="8"/>
        <v>28290.23</v>
      </c>
      <c r="Z35" s="2">
        <f>[2]credits!$M35-U35</f>
        <v>21713.96</v>
      </c>
      <c r="AA35" s="2">
        <f>[2]credits!$O35-V35</f>
        <v>4756.32</v>
      </c>
      <c r="AB35" s="2">
        <f>[2]credits!$Q35-W35</f>
        <v>0</v>
      </c>
      <c r="AC35" s="2">
        <f>[2]credits!$S35-X35</f>
        <v>0</v>
      </c>
    </row>
    <row r="36" spans="1:29" ht="15" x14ac:dyDescent="0.25">
      <c r="A36" s="5">
        <v>94</v>
      </c>
      <c r="B36" s="5">
        <v>1</v>
      </c>
      <c r="C36" s="2" t="s">
        <v>33</v>
      </c>
      <c r="D36" s="3">
        <v>420209.35</v>
      </c>
      <c r="E36" s="3">
        <v>393362.27</v>
      </c>
      <c r="F36" s="171">
        <v>172791.6</v>
      </c>
      <c r="G36" s="171">
        <v>256783.1</v>
      </c>
      <c r="H36" s="171">
        <v>0</v>
      </c>
      <c r="I36" s="171">
        <v>466823.35</v>
      </c>
      <c r="J36" s="172">
        <v>246291.27</v>
      </c>
      <c r="K36" s="171">
        <v>1063368.98</v>
      </c>
      <c r="L36" s="171">
        <v>862158.19</v>
      </c>
      <c r="M36" s="3">
        <v>0</v>
      </c>
      <c r="N36" s="173">
        <v>553251</v>
      </c>
      <c r="O36" s="154">
        <f t="shared" si="1"/>
        <v>3621467.4899999998</v>
      </c>
      <c r="P36" s="3">
        <f t="shared" si="2"/>
        <v>3191892.79</v>
      </c>
      <c r="Q36" s="3">
        <f t="shared" si="3"/>
        <v>466823.35</v>
      </c>
      <c r="R36" s="3">
        <f t="shared" si="4"/>
        <v>246291.27</v>
      </c>
      <c r="S36" s="3">
        <f t="shared" si="5"/>
        <v>1925527.17</v>
      </c>
      <c r="T36" s="3">
        <f t="shared" si="6"/>
        <v>553251</v>
      </c>
      <c r="U36" s="3">
        <v>0</v>
      </c>
      <c r="V36" s="3">
        <v>0</v>
      </c>
      <c r="W36" s="175">
        <f t="shared" si="8"/>
        <v>237297.99</v>
      </c>
      <c r="X36" s="175">
        <f t="shared" si="8"/>
        <v>68181.509999999995</v>
      </c>
      <c r="Z36" s="2">
        <f>[2]credits!$M36-U36</f>
        <v>57530.34</v>
      </c>
      <c r="AA36" s="2">
        <f>[2]credits!$O36-V36</f>
        <v>30352.43</v>
      </c>
      <c r="AB36" s="2">
        <f>[2]credits!$Q36-W36</f>
        <v>0</v>
      </c>
      <c r="AC36" s="2">
        <f>[2]credits!$S36-X36</f>
        <v>0</v>
      </c>
    </row>
    <row r="37" spans="1:29" ht="15" x14ac:dyDescent="0.25">
      <c r="A37" s="5">
        <v>95</v>
      </c>
      <c r="B37" s="5">
        <v>1</v>
      </c>
      <c r="C37" s="2" t="s">
        <v>34</v>
      </c>
      <c r="D37" s="3">
        <v>58497.95</v>
      </c>
      <c r="E37" s="3">
        <v>52010.1</v>
      </c>
      <c r="F37" s="171">
        <v>0</v>
      </c>
      <c r="G37" s="171">
        <v>38265.51</v>
      </c>
      <c r="H37" s="171">
        <v>0</v>
      </c>
      <c r="I37" s="171">
        <v>80719.78</v>
      </c>
      <c r="J37" s="172">
        <v>21171.99</v>
      </c>
      <c r="K37" s="171">
        <v>587123.57999999996</v>
      </c>
      <c r="L37" s="171">
        <v>0</v>
      </c>
      <c r="M37" s="3">
        <v>0</v>
      </c>
      <c r="N37" s="173">
        <v>0</v>
      </c>
      <c r="O37" s="154">
        <f t="shared" si="1"/>
        <v>727280.86</v>
      </c>
      <c r="P37" s="3">
        <f t="shared" si="2"/>
        <v>689015.35</v>
      </c>
      <c r="Q37" s="3">
        <f t="shared" si="3"/>
        <v>80719.78</v>
      </c>
      <c r="R37" s="3">
        <f t="shared" si="4"/>
        <v>21171.99</v>
      </c>
      <c r="S37" s="3">
        <f t="shared" si="5"/>
        <v>587123.57999999996</v>
      </c>
      <c r="T37" s="3">
        <f t="shared" si="6"/>
        <v>0</v>
      </c>
      <c r="U37" s="3">
        <v>0</v>
      </c>
      <c r="V37" s="3">
        <v>0</v>
      </c>
      <c r="W37" s="175">
        <f t="shared" si="8"/>
        <v>44318.83</v>
      </c>
      <c r="X37" s="175">
        <f t="shared" si="8"/>
        <v>0</v>
      </c>
      <c r="Z37" s="2">
        <f>[2]credits!$M37-U37</f>
        <v>6093.11</v>
      </c>
      <c r="AA37" s="2">
        <f>[2]credits!$O37-V37</f>
        <v>1598.16</v>
      </c>
      <c r="AB37" s="2">
        <f>[2]credits!$Q37-W37</f>
        <v>0</v>
      </c>
      <c r="AC37" s="2">
        <f>[2]credits!$S37-X37</f>
        <v>0</v>
      </c>
    </row>
    <row r="38" spans="1:29" ht="15" x14ac:dyDescent="0.25">
      <c r="A38" s="5">
        <v>97</v>
      </c>
      <c r="B38" s="5">
        <v>1</v>
      </c>
      <c r="C38" s="2" t="s">
        <v>35</v>
      </c>
      <c r="D38" s="3">
        <v>51460.200000000004</v>
      </c>
      <c r="E38" s="3">
        <v>52380.94</v>
      </c>
      <c r="F38" s="171">
        <v>156432.43</v>
      </c>
      <c r="G38" s="171">
        <v>86667.46</v>
      </c>
      <c r="H38" s="171">
        <v>0</v>
      </c>
      <c r="I38" s="171">
        <v>301160.64</v>
      </c>
      <c r="J38" s="172">
        <v>60223.75</v>
      </c>
      <c r="K38" s="171">
        <v>0</v>
      </c>
      <c r="L38" s="171">
        <v>0</v>
      </c>
      <c r="M38" s="3">
        <v>0</v>
      </c>
      <c r="N38" s="173">
        <v>0</v>
      </c>
      <c r="O38" s="154">
        <f t="shared" si="1"/>
        <v>604484.28</v>
      </c>
      <c r="P38" s="3">
        <f t="shared" si="2"/>
        <v>361384.39</v>
      </c>
      <c r="Q38" s="3">
        <f t="shared" si="3"/>
        <v>301160.64</v>
      </c>
      <c r="R38" s="3">
        <f t="shared" si="4"/>
        <v>60223.75</v>
      </c>
      <c r="S38" s="3">
        <f t="shared" si="5"/>
        <v>0</v>
      </c>
      <c r="T38" s="3">
        <f t="shared" si="6"/>
        <v>0</v>
      </c>
      <c r="U38" s="3">
        <v>0</v>
      </c>
      <c r="V38" s="3">
        <v>0</v>
      </c>
      <c r="W38" s="175">
        <f t="shared" si="8"/>
        <v>0</v>
      </c>
      <c r="X38" s="175">
        <f t="shared" si="8"/>
        <v>0</v>
      </c>
      <c r="Z38" s="2">
        <f>[2]credits!$M38-U38</f>
        <v>43651.8</v>
      </c>
      <c r="AA38" s="2">
        <f>[2]credits!$O38-V38</f>
        <v>8729.14</v>
      </c>
      <c r="AB38" s="2">
        <f>[2]credits!$Q38-W38</f>
        <v>0</v>
      </c>
      <c r="AC38" s="2">
        <f>[2]credits!$S38-X38</f>
        <v>0</v>
      </c>
    </row>
    <row r="39" spans="1:29" ht="15" x14ac:dyDescent="0.25">
      <c r="A39" s="5">
        <v>99</v>
      </c>
      <c r="B39" s="5">
        <v>1</v>
      </c>
      <c r="C39" s="2" t="s">
        <v>36</v>
      </c>
      <c r="D39" s="3">
        <v>113416.02</v>
      </c>
      <c r="E39" s="3">
        <v>106224.14</v>
      </c>
      <c r="F39" s="171">
        <v>782.24</v>
      </c>
      <c r="G39" s="171">
        <v>191527.67</v>
      </c>
      <c r="H39" s="171">
        <v>0</v>
      </c>
      <c r="I39" s="171">
        <v>252997.34</v>
      </c>
      <c r="J39" s="172">
        <v>55806.45</v>
      </c>
      <c r="K39" s="171">
        <v>962650.74</v>
      </c>
      <c r="L39" s="171">
        <v>0</v>
      </c>
      <c r="M39" s="3">
        <v>0</v>
      </c>
      <c r="N39" s="173">
        <v>119165</v>
      </c>
      <c r="O39" s="154">
        <f t="shared" si="1"/>
        <v>1582929.44</v>
      </c>
      <c r="P39" s="3">
        <f t="shared" si="2"/>
        <v>1390619.53</v>
      </c>
      <c r="Q39" s="3">
        <f t="shared" si="3"/>
        <v>252997.34</v>
      </c>
      <c r="R39" s="3">
        <f t="shared" si="4"/>
        <v>55806.45</v>
      </c>
      <c r="S39" s="3">
        <f t="shared" si="5"/>
        <v>962650.74</v>
      </c>
      <c r="T39" s="3">
        <f t="shared" si="6"/>
        <v>119165</v>
      </c>
      <c r="U39" s="3">
        <v>0</v>
      </c>
      <c r="V39" s="3">
        <v>0</v>
      </c>
      <c r="W39" s="175">
        <f t="shared" si="8"/>
        <v>73533.23</v>
      </c>
      <c r="X39" s="175">
        <f t="shared" si="8"/>
        <v>9102.56</v>
      </c>
      <c r="Z39" s="2">
        <f>[2]credits!$M39-U39</f>
        <v>19325.509999999998</v>
      </c>
      <c r="AA39" s="2">
        <f>[2]credits!$O39-V39</f>
        <v>4262.84</v>
      </c>
      <c r="AB39" s="2">
        <f>[2]credits!$Q39-W39</f>
        <v>0</v>
      </c>
      <c r="AC39" s="2">
        <f>[2]credits!$S39-X39</f>
        <v>0</v>
      </c>
    </row>
    <row r="40" spans="1:29" ht="15" x14ac:dyDescent="0.25">
      <c r="A40" s="5">
        <v>100</v>
      </c>
      <c r="B40" s="5">
        <v>1</v>
      </c>
      <c r="C40" s="2" t="s">
        <v>37</v>
      </c>
      <c r="D40" s="3">
        <v>33207.879999999997</v>
      </c>
      <c r="E40" s="3">
        <v>33777.69</v>
      </c>
      <c r="F40" s="171">
        <v>188557.15</v>
      </c>
      <c r="G40" s="171">
        <v>39651.910000000003</v>
      </c>
      <c r="H40" s="171">
        <v>0</v>
      </c>
      <c r="I40" s="171">
        <v>139794.49</v>
      </c>
      <c r="J40" s="172">
        <v>22239.52</v>
      </c>
      <c r="K40" s="171">
        <v>308306.61</v>
      </c>
      <c r="L40" s="171">
        <v>0</v>
      </c>
      <c r="M40" s="3">
        <v>0</v>
      </c>
      <c r="N40" s="173">
        <v>0</v>
      </c>
      <c r="O40" s="154">
        <f t="shared" si="1"/>
        <v>698549.67999999993</v>
      </c>
      <c r="P40" s="3">
        <f t="shared" si="2"/>
        <v>470340.62</v>
      </c>
      <c r="Q40" s="3">
        <f t="shared" si="3"/>
        <v>139794.49</v>
      </c>
      <c r="R40" s="3">
        <f t="shared" si="4"/>
        <v>22239.52</v>
      </c>
      <c r="S40" s="3">
        <f t="shared" si="5"/>
        <v>308306.61</v>
      </c>
      <c r="T40" s="3">
        <f t="shared" si="6"/>
        <v>0</v>
      </c>
      <c r="U40" s="3">
        <v>0</v>
      </c>
      <c r="V40" s="3">
        <v>0</v>
      </c>
      <c r="W40" s="175">
        <f t="shared" si="8"/>
        <v>22141.16</v>
      </c>
      <c r="X40" s="175">
        <f t="shared" si="8"/>
        <v>0</v>
      </c>
      <c r="Z40" s="2">
        <f>[2]credits!$M40-U40</f>
        <v>10039.39</v>
      </c>
      <c r="AA40" s="2">
        <f>[2]credits!$O40-V40</f>
        <v>1597.14</v>
      </c>
      <c r="AB40" s="2">
        <f>[2]credits!$Q40-W40</f>
        <v>0</v>
      </c>
      <c r="AC40" s="2">
        <f>[2]credits!$S40-X40</f>
        <v>0</v>
      </c>
    </row>
    <row r="41" spans="1:29" ht="15" x14ac:dyDescent="0.25">
      <c r="A41" s="5">
        <v>108</v>
      </c>
      <c r="B41" s="5">
        <v>1</v>
      </c>
      <c r="C41" s="2" t="s">
        <v>38</v>
      </c>
      <c r="D41" s="3">
        <v>111667.37</v>
      </c>
      <c r="E41" s="3">
        <v>117141.48</v>
      </c>
      <c r="F41" s="171">
        <v>635290</v>
      </c>
      <c r="G41" s="171">
        <v>186479.98</v>
      </c>
      <c r="H41" s="171">
        <v>0</v>
      </c>
      <c r="I41" s="171">
        <v>480644.64</v>
      </c>
      <c r="J41" s="172">
        <v>188362.06</v>
      </c>
      <c r="K41" s="171">
        <v>826377.28</v>
      </c>
      <c r="L41" s="171">
        <v>0</v>
      </c>
      <c r="M41" s="3">
        <v>0</v>
      </c>
      <c r="N41" s="173">
        <v>0</v>
      </c>
      <c r="O41" s="154">
        <f t="shared" si="1"/>
        <v>2317153.96</v>
      </c>
      <c r="P41" s="3">
        <f t="shared" si="2"/>
        <v>1495383.98</v>
      </c>
      <c r="Q41" s="3">
        <f t="shared" si="3"/>
        <v>480644.64</v>
      </c>
      <c r="R41" s="3">
        <f t="shared" si="4"/>
        <v>188362.06</v>
      </c>
      <c r="S41" s="3">
        <f t="shared" si="5"/>
        <v>826377.28</v>
      </c>
      <c r="T41" s="3">
        <f t="shared" si="6"/>
        <v>0</v>
      </c>
      <c r="U41" s="3">
        <v>0</v>
      </c>
      <c r="V41" s="3">
        <v>0</v>
      </c>
      <c r="W41" s="175">
        <f t="shared" si="8"/>
        <v>64734.58</v>
      </c>
      <c r="X41" s="175">
        <f t="shared" si="8"/>
        <v>0</v>
      </c>
      <c r="Z41" s="2">
        <f>[2]credits!$M41-U41</f>
        <v>37651.480000000003</v>
      </c>
      <c r="AA41" s="2">
        <f>[2]credits!$O41-V41</f>
        <v>14755.41</v>
      </c>
      <c r="AB41" s="2">
        <f>[2]credits!$Q41-W41</f>
        <v>0</v>
      </c>
      <c r="AC41" s="2">
        <f>[2]credits!$S41-X41</f>
        <v>0</v>
      </c>
    </row>
    <row r="42" spans="1:29" ht="15" x14ac:dyDescent="0.25">
      <c r="A42" s="5">
        <v>110</v>
      </c>
      <c r="B42" s="5">
        <v>1</v>
      </c>
      <c r="C42" s="2" t="s">
        <v>39</v>
      </c>
      <c r="D42" s="3">
        <v>253960.91</v>
      </c>
      <c r="E42" s="3">
        <v>294732.87</v>
      </c>
      <c r="F42" s="171">
        <v>2877361.83</v>
      </c>
      <c r="G42" s="171">
        <v>581841.93000000005</v>
      </c>
      <c r="H42" s="171">
        <v>0</v>
      </c>
      <c r="I42" s="171">
        <v>1418517.05</v>
      </c>
      <c r="J42" s="172">
        <v>299103.35999999999</v>
      </c>
      <c r="K42" s="171">
        <v>4983400.03</v>
      </c>
      <c r="L42" s="171">
        <v>0</v>
      </c>
      <c r="M42" s="3">
        <v>0</v>
      </c>
      <c r="N42" s="173">
        <v>369335</v>
      </c>
      <c r="O42" s="154">
        <f t="shared" si="1"/>
        <v>10529559.200000001</v>
      </c>
      <c r="P42" s="3">
        <f t="shared" si="2"/>
        <v>7070355.4400000004</v>
      </c>
      <c r="Q42" s="3">
        <f t="shared" si="3"/>
        <v>1418517.05</v>
      </c>
      <c r="R42" s="3">
        <f t="shared" si="4"/>
        <v>299103.35999999999</v>
      </c>
      <c r="S42" s="3">
        <f t="shared" si="5"/>
        <v>4983400.03</v>
      </c>
      <c r="T42" s="3">
        <f t="shared" si="6"/>
        <v>369335</v>
      </c>
      <c r="U42" s="3">
        <v>0</v>
      </c>
      <c r="V42" s="3">
        <v>0</v>
      </c>
      <c r="W42" s="175">
        <f t="shared" si="8"/>
        <v>207736.63</v>
      </c>
      <c r="X42" s="175">
        <f t="shared" si="8"/>
        <v>15396</v>
      </c>
      <c r="Z42" s="2">
        <f>[2]credits!$M42-U42</f>
        <v>58337.81</v>
      </c>
      <c r="AA42" s="2">
        <f>[2]credits!$O42-V42</f>
        <v>12300.9</v>
      </c>
      <c r="AB42" s="2">
        <f>[2]credits!$Q42-W42</f>
        <v>1168.2900000000081</v>
      </c>
      <c r="AC42" s="2">
        <f>[2]credits!$S42-X42</f>
        <v>-206.76000000000022</v>
      </c>
    </row>
    <row r="43" spans="1:29" ht="15" x14ac:dyDescent="0.25">
      <c r="A43" s="5">
        <v>111</v>
      </c>
      <c r="B43" s="5">
        <v>1</v>
      </c>
      <c r="C43" s="2" t="s">
        <v>40</v>
      </c>
      <c r="D43" s="3">
        <v>230556.09999999998</v>
      </c>
      <c r="E43" s="3">
        <v>232902.32</v>
      </c>
      <c r="F43" s="171">
        <v>454141.29</v>
      </c>
      <c r="G43" s="171">
        <v>344144.18</v>
      </c>
      <c r="H43" s="171">
        <v>0</v>
      </c>
      <c r="I43" s="171">
        <v>563617.15</v>
      </c>
      <c r="J43" s="172">
        <v>210711.69</v>
      </c>
      <c r="K43" s="171">
        <v>3490776.74</v>
      </c>
      <c r="L43" s="171">
        <v>11135.1</v>
      </c>
      <c r="M43" s="3">
        <v>0</v>
      </c>
      <c r="N43" s="173">
        <v>0</v>
      </c>
      <c r="O43" s="154">
        <f t="shared" si="1"/>
        <v>5074526.1500000004</v>
      </c>
      <c r="P43" s="3">
        <f t="shared" si="2"/>
        <v>4276240.68</v>
      </c>
      <c r="Q43" s="3">
        <f t="shared" si="3"/>
        <v>563617.15</v>
      </c>
      <c r="R43" s="3">
        <f t="shared" si="4"/>
        <v>210711.69</v>
      </c>
      <c r="S43" s="3">
        <f t="shared" si="5"/>
        <v>3501911.8400000003</v>
      </c>
      <c r="T43" s="3">
        <f t="shared" si="6"/>
        <v>0</v>
      </c>
      <c r="U43" s="3">
        <v>0</v>
      </c>
      <c r="V43" s="3">
        <v>0</v>
      </c>
      <c r="W43" s="175">
        <f t="shared" si="8"/>
        <v>190729.07</v>
      </c>
      <c r="X43" s="175">
        <f t="shared" si="8"/>
        <v>0</v>
      </c>
      <c r="Z43" s="2">
        <f>[2]credits!$M43-U43</f>
        <v>30697</v>
      </c>
      <c r="AA43" s="2">
        <f>[2]credits!$O43-V43</f>
        <v>11476.26</v>
      </c>
      <c r="AB43" s="2">
        <f>[2]credits!$Q43-W43</f>
        <v>0</v>
      </c>
      <c r="AC43" s="2">
        <f>[2]credits!$S43-X43</f>
        <v>0</v>
      </c>
    </row>
    <row r="44" spans="1:29" ht="15" x14ac:dyDescent="0.25">
      <c r="A44" s="5">
        <v>112</v>
      </c>
      <c r="B44" s="5">
        <v>1</v>
      </c>
      <c r="C44" s="2" t="s">
        <v>41</v>
      </c>
      <c r="D44" s="3">
        <v>617504.03999999992</v>
      </c>
      <c r="E44" s="3">
        <v>704966.04</v>
      </c>
      <c r="F44" s="171">
        <v>12040765.859999999</v>
      </c>
      <c r="G44" s="171">
        <v>1147463.8999999999</v>
      </c>
      <c r="H44" s="171">
        <v>0</v>
      </c>
      <c r="I44" s="171">
        <v>4436899.47</v>
      </c>
      <c r="J44" s="172">
        <v>834803.51</v>
      </c>
      <c r="K44" s="171">
        <v>18211968.559999999</v>
      </c>
      <c r="L44" s="171">
        <v>0</v>
      </c>
      <c r="M44" s="3">
        <v>0</v>
      </c>
      <c r="N44" s="173">
        <v>725974</v>
      </c>
      <c r="O44" s="154">
        <f t="shared" si="1"/>
        <v>37397875.299999997</v>
      </c>
      <c r="P44" s="3">
        <f t="shared" si="2"/>
        <v>24209645.539999999</v>
      </c>
      <c r="Q44" s="3">
        <f t="shared" si="3"/>
        <v>4436899.47</v>
      </c>
      <c r="R44" s="3">
        <f t="shared" si="4"/>
        <v>834803.51</v>
      </c>
      <c r="S44" s="3">
        <f t="shared" si="5"/>
        <v>18211968.559999999</v>
      </c>
      <c r="T44" s="3">
        <f t="shared" si="6"/>
        <v>725974</v>
      </c>
      <c r="U44" s="3">
        <v>0</v>
      </c>
      <c r="V44" s="3">
        <v>0</v>
      </c>
      <c r="W44" s="175">
        <f t="shared" si="8"/>
        <v>530318.35</v>
      </c>
      <c r="X44" s="175">
        <f t="shared" si="8"/>
        <v>21139.8</v>
      </c>
      <c r="Z44" s="2">
        <f>[2]credits!$M44-U44</f>
        <v>129199.06</v>
      </c>
      <c r="AA44" s="2">
        <f>[2]credits!$O44-V44</f>
        <v>24308.83</v>
      </c>
      <c r="AB44" s="2">
        <f>[2]credits!$Q44-W44</f>
        <v>0</v>
      </c>
      <c r="AC44" s="2">
        <f>[2]credits!$S44-X44</f>
        <v>0</v>
      </c>
    </row>
    <row r="45" spans="1:29" ht="15" x14ac:dyDescent="0.25">
      <c r="A45" s="5">
        <v>113</v>
      </c>
      <c r="B45" s="5">
        <v>1</v>
      </c>
      <c r="C45" s="2" t="s">
        <v>42</v>
      </c>
      <c r="D45" s="3">
        <v>51656.000000000007</v>
      </c>
      <c r="E45" s="3">
        <v>72841.72</v>
      </c>
      <c r="F45" s="171">
        <v>0</v>
      </c>
      <c r="G45" s="171">
        <v>159096.73000000001</v>
      </c>
      <c r="H45" s="171">
        <v>0</v>
      </c>
      <c r="I45" s="171">
        <v>418608.75</v>
      </c>
      <c r="J45" s="172">
        <v>85878.88</v>
      </c>
      <c r="K45" s="171">
        <v>1054674.92</v>
      </c>
      <c r="L45" s="171">
        <v>215408.46</v>
      </c>
      <c r="M45" s="3">
        <v>0</v>
      </c>
      <c r="N45" s="173">
        <v>0</v>
      </c>
      <c r="O45" s="154">
        <f t="shared" si="1"/>
        <v>1933667.7399999998</v>
      </c>
      <c r="P45" s="3">
        <f t="shared" si="2"/>
        <v>1774571.0099999998</v>
      </c>
      <c r="Q45" s="3">
        <f t="shared" si="3"/>
        <v>418608.75</v>
      </c>
      <c r="R45" s="3">
        <f t="shared" si="4"/>
        <v>85878.88</v>
      </c>
      <c r="S45" s="3">
        <f t="shared" si="5"/>
        <v>1270083.3799999999</v>
      </c>
      <c r="T45" s="3">
        <f t="shared" si="6"/>
        <v>0</v>
      </c>
      <c r="U45" s="3">
        <v>0</v>
      </c>
      <c r="V45" s="3">
        <v>0</v>
      </c>
      <c r="W45" s="175">
        <f t="shared" si="8"/>
        <v>52133.760000000002</v>
      </c>
      <c r="X45" s="175">
        <f t="shared" si="8"/>
        <v>0</v>
      </c>
      <c r="Z45" s="2">
        <f>[2]credits!$M45-U45</f>
        <v>17182.849999999999</v>
      </c>
      <c r="AA45" s="2">
        <f>[2]credits!$O45-V45</f>
        <v>3525.11</v>
      </c>
      <c r="AB45" s="2">
        <f>[2]credits!$Q45-W45</f>
        <v>0</v>
      </c>
      <c r="AC45" s="2">
        <f>[2]credits!$S45-X45</f>
        <v>0</v>
      </c>
    </row>
    <row r="46" spans="1:29" ht="15" x14ac:dyDescent="0.25">
      <c r="A46" s="5">
        <v>115</v>
      </c>
      <c r="B46" s="5">
        <v>1</v>
      </c>
      <c r="C46" s="2" t="s">
        <v>43</v>
      </c>
      <c r="D46" s="3">
        <v>79729.2</v>
      </c>
      <c r="E46" s="3">
        <v>71879.33</v>
      </c>
      <c r="F46" s="171">
        <v>0</v>
      </c>
      <c r="G46" s="171">
        <v>243785.29</v>
      </c>
      <c r="H46" s="171">
        <v>0</v>
      </c>
      <c r="I46" s="171">
        <v>188718.58</v>
      </c>
      <c r="J46" s="172">
        <v>45603.7</v>
      </c>
      <c r="K46" s="171">
        <v>1599754.89</v>
      </c>
      <c r="L46" s="171">
        <v>0</v>
      </c>
      <c r="M46" s="3">
        <v>0</v>
      </c>
      <c r="N46" s="173">
        <v>0</v>
      </c>
      <c r="O46" s="154">
        <f t="shared" si="1"/>
        <v>2077862.46</v>
      </c>
      <c r="P46" s="3">
        <f t="shared" si="2"/>
        <v>1834077.17</v>
      </c>
      <c r="Q46" s="3">
        <f t="shared" si="3"/>
        <v>188718.58</v>
      </c>
      <c r="R46" s="3">
        <f t="shared" si="4"/>
        <v>45603.7</v>
      </c>
      <c r="S46" s="3">
        <f t="shared" si="5"/>
        <v>1599754.89</v>
      </c>
      <c r="T46" s="3">
        <f t="shared" si="6"/>
        <v>0</v>
      </c>
      <c r="U46" s="3">
        <v>0</v>
      </c>
      <c r="V46" s="3">
        <v>0</v>
      </c>
      <c r="W46" s="175">
        <f t="shared" si="8"/>
        <v>62696</v>
      </c>
      <c r="X46" s="175">
        <f t="shared" si="8"/>
        <v>0</v>
      </c>
      <c r="Z46" s="2">
        <f>[2]credits!$M46-U46</f>
        <v>7396.07</v>
      </c>
      <c r="AA46" s="2">
        <f>[2]credits!$O46-V46</f>
        <v>1787.25</v>
      </c>
      <c r="AB46" s="2">
        <f>[2]credits!$Q46-W46</f>
        <v>0</v>
      </c>
      <c r="AC46" s="2">
        <f>[2]credits!$S46-X46</f>
        <v>0</v>
      </c>
    </row>
    <row r="47" spans="1:29" ht="15" x14ac:dyDescent="0.25">
      <c r="A47" s="5">
        <v>116</v>
      </c>
      <c r="B47" s="5">
        <v>1</v>
      </c>
      <c r="C47" s="2" t="s">
        <v>44</v>
      </c>
      <c r="D47" s="3">
        <v>60919.789999999994</v>
      </c>
      <c r="E47" s="3">
        <v>67313.850000000006</v>
      </c>
      <c r="F47" s="171">
        <v>0</v>
      </c>
      <c r="G47" s="171">
        <v>185346.66</v>
      </c>
      <c r="H47" s="171">
        <v>0</v>
      </c>
      <c r="I47" s="171">
        <v>479090.76</v>
      </c>
      <c r="J47" s="172">
        <v>112574.39</v>
      </c>
      <c r="K47" s="171">
        <v>489757.65</v>
      </c>
      <c r="L47" s="171">
        <v>0</v>
      </c>
      <c r="M47" s="3">
        <v>0</v>
      </c>
      <c r="N47" s="173">
        <v>213969</v>
      </c>
      <c r="O47" s="154">
        <f t="shared" si="1"/>
        <v>1480738.46</v>
      </c>
      <c r="P47" s="3">
        <f t="shared" si="2"/>
        <v>1295391.8</v>
      </c>
      <c r="Q47" s="3">
        <f t="shared" si="3"/>
        <v>479090.76</v>
      </c>
      <c r="R47" s="3">
        <f t="shared" si="4"/>
        <v>112574.39</v>
      </c>
      <c r="S47" s="3">
        <f t="shared" si="5"/>
        <v>489757.65</v>
      </c>
      <c r="T47" s="3">
        <f t="shared" si="6"/>
        <v>213969</v>
      </c>
      <c r="U47" s="3">
        <v>0</v>
      </c>
      <c r="V47" s="3">
        <v>0</v>
      </c>
      <c r="W47" s="175">
        <f t="shared" si="8"/>
        <v>25449.81</v>
      </c>
      <c r="X47" s="175">
        <f t="shared" si="8"/>
        <v>11118.7</v>
      </c>
      <c r="Z47" s="2">
        <f>[2]credits!$M47-U47</f>
        <v>24895.51</v>
      </c>
      <c r="AA47" s="2">
        <f>[2]credits!$O47-V47</f>
        <v>5849.83</v>
      </c>
      <c r="AB47" s="2">
        <f>[2]credits!$Q47-W47</f>
        <v>0</v>
      </c>
      <c r="AC47" s="2">
        <f>[2]credits!$S47-X47</f>
        <v>0</v>
      </c>
    </row>
    <row r="48" spans="1:29" ht="15" x14ac:dyDescent="0.25">
      <c r="A48" s="5">
        <v>118</v>
      </c>
      <c r="B48" s="5">
        <v>1</v>
      </c>
      <c r="C48" s="2" t="s">
        <v>45</v>
      </c>
      <c r="D48" s="3">
        <v>16647.21</v>
      </c>
      <c r="E48" s="3">
        <v>21157.1</v>
      </c>
      <c r="F48" s="171">
        <v>233812.69</v>
      </c>
      <c r="G48" s="171">
        <v>44234.65</v>
      </c>
      <c r="H48" s="171">
        <v>0</v>
      </c>
      <c r="I48" s="171">
        <v>288085.24</v>
      </c>
      <c r="J48" s="172">
        <v>66482.990000000005</v>
      </c>
      <c r="K48" s="171">
        <v>160808</v>
      </c>
      <c r="L48" s="171">
        <v>0</v>
      </c>
      <c r="M48" s="3">
        <v>0</v>
      </c>
      <c r="N48" s="173">
        <v>0</v>
      </c>
      <c r="O48" s="154">
        <f t="shared" si="1"/>
        <v>793423.57000000007</v>
      </c>
      <c r="P48" s="3">
        <f t="shared" si="2"/>
        <v>515376.23</v>
      </c>
      <c r="Q48" s="3">
        <f t="shared" si="3"/>
        <v>288085.24</v>
      </c>
      <c r="R48" s="3">
        <f t="shared" si="4"/>
        <v>66482.990000000005</v>
      </c>
      <c r="S48" s="3">
        <f t="shared" si="5"/>
        <v>160808</v>
      </c>
      <c r="T48" s="3">
        <f t="shared" si="6"/>
        <v>0</v>
      </c>
      <c r="U48" s="3">
        <v>0</v>
      </c>
      <c r="V48" s="3">
        <v>0</v>
      </c>
      <c r="W48" s="175">
        <f t="shared" si="8"/>
        <v>6601.45</v>
      </c>
      <c r="X48" s="175">
        <f t="shared" si="8"/>
        <v>0</v>
      </c>
      <c r="Z48" s="2">
        <f>[2]credits!$M48-U48</f>
        <v>11826.41</v>
      </c>
      <c r="AA48" s="2">
        <f>[2]credits!$O48-V48</f>
        <v>2729.24</v>
      </c>
      <c r="AB48" s="2">
        <f>[2]credits!$Q48-W48</f>
        <v>0</v>
      </c>
      <c r="AC48" s="2">
        <f>[2]credits!$S48-X48</f>
        <v>0</v>
      </c>
    </row>
    <row r="49" spans="1:29" ht="15" x14ac:dyDescent="0.25">
      <c r="A49" s="5">
        <v>129</v>
      </c>
      <c r="B49" s="5">
        <v>1</v>
      </c>
      <c r="C49" s="2" t="s">
        <v>46</v>
      </c>
      <c r="D49" s="3">
        <v>212536.08000000002</v>
      </c>
      <c r="E49" s="3">
        <v>211620.43</v>
      </c>
      <c r="F49" s="171">
        <v>344766.34</v>
      </c>
      <c r="G49" s="171">
        <v>87173.36</v>
      </c>
      <c r="H49" s="171">
        <v>0</v>
      </c>
      <c r="I49" s="171">
        <v>396214.4</v>
      </c>
      <c r="J49" s="172">
        <v>101081.2</v>
      </c>
      <c r="K49" s="171">
        <v>913668</v>
      </c>
      <c r="L49" s="171">
        <v>438010.07</v>
      </c>
      <c r="M49" s="3">
        <v>0</v>
      </c>
      <c r="N49" s="173">
        <v>0</v>
      </c>
      <c r="O49" s="154">
        <f t="shared" si="1"/>
        <v>2280913.37</v>
      </c>
      <c r="P49" s="3">
        <f t="shared" si="2"/>
        <v>1848973.6700000002</v>
      </c>
      <c r="Q49" s="3">
        <f t="shared" si="3"/>
        <v>396214.4</v>
      </c>
      <c r="R49" s="3">
        <f t="shared" si="4"/>
        <v>101081.2</v>
      </c>
      <c r="S49" s="3">
        <f t="shared" si="5"/>
        <v>1351678.07</v>
      </c>
      <c r="T49" s="3">
        <f t="shared" si="6"/>
        <v>0</v>
      </c>
      <c r="U49" s="3">
        <v>0</v>
      </c>
      <c r="V49" s="3">
        <v>0</v>
      </c>
      <c r="W49" s="175">
        <f t="shared" si="8"/>
        <v>154703.5</v>
      </c>
      <c r="X49" s="175">
        <f t="shared" si="8"/>
        <v>0</v>
      </c>
      <c r="Z49" s="2">
        <f>[2]credits!$M49-U49</f>
        <v>45347.89</v>
      </c>
      <c r="AA49" s="2">
        <f>[2]credits!$O49-V49</f>
        <v>11569.04</v>
      </c>
      <c r="AB49" s="2">
        <f>[2]credits!$Q49-W49</f>
        <v>0</v>
      </c>
      <c r="AC49" s="2">
        <f>[2]credits!$S49-X49</f>
        <v>0</v>
      </c>
    </row>
    <row r="50" spans="1:29" ht="15" x14ac:dyDescent="0.25">
      <c r="A50" s="5">
        <v>138</v>
      </c>
      <c r="B50" s="5">
        <v>1</v>
      </c>
      <c r="C50" s="2" t="s">
        <v>47</v>
      </c>
      <c r="D50" s="3">
        <v>373826.97000000003</v>
      </c>
      <c r="E50" s="3">
        <v>400985.89</v>
      </c>
      <c r="F50" s="171">
        <v>0</v>
      </c>
      <c r="G50" s="171">
        <v>310008.46000000002</v>
      </c>
      <c r="H50" s="171">
        <v>0</v>
      </c>
      <c r="I50" s="171">
        <v>1200462.6299999999</v>
      </c>
      <c r="J50" s="172">
        <v>223274.9</v>
      </c>
      <c r="K50" s="171">
        <v>4565169.95</v>
      </c>
      <c r="L50" s="171">
        <v>0</v>
      </c>
      <c r="M50" s="3">
        <v>0</v>
      </c>
      <c r="N50" s="173">
        <v>458596</v>
      </c>
      <c r="O50" s="154">
        <f t="shared" si="1"/>
        <v>6757511.9399999995</v>
      </c>
      <c r="P50" s="3">
        <f t="shared" si="2"/>
        <v>6447503.4800000004</v>
      </c>
      <c r="Q50" s="3">
        <f t="shared" si="3"/>
        <v>1200462.6299999999</v>
      </c>
      <c r="R50" s="3">
        <f t="shared" si="4"/>
        <v>223274.9</v>
      </c>
      <c r="S50" s="3">
        <f t="shared" si="5"/>
        <v>4565169.95</v>
      </c>
      <c r="T50" s="3">
        <f t="shared" si="6"/>
        <v>458596</v>
      </c>
      <c r="U50" s="3">
        <v>0</v>
      </c>
      <c r="V50" s="3">
        <v>0</v>
      </c>
      <c r="W50" s="175">
        <f t="shared" si="8"/>
        <v>283919</v>
      </c>
      <c r="X50" s="175">
        <f t="shared" si="8"/>
        <v>28521.200000000001</v>
      </c>
      <c r="Z50" s="2">
        <f>[2]credits!$M50-U50</f>
        <v>74659.679999999993</v>
      </c>
      <c r="AA50" s="2">
        <f>[2]credits!$O50-V50</f>
        <v>13886.01</v>
      </c>
      <c r="AB50" s="2">
        <f>[2]credits!$Q50-W50</f>
        <v>0</v>
      </c>
      <c r="AC50" s="2">
        <f>[2]credits!$S50-X50</f>
        <v>0</v>
      </c>
    </row>
    <row r="51" spans="1:29" ht="15" x14ac:dyDescent="0.25">
      <c r="A51" s="5">
        <v>139</v>
      </c>
      <c r="B51" s="5">
        <v>1</v>
      </c>
      <c r="C51" s="2" t="s">
        <v>48</v>
      </c>
      <c r="D51" s="3">
        <v>128330.4</v>
      </c>
      <c r="E51" s="3">
        <v>139740.34</v>
      </c>
      <c r="F51" s="171">
        <v>0</v>
      </c>
      <c r="G51" s="171">
        <v>115708.41</v>
      </c>
      <c r="H51" s="171">
        <v>0</v>
      </c>
      <c r="I51" s="171">
        <v>431159.8</v>
      </c>
      <c r="J51" s="172">
        <v>53194.9</v>
      </c>
      <c r="K51" s="171">
        <v>1435695.03</v>
      </c>
      <c r="L51" s="171">
        <v>0</v>
      </c>
      <c r="M51" s="3">
        <v>0</v>
      </c>
      <c r="N51" s="173">
        <v>0</v>
      </c>
      <c r="O51" s="154">
        <f t="shared" si="1"/>
        <v>2035758.1400000001</v>
      </c>
      <c r="P51" s="3">
        <f t="shared" si="2"/>
        <v>1920049.73</v>
      </c>
      <c r="Q51" s="3">
        <f t="shared" si="3"/>
        <v>431159.8</v>
      </c>
      <c r="R51" s="3">
        <f t="shared" si="4"/>
        <v>53194.9</v>
      </c>
      <c r="S51" s="3">
        <f t="shared" si="5"/>
        <v>1435695.03</v>
      </c>
      <c r="T51" s="3">
        <f t="shared" si="6"/>
        <v>0</v>
      </c>
      <c r="U51" s="3">
        <v>0</v>
      </c>
      <c r="V51" s="3">
        <v>0</v>
      </c>
      <c r="W51" s="175">
        <f t="shared" si="8"/>
        <v>104489.23</v>
      </c>
      <c r="X51" s="175">
        <f t="shared" si="8"/>
        <v>0</v>
      </c>
      <c r="Z51" s="2">
        <f>[2]credits!$M51-U51</f>
        <v>31379.61</v>
      </c>
      <c r="AA51" s="2">
        <f>[2]credits!$O51-V51</f>
        <v>3871.5</v>
      </c>
      <c r="AB51" s="2">
        <f>[2]credits!$Q51-W51</f>
        <v>0</v>
      </c>
      <c r="AC51" s="2">
        <f>[2]credits!$S51-X51</f>
        <v>0</v>
      </c>
    </row>
    <row r="52" spans="1:29" ht="15" x14ac:dyDescent="0.25">
      <c r="A52" s="5">
        <v>146</v>
      </c>
      <c r="B52" s="5">
        <v>1</v>
      </c>
      <c r="C52" s="2" t="s">
        <v>49</v>
      </c>
      <c r="D52" s="3">
        <v>26161.210000000003</v>
      </c>
      <c r="E52" s="3">
        <v>32346.11</v>
      </c>
      <c r="F52" s="171">
        <v>548276.68999999994</v>
      </c>
      <c r="G52" s="171">
        <v>48642.15</v>
      </c>
      <c r="H52" s="171">
        <v>0</v>
      </c>
      <c r="I52" s="171">
        <v>261638.94</v>
      </c>
      <c r="J52" s="172">
        <v>52863.45</v>
      </c>
      <c r="K52" s="171">
        <v>0</v>
      </c>
      <c r="L52" s="171">
        <v>0</v>
      </c>
      <c r="M52" s="3">
        <v>0</v>
      </c>
      <c r="N52" s="173">
        <v>0</v>
      </c>
      <c r="O52" s="154">
        <f t="shared" si="1"/>
        <v>911421.23</v>
      </c>
      <c r="P52" s="3">
        <f t="shared" si="2"/>
        <v>314502.39</v>
      </c>
      <c r="Q52" s="3">
        <f t="shared" si="3"/>
        <v>261638.94</v>
      </c>
      <c r="R52" s="3">
        <f t="shared" si="4"/>
        <v>52863.45</v>
      </c>
      <c r="S52" s="3">
        <f t="shared" si="5"/>
        <v>0</v>
      </c>
      <c r="T52" s="3">
        <f t="shared" si="6"/>
        <v>0</v>
      </c>
      <c r="U52" s="3">
        <v>0</v>
      </c>
      <c r="V52" s="3">
        <v>0</v>
      </c>
      <c r="W52" s="175">
        <f t="shared" si="8"/>
        <v>0</v>
      </c>
      <c r="X52" s="175">
        <f t="shared" si="8"/>
        <v>0</v>
      </c>
      <c r="Z52" s="2">
        <f>[2]credits!$M52-U52</f>
        <v>26909.18</v>
      </c>
      <c r="AA52" s="2">
        <f>[2]credits!$O52-V52</f>
        <v>5436.93</v>
      </c>
      <c r="AB52" s="2">
        <f>[2]credits!$Q52-W52</f>
        <v>0</v>
      </c>
      <c r="AC52" s="2">
        <f>[2]credits!$S52-X52</f>
        <v>0</v>
      </c>
    </row>
    <row r="53" spans="1:29" ht="15" x14ac:dyDescent="0.25">
      <c r="A53" s="5">
        <v>150</v>
      </c>
      <c r="B53" s="5">
        <v>1</v>
      </c>
      <c r="C53" s="2" t="s">
        <v>50</v>
      </c>
      <c r="D53" s="3">
        <v>97858.06</v>
      </c>
      <c r="E53" s="3">
        <v>102674.26</v>
      </c>
      <c r="F53" s="171">
        <v>230604.58</v>
      </c>
      <c r="G53" s="171">
        <v>61821.9</v>
      </c>
      <c r="H53" s="171">
        <v>0</v>
      </c>
      <c r="I53" s="171">
        <v>202220.7</v>
      </c>
      <c r="J53" s="172">
        <v>34333.08</v>
      </c>
      <c r="K53" s="171">
        <v>900394.16</v>
      </c>
      <c r="L53" s="171">
        <v>0</v>
      </c>
      <c r="M53" s="3">
        <v>0</v>
      </c>
      <c r="N53" s="173">
        <v>0</v>
      </c>
      <c r="O53" s="154">
        <f t="shared" si="1"/>
        <v>1429374.42</v>
      </c>
      <c r="P53" s="3">
        <f t="shared" si="2"/>
        <v>1136947.94</v>
      </c>
      <c r="Q53" s="3">
        <f t="shared" si="3"/>
        <v>202220.7</v>
      </c>
      <c r="R53" s="3">
        <f t="shared" si="4"/>
        <v>34333.08</v>
      </c>
      <c r="S53" s="3">
        <f t="shared" si="5"/>
        <v>900394.16</v>
      </c>
      <c r="T53" s="3">
        <f t="shared" si="6"/>
        <v>0</v>
      </c>
      <c r="U53" s="3">
        <v>0</v>
      </c>
      <c r="V53" s="3">
        <v>0</v>
      </c>
      <c r="W53" s="175">
        <f t="shared" si="8"/>
        <v>81311.820000000007</v>
      </c>
      <c r="X53" s="175">
        <f t="shared" si="8"/>
        <v>0</v>
      </c>
      <c r="Z53" s="2">
        <f>[2]credits!$M53-U53</f>
        <v>18261.93</v>
      </c>
      <c r="AA53" s="2">
        <f>[2]credits!$O53-V53</f>
        <v>3100.51</v>
      </c>
      <c r="AB53" s="2">
        <f>[2]credits!$Q53-W53</f>
        <v>0</v>
      </c>
      <c r="AC53" s="2">
        <f>[2]credits!$S53-X53</f>
        <v>0</v>
      </c>
    </row>
    <row r="54" spans="1:29" ht="15" x14ac:dyDescent="0.25">
      <c r="A54" s="5">
        <v>152</v>
      </c>
      <c r="B54" s="5">
        <v>1</v>
      </c>
      <c r="C54" s="2" t="s">
        <v>51</v>
      </c>
      <c r="D54" s="3">
        <v>1458415.6199999996</v>
      </c>
      <c r="E54" s="3">
        <v>1698735.11</v>
      </c>
      <c r="F54" s="171">
        <v>4261180.26</v>
      </c>
      <c r="G54" s="171">
        <v>653086.79</v>
      </c>
      <c r="H54" s="171">
        <v>0</v>
      </c>
      <c r="I54" s="171">
        <v>1466483.03</v>
      </c>
      <c r="J54" s="172">
        <v>458866.22</v>
      </c>
      <c r="K54" s="171">
        <v>6026195.9199999999</v>
      </c>
      <c r="L54" s="171">
        <v>0</v>
      </c>
      <c r="M54" s="3">
        <v>0</v>
      </c>
      <c r="N54" s="173">
        <v>714408</v>
      </c>
      <c r="O54" s="154">
        <f t="shared" si="1"/>
        <v>13580220.219999999</v>
      </c>
      <c r="P54" s="3">
        <f t="shared" si="2"/>
        <v>8665953.1699999999</v>
      </c>
      <c r="Q54" s="3">
        <f t="shared" si="3"/>
        <v>1466483.03</v>
      </c>
      <c r="R54" s="3">
        <f t="shared" si="4"/>
        <v>458866.22</v>
      </c>
      <c r="S54" s="3">
        <f t="shared" si="5"/>
        <v>6026195.9199999999</v>
      </c>
      <c r="T54" s="3">
        <f t="shared" si="6"/>
        <v>714408</v>
      </c>
      <c r="U54" s="3">
        <v>0</v>
      </c>
      <c r="V54" s="3">
        <v>0</v>
      </c>
      <c r="W54" s="175">
        <f t="shared" si="8"/>
        <v>1181279.24</v>
      </c>
      <c r="X54" s="175">
        <f t="shared" si="8"/>
        <v>140041.14000000001</v>
      </c>
      <c r="Z54" s="2">
        <f>[2]credits!$M54-U54</f>
        <v>287465.92</v>
      </c>
      <c r="AA54" s="2">
        <f>[2]credits!$O54-V54</f>
        <v>89948.81</v>
      </c>
      <c r="AB54" s="2">
        <f>[2]credits!$Q54-W54</f>
        <v>0</v>
      </c>
      <c r="AC54" s="2">
        <f>[2]credits!$S54-X54</f>
        <v>0</v>
      </c>
    </row>
    <row r="55" spans="1:29" ht="15" x14ac:dyDescent="0.25">
      <c r="A55" s="5">
        <v>162</v>
      </c>
      <c r="B55" s="5">
        <v>1</v>
      </c>
      <c r="C55" s="2" t="s">
        <v>52</v>
      </c>
      <c r="D55" s="3">
        <v>181663.51999999996</v>
      </c>
      <c r="E55" s="3">
        <v>208752.94</v>
      </c>
      <c r="F55" s="171">
        <v>0</v>
      </c>
      <c r="G55" s="171">
        <v>105661</v>
      </c>
      <c r="H55" s="171">
        <v>0</v>
      </c>
      <c r="I55" s="171">
        <v>350806</v>
      </c>
      <c r="J55" s="172">
        <v>64790</v>
      </c>
      <c r="K55" s="171">
        <v>1005447</v>
      </c>
      <c r="L55" s="171">
        <v>0</v>
      </c>
      <c r="M55" s="3">
        <v>0</v>
      </c>
      <c r="N55" s="173">
        <v>0</v>
      </c>
      <c r="O55" s="154">
        <f t="shared" si="1"/>
        <v>1526704</v>
      </c>
      <c r="P55" s="3">
        <f t="shared" si="2"/>
        <v>1421043</v>
      </c>
      <c r="Q55" s="3">
        <f t="shared" si="3"/>
        <v>350806</v>
      </c>
      <c r="R55" s="3">
        <f t="shared" si="4"/>
        <v>64790</v>
      </c>
      <c r="S55" s="3">
        <f t="shared" si="5"/>
        <v>1005447</v>
      </c>
      <c r="T55" s="3">
        <f t="shared" si="6"/>
        <v>0</v>
      </c>
      <c r="U55" s="3">
        <v>0</v>
      </c>
      <c r="V55" s="3">
        <v>0</v>
      </c>
      <c r="W55" s="175">
        <f t="shared" si="8"/>
        <v>147701.38</v>
      </c>
      <c r="X55" s="175">
        <f t="shared" si="8"/>
        <v>0</v>
      </c>
      <c r="Z55" s="2">
        <f>[2]credits!$M55-U55</f>
        <v>49988.67</v>
      </c>
      <c r="AA55" s="2">
        <f>[2]credits!$O55-V55</f>
        <v>9232.4</v>
      </c>
      <c r="AB55" s="2">
        <f>[2]credits!$Q55-W55</f>
        <v>1830.4899999999907</v>
      </c>
      <c r="AC55" s="2">
        <f>[2]credits!$S55-X55</f>
        <v>0</v>
      </c>
    </row>
    <row r="56" spans="1:29" ht="15" x14ac:dyDescent="0.25">
      <c r="A56" s="5">
        <v>166</v>
      </c>
      <c r="B56" s="5">
        <v>1</v>
      </c>
      <c r="C56" s="2" t="s">
        <v>53</v>
      </c>
      <c r="D56" s="3">
        <v>34905.79</v>
      </c>
      <c r="E56" s="3">
        <v>14761.060000000003</v>
      </c>
      <c r="F56" s="171">
        <v>438704.5</v>
      </c>
      <c r="G56" s="171">
        <v>45532.5</v>
      </c>
      <c r="H56" s="171">
        <v>0</v>
      </c>
      <c r="I56" s="171">
        <v>0</v>
      </c>
      <c r="J56" s="172">
        <v>0</v>
      </c>
      <c r="K56" s="171">
        <v>223139.51</v>
      </c>
      <c r="L56" s="171">
        <v>249684.28</v>
      </c>
      <c r="M56" s="3">
        <v>0</v>
      </c>
      <c r="N56" s="173">
        <v>29067.919999999998</v>
      </c>
      <c r="O56" s="154">
        <f t="shared" si="1"/>
        <v>986128.71000000008</v>
      </c>
      <c r="P56" s="3">
        <f t="shared" si="2"/>
        <v>501891.71</v>
      </c>
      <c r="Q56" s="3">
        <f t="shared" si="3"/>
        <v>0</v>
      </c>
      <c r="R56" s="3">
        <f t="shared" si="4"/>
        <v>0</v>
      </c>
      <c r="S56" s="3">
        <f t="shared" si="5"/>
        <v>472823.79000000004</v>
      </c>
      <c r="T56" s="3">
        <f t="shared" si="6"/>
        <v>29067.919999999998</v>
      </c>
      <c r="U56" s="3">
        <v>0</v>
      </c>
      <c r="V56" s="3">
        <v>0</v>
      </c>
      <c r="W56" s="175">
        <f t="shared" si="8"/>
        <v>13906.15</v>
      </c>
      <c r="X56" s="175">
        <f t="shared" si="8"/>
        <v>854.91</v>
      </c>
      <c r="Z56" s="2">
        <f>[2]credits!$M56-U56</f>
        <v>29352.77</v>
      </c>
      <c r="AA56" s="2">
        <f>[2]credits!$O56-V56</f>
        <v>0</v>
      </c>
      <c r="AB56" s="2">
        <f>[2]credits!$Q56-W56</f>
        <v>0</v>
      </c>
      <c r="AC56" s="2">
        <f>[2]credits!$S56-X56</f>
        <v>0</v>
      </c>
    </row>
    <row r="57" spans="1:29" ht="15" x14ac:dyDescent="0.25">
      <c r="A57" s="5">
        <v>173</v>
      </c>
      <c r="B57" s="5">
        <v>1</v>
      </c>
      <c r="C57" s="2" t="s">
        <v>54</v>
      </c>
      <c r="D57" s="3">
        <v>37847.65</v>
      </c>
      <c r="E57" s="3">
        <v>36218.39</v>
      </c>
      <c r="F57" s="171">
        <v>498985</v>
      </c>
      <c r="G57" s="171">
        <v>14815</v>
      </c>
      <c r="H57" s="171">
        <v>0</v>
      </c>
      <c r="I57" s="171">
        <v>212789</v>
      </c>
      <c r="J57" s="172">
        <v>48262</v>
      </c>
      <c r="K57" s="171">
        <v>0</v>
      </c>
      <c r="L57" s="171">
        <v>0</v>
      </c>
      <c r="M57" s="3">
        <v>0</v>
      </c>
      <c r="N57" s="173">
        <v>0</v>
      </c>
      <c r="O57" s="154">
        <f t="shared" si="1"/>
        <v>774851</v>
      </c>
      <c r="P57" s="3">
        <f t="shared" si="2"/>
        <v>261051</v>
      </c>
      <c r="Q57" s="3">
        <f t="shared" si="3"/>
        <v>212789</v>
      </c>
      <c r="R57" s="3">
        <f t="shared" si="4"/>
        <v>48262</v>
      </c>
      <c r="S57" s="3">
        <f t="shared" si="5"/>
        <v>0</v>
      </c>
      <c r="T57" s="3">
        <f t="shared" si="6"/>
        <v>0</v>
      </c>
      <c r="U57" s="3">
        <v>0</v>
      </c>
      <c r="V57" s="3">
        <v>0</v>
      </c>
      <c r="W57" s="175">
        <f t="shared" si="8"/>
        <v>0</v>
      </c>
      <c r="X57" s="175">
        <f t="shared" si="8"/>
        <v>0</v>
      </c>
      <c r="Z57" s="2">
        <f>[2]credits!$M57-U57</f>
        <v>29522.54</v>
      </c>
      <c r="AA57" s="2">
        <f>[2]credits!$O57-V57</f>
        <v>6695.85</v>
      </c>
      <c r="AB57" s="2">
        <f>[2]credits!$Q57-W57</f>
        <v>0</v>
      </c>
      <c r="AC57" s="2">
        <f>[2]credits!$S57-X57</f>
        <v>0</v>
      </c>
    </row>
    <row r="58" spans="1:29" ht="15" x14ac:dyDescent="0.25">
      <c r="A58" s="5">
        <v>177</v>
      </c>
      <c r="B58" s="5">
        <v>1</v>
      </c>
      <c r="C58" s="2" t="s">
        <v>55</v>
      </c>
      <c r="D58" s="3">
        <v>149089.02000000002</v>
      </c>
      <c r="E58" s="3">
        <v>143234.79999999999</v>
      </c>
      <c r="F58" s="171">
        <v>999130</v>
      </c>
      <c r="G58" s="171">
        <v>58215</v>
      </c>
      <c r="H58" s="171">
        <v>0</v>
      </c>
      <c r="I58" s="171">
        <v>334019</v>
      </c>
      <c r="J58" s="172">
        <v>79241</v>
      </c>
      <c r="K58" s="171">
        <v>1103700</v>
      </c>
      <c r="L58" s="171">
        <v>0</v>
      </c>
      <c r="M58" s="3">
        <v>0</v>
      </c>
      <c r="N58" s="173">
        <v>0</v>
      </c>
      <c r="O58" s="154">
        <f t="shared" si="1"/>
        <v>2574305</v>
      </c>
      <c r="P58" s="3">
        <f t="shared" si="2"/>
        <v>1516960</v>
      </c>
      <c r="Q58" s="3">
        <f t="shared" si="3"/>
        <v>334019</v>
      </c>
      <c r="R58" s="3">
        <f t="shared" si="4"/>
        <v>79241</v>
      </c>
      <c r="S58" s="3">
        <f t="shared" si="5"/>
        <v>1103700</v>
      </c>
      <c r="T58" s="3">
        <f t="shared" si="6"/>
        <v>0</v>
      </c>
      <c r="U58" s="3">
        <v>0</v>
      </c>
      <c r="V58" s="3">
        <v>0</v>
      </c>
      <c r="W58" s="175">
        <f t="shared" si="8"/>
        <v>104213.85</v>
      </c>
      <c r="X58" s="175">
        <f t="shared" si="8"/>
        <v>0</v>
      </c>
      <c r="Z58" s="2">
        <f>[2]credits!$M58-U58</f>
        <v>31538.84</v>
      </c>
      <c r="AA58" s="2">
        <f>[2]credits!$O58-V58</f>
        <v>7482.1</v>
      </c>
      <c r="AB58" s="2">
        <f>[2]credits!$Q58-W58</f>
        <v>9.9999999947613105E-3</v>
      </c>
      <c r="AC58" s="2">
        <f>[2]credits!$S58-X58</f>
        <v>0</v>
      </c>
    </row>
    <row r="59" spans="1:29" ht="15" x14ac:dyDescent="0.25">
      <c r="A59" s="5">
        <v>181</v>
      </c>
      <c r="B59" s="5">
        <v>1</v>
      </c>
      <c r="C59" s="2" t="s">
        <v>56</v>
      </c>
      <c r="D59" s="3">
        <v>747112.66</v>
      </c>
      <c r="E59" s="3">
        <v>779462.17</v>
      </c>
      <c r="F59" s="171">
        <v>1477964.29</v>
      </c>
      <c r="G59" s="171">
        <v>1020184.2</v>
      </c>
      <c r="H59" s="171">
        <v>0</v>
      </c>
      <c r="I59" s="171">
        <v>3625142.48</v>
      </c>
      <c r="J59" s="172">
        <v>596815.56000000006</v>
      </c>
      <c r="K59" s="171">
        <v>6351623.7999999998</v>
      </c>
      <c r="L59" s="171">
        <v>625923.37</v>
      </c>
      <c r="M59" s="3">
        <v>0</v>
      </c>
      <c r="N59" s="173">
        <v>2088571</v>
      </c>
      <c r="O59" s="154">
        <f t="shared" si="1"/>
        <v>15786224.700000001</v>
      </c>
      <c r="P59" s="3">
        <f t="shared" si="2"/>
        <v>13288076.209999999</v>
      </c>
      <c r="Q59" s="3">
        <f t="shared" si="3"/>
        <v>3625142.48</v>
      </c>
      <c r="R59" s="3">
        <f t="shared" si="4"/>
        <v>596815.56000000006</v>
      </c>
      <c r="S59" s="3">
        <f t="shared" si="5"/>
        <v>6977547.1699999999</v>
      </c>
      <c r="T59" s="3">
        <f t="shared" si="6"/>
        <v>2088571</v>
      </c>
      <c r="U59" s="3">
        <v>0</v>
      </c>
      <c r="V59" s="3">
        <v>0</v>
      </c>
      <c r="W59" s="175">
        <f t="shared" si="8"/>
        <v>409294.32</v>
      </c>
      <c r="X59" s="175">
        <f t="shared" si="8"/>
        <v>122513</v>
      </c>
      <c r="Z59" s="2">
        <f>[2]credits!$M59-U59</f>
        <v>212646.39</v>
      </c>
      <c r="AA59" s="2">
        <f>[2]credits!$O59-V59</f>
        <v>35008.47</v>
      </c>
      <c r="AB59" s="2">
        <f>[2]credits!$Q59-W59</f>
        <v>0</v>
      </c>
      <c r="AC59" s="2">
        <f>[2]credits!$S59-X59</f>
        <v>0</v>
      </c>
    </row>
    <row r="60" spans="1:29" ht="15" x14ac:dyDescent="0.25">
      <c r="A60" s="5">
        <v>182</v>
      </c>
      <c r="B60" s="5">
        <v>1</v>
      </c>
      <c r="C60" s="2" t="s">
        <v>57</v>
      </c>
      <c r="D60" s="3">
        <v>302045.78999999998</v>
      </c>
      <c r="E60" s="3">
        <v>123384.02</v>
      </c>
      <c r="F60" s="171">
        <v>648186.30000000005</v>
      </c>
      <c r="G60" s="171">
        <v>155874.13</v>
      </c>
      <c r="H60" s="171">
        <v>0</v>
      </c>
      <c r="I60" s="171">
        <v>471660.96</v>
      </c>
      <c r="J60" s="172">
        <v>5559.6</v>
      </c>
      <c r="K60" s="171">
        <v>1671667.97</v>
      </c>
      <c r="L60" s="171">
        <v>0</v>
      </c>
      <c r="M60" s="3">
        <v>0</v>
      </c>
      <c r="N60" s="173">
        <v>717318</v>
      </c>
      <c r="O60" s="154">
        <f t="shared" si="1"/>
        <v>3670266.96</v>
      </c>
      <c r="P60" s="3">
        <f t="shared" si="2"/>
        <v>2866206.53</v>
      </c>
      <c r="Q60" s="3">
        <f t="shared" si="3"/>
        <v>471660.96</v>
      </c>
      <c r="R60" s="3">
        <f t="shared" si="4"/>
        <v>5559.6</v>
      </c>
      <c r="S60" s="3">
        <f t="shared" si="5"/>
        <v>1671667.97</v>
      </c>
      <c r="T60" s="3">
        <f t="shared" si="6"/>
        <v>717318</v>
      </c>
      <c r="U60" s="3">
        <v>0</v>
      </c>
      <c r="V60" s="3">
        <v>0</v>
      </c>
      <c r="W60" s="175">
        <f>IF($P60=0,0,ROUND(S60/$P60*$E60,2))+113457.38</f>
        <v>185419.09000000003</v>
      </c>
      <c r="X60" s="175">
        <f>IF($P60=0,0,ROUND(T60/$P60*$E60,2))+47622.65</f>
        <v>78501.649999999994</v>
      </c>
      <c r="Z60" s="2">
        <f>[2]credits!$M60-U60</f>
        <v>51625.66</v>
      </c>
      <c r="AA60" s="2">
        <f>[2]credits!$O60-V60</f>
        <v>608.83000000000004</v>
      </c>
      <c r="AB60" s="2">
        <f>[2]credits!$Q60-W60</f>
        <v>0</v>
      </c>
      <c r="AC60" s="2">
        <f>[2]credits!$S60-X60</f>
        <v>0</v>
      </c>
    </row>
    <row r="61" spans="1:29" ht="15" x14ac:dyDescent="0.25">
      <c r="A61" s="5">
        <v>186</v>
      </c>
      <c r="B61" s="5">
        <v>1</v>
      </c>
      <c r="C61" s="2" t="s">
        <v>58</v>
      </c>
      <c r="D61" s="3">
        <v>75558.650000000009</v>
      </c>
      <c r="E61" s="3">
        <v>81503.740000000005</v>
      </c>
      <c r="F61" s="171">
        <v>1879.75</v>
      </c>
      <c r="G61" s="171">
        <v>311128.8</v>
      </c>
      <c r="H61" s="171">
        <v>0</v>
      </c>
      <c r="I61" s="171">
        <v>930359.21</v>
      </c>
      <c r="J61" s="172">
        <v>173606.82</v>
      </c>
      <c r="K61" s="171">
        <v>2206420.8199999998</v>
      </c>
      <c r="L61" s="171">
        <v>0</v>
      </c>
      <c r="M61" s="3">
        <v>0</v>
      </c>
      <c r="N61" s="173">
        <v>0</v>
      </c>
      <c r="O61" s="154">
        <f t="shared" si="1"/>
        <v>3623395.4</v>
      </c>
      <c r="P61" s="3">
        <f t="shared" si="2"/>
        <v>3310386.8499999996</v>
      </c>
      <c r="Q61" s="3">
        <f t="shared" si="3"/>
        <v>930359.21</v>
      </c>
      <c r="R61" s="3">
        <f t="shared" si="4"/>
        <v>173606.82</v>
      </c>
      <c r="S61" s="3">
        <f t="shared" si="5"/>
        <v>2206420.8199999998</v>
      </c>
      <c r="T61" s="3">
        <f t="shared" si="6"/>
        <v>0</v>
      </c>
      <c r="U61" s="3">
        <v>0</v>
      </c>
      <c r="V61" s="3">
        <v>0</v>
      </c>
      <c r="W61" s="175">
        <f t="shared" si="8"/>
        <v>54323.42</v>
      </c>
      <c r="X61" s="175">
        <f t="shared" si="8"/>
        <v>0</v>
      </c>
      <c r="Z61" s="2">
        <f>[2]credits!$M61-U61</f>
        <v>22906.01</v>
      </c>
      <c r="AA61" s="2">
        <f>[2]credits!$O61-V61</f>
        <v>4274.3100000000004</v>
      </c>
      <c r="AB61" s="2">
        <f>[2]credits!$Q61-W61</f>
        <v>0</v>
      </c>
      <c r="AC61" s="2">
        <f>[2]credits!$S61-X61</f>
        <v>0</v>
      </c>
    </row>
    <row r="62" spans="1:29" ht="15" x14ac:dyDescent="0.25">
      <c r="A62" s="5">
        <v>191</v>
      </c>
      <c r="B62" s="5">
        <v>1</v>
      </c>
      <c r="C62" s="2" t="s">
        <v>59</v>
      </c>
      <c r="D62" s="3">
        <v>691397.69</v>
      </c>
      <c r="E62" s="3">
        <v>723538.93</v>
      </c>
      <c r="F62" s="171">
        <v>17911831</v>
      </c>
      <c r="G62" s="171">
        <v>976028</v>
      </c>
      <c r="H62" s="171">
        <v>0</v>
      </c>
      <c r="I62" s="171">
        <v>5066062</v>
      </c>
      <c r="J62" s="172">
        <v>976207</v>
      </c>
      <c r="K62" s="171">
        <v>4587111</v>
      </c>
      <c r="L62" s="171">
        <v>2742701</v>
      </c>
      <c r="M62" s="3">
        <v>0</v>
      </c>
      <c r="N62" s="173">
        <v>1657320</v>
      </c>
      <c r="O62" s="154">
        <f t="shared" si="1"/>
        <v>33917260</v>
      </c>
      <c r="P62" s="3">
        <f t="shared" si="2"/>
        <v>15029401</v>
      </c>
      <c r="Q62" s="3">
        <f t="shared" si="3"/>
        <v>5066062</v>
      </c>
      <c r="R62" s="3">
        <f t="shared" si="4"/>
        <v>976207</v>
      </c>
      <c r="S62" s="3">
        <f t="shared" si="5"/>
        <v>7329812</v>
      </c>
      <c r="T62" s="3">
        <f t="shared" si="6"/>
        <v>1657320</v>
      </c>
      <c r="U62" s="3">
        <v>0</v>
      </c>
      <c r="V62" s="3">
        <v>0</v>
      </c>
      <c r="W62" s="175">
        <f t="shared" si="8"/>
        <v>352868.64</v>
      </c>
      <c r="X62" s="175">
        <f t="shared" si="8"/>
        <v>79785.98</v>
      </c>
      <c r="Z62" s="2">
        <f>[2]credits!$M62-U62</f>
        <v>243888.17</v>
      </c>
      <c r="AA62" s="2">
        <f>[2]credits!$O62-V62</f>
        <v>46996.12</v>
      </c>
      <c r="AB62" s="2">
        <f>[2]credits!$Q62-W62</f>
        <v>1.9999999960418791E-2</v>
      </c>
      <c r="AC62" s="2">
        <f>[2]credits!$S62-X62</f>
        <v>1.0000000009313226E-2</v>
      </c>
    </row>
    <row r="63" spans="1:29" ht="15" x14ac:dyDescent="0.25">
      <c r="A63" s="5">
        <v>192</v>
      </c>
      <c r="B63" s="5">
        <v>1</v>
      </c>
      <c r="C63" s="2" t="s">
        <v>60</v>
      </c>
      <c r="D63" s="3">
        <v>702818.90999999992</v>
      </c>
      <c r="E63" s="3">
        <v>733846.39</v>
      </c>
      <c r="F63" s="171">
        <v>3319969</v>
      </c>
      <c r="G63" s="171">
        <v>709189</v>
      </c>
      <c r="H63" s="171">
        <v>0</v>
      </c>
      <c r="I63" s="171">
        <v>2183626</v>
      </c>
      <c r="J63" s="172">
        <v>414005</v>
      </c>
      <c r="K63" s="171">
        <v>12640868</v>
      </c>
      <c r="L63" s="171">
        <v>0</v>
      </c>
      <c r="M63" s="3">
        <v>0</v>
      </c>
      <c r="N63" s="173">
        <v>370166</v>
      </c>
      <c r="O63" s="154">
        <f t="shared" si="1"/>
        <v>19637823</v>
      </c>
      <c r="P63" s="3">
        <f t="shared" si="2"/>
        <v>15608665</v>
      </c>
      <c r="Q63" s="3">
        <f t="shared" si="3"/>
        <v>2183626</v>
      </c>
      <c r="R63" s="3">
        <f t="shared" si="4"/>
        <v>414005</v>
      </c>
      <c r="S63" s="3">
        <f t="shared" si="5"/>
        <v>12640868</v>
      </c>
      <c r="T63" s="3">
        <f t="shared" si="6"/>
        <v>370166</v>
      </c>
      <c r="U63" s="3">
        <v>0</v>
      </c>
      <c r="V63" s="3">
        <v>0</v>
      </c>
      <c r="W63" s="175">
        <f t="shared" si="8"/>
        <v>594314.46</v>
      </c>
      <c r="X63" s="175">
        <f t="shared" si="8"/>
        <v>17403.47</v>
      </c>
      <c r="Z63" s="2">
        <f>[2]credits!$M63-U63</f>
        <v>102663.86</v>
      </c>
      <c r="AA63" s="2">
        <f>[2]credits!$O63-V63</f>
        <v>19464.599999999999</v>
      </c>
      <c r="AB63" s="2">
        <f>[2]credits!$Q63-W63</f>
        <v>-1.0000000009313226E-2</v>
      </c>
      <c r="AC63" s="2">
        <f>[2]credits!$S63-X63</f>
        <v>0</v>
      </c>
    </row>
    <row r="64" spans="1:29" ht="15" x14ac:dyDescent="0.25">
      <c r="A64" s="5">
        <v>194</v>
      </c>
      <c r="B64" s="5">
        <v>1</v>
      </c>
      <c r="C64" s="2" t="s">
        <v>61</v>
      </c>
      <c r="D64" s="3">
        <v>465401.29000000004</v>
      </c>
      <c r="E64" s="3">
        <v>587926.18999999994</v>
      </c>
      <c r="F64" s="171">
        <v>10768681</v>
      </c>
      <c r="G64" s="171">
        <v>1501566</v>
      </c>
      <c r="H64" s="171">
        <v>0</v>
      </c>
      <c r="I64" s="171">
        <v>3890283</v>
      </c>
      <c r="J64" s="172">
        <v>1180878</v>
      </c>
      <c r="K64" s="171">
        <v>14402407</v>
      </c>
      <c r="L64" s="171">
        <v>1583649</v>
      </c>
      <c r="M64" s="3">
        <v>0</v>
      </c>
      <c r="N64" s="173">
        <v>0</v>
      </c>
      <c r="O64" s="154">
        <f t="shared" si="1"/>
        <v>33327464</v>
      </c>
      <c r="P64" s="3">
        <f t="shared" si="2"/>
        <v>21057217</v>
      </c>
      <c r="Q64" s="3">
        <f t="shared" si="3"/>
        <v>3890283</v>
      </c>
      <c r="R64" s="3">
        <f t="shared" si="4"/>
        <v>1180878</v>
      </c>
      <c r="S64" s="3">
        <f t="shared" si="5"/>
        <v>15986056</v>
      </c>
      <c r="T64" s="3">
        <f t="shared" si="6"/>
        <v>0</v>
      </c>
      <c r="U64" s="3">
        <v>0</v>
      </c>
      <c r="V64" s="3">
        <v>0</v>
      </c>
      <c r="W64" s="175">
        <f t="shared" si="8"/>
        <v>446337.28000000003</v>
      </c>
      <c r="X64" s="175">
        <f t="shared" si="8"/>
        <v>0</v>
      </c>
      <c r="Z64" s="2">
        <f>[2]credits!$M64-U64</f>
        <v>108618.31</v>
      </c>
      <c r="AA64" s="2">
        <f>[2]credits!$O64-V64</f>
        <v>32970.6</v>
      </c>
      <c r="AB64" s="2">
        <f>[2]credits!$Q64-W64</f>
        <v>-1.0000000009313226E-2</v>
      </c>
      <c r="AC64" s="2">
        <f>[2]credits!$S64-X64</f>
        <v>0</v>
      </c>
    </row>
    <row r="65" spans="1:29" ht="15" x14ac:dyDescent="0.25">
      <c r="A65" s="5">
        <v>195</v>
      </c>
      <c r="B65" s="5">
        <v>1</v>
      </c>
      <c r="C65" s="2" t="s">
        <v>62</v>
      </c>
      <c r="D65" s="3">
        <v>43471.21</v>
      </c>
      <c r="E65" s="3">
        <v>46326.390000000007</v>
      </c>
      <c r="F65" s="171">
        <v>248053</v>
      </c>
      <c r="G65" s="171">
        <v>102397</v>
      </c>
      <c r="H65" s="171">
        <v>0</v>
      </c>
      <c r="I65" s="171">
        <v>172015</v>
      </c>
      <c r="J65" s="172">
        <v>31530</v>
      </c>
      <c r="K65" s="171">
        <v>600716</v>
      </c>
      <c r="L65" s="171">
        <v>0</v>
      </c>
      <c r="M65" s="3">
        <v>0</v>
      </c>
      <c r="N65" s="173">
        <v>0</v>
      </c>
      <c r="O65" s="154">
        <f t="shared" si="1"/>
        <v>1154711</v>
      </c>
      <c r="P65" s="3">
        <f t="shared" si="2"/>
        <v>804261</v>
      </c>
      <c r="Q65" s="3">
        <f t="shared" si="3"/>
        <v>172015</v>
      </c>
      <c r="R65" s="3">
        <f t="shared" si="4"/>
        <v>31530</v>
      </c>
      <c r="S65" s="3">
        <f t="shared" si="5"/>
        <v>600716</v>
      </c>
      <c r="T65" s="3">
        <f t="shared" si="6"/>
        <v>0</v>
      </c>
      <c r="U65" s="3">
        <v>0</v>
      </c>
      <c r="V65" s="3">
        <v>0</v>
      </c>
      <c r="W65" s="175">
        <f t="shared" si="8"/>
        <v>34601.96</v>
      </c>
      <c r="X65" s="175">
        <f t="shared" si="8"/>
        <v>0</v>
      </c>
      <c r="Z65" s="2">
        <f>[2]credits!$M65-U65</f>
        <v>9908.26</v>
      </c>
      <c r="AA65" s="2">
        <f>[2]credits!$O65-V65</f>
        <v>1816.17</v>
      </c>
      <c r="AB65" s="2">
        <f>[2]credits!$Q65-W65</f>
        <v>0</v>
      </c>
      <c r="AC65" s="2">
        <f>[2]credits!$S65-X65</f>
        <v>0</v>
      </c>
    </row>
    <row r="66" spans="1:29" ht="15" x14ac:dyDescent="0.25">
      <c r="A66" s="5">
        <v>196</v>
      </c>
      <c r="B66" s="5">
        <v>1</v>
      </c>
      <c r="C66" s="2" t="s">
        <v>63</v>
      </c>
      <c r="D66" s="3">
        <v>1746010.0599999998</v>
      </c>
      <c r="E66" s="3">
        <v>1906729.5399999998</v>
      </c>
      <c r="F66" s="171">
        <v>31592395</v>
      </c>
      <c r="G66" s="171">
        <v>3954310</v>
      </c>
      <c r="H66" s="171">
        <v>1426099</v>
      </c>
      <c r="I66" s="171">
        <v>20388697</v>
      </c>
      <c r="J66" s="172">
        <v>1687499</v>
      </c>
      <c r="K66" s="171">
        <v>17049145</v>
      </c>
      <c r="L66" s="171">
        <v>524349</v>
      </c>
      <c r="M66" s="3">
        <v>0</v>
      </c>
      <c r="N66" s="173">
        <v>1793440</v>
      </c>
      <c r="O66" s="154">
        <f t="shared" si="1"/>
        <v>78415934</v>
      </c>
      <c r="P66" s="3">
        <f t="shared" si="2"/>
        <v>42869229</v>
      </c>
      <c r="Q66" s="3">
        <f t="shared" si="3"/>
        <v>21814796</v>
      </c>
      <c r="R66" s="3">
        <f t="shared" si="4"/>
        <v>1687499</v>
      </c>
      <c r="S66" s="3">
        <f t="shared" si="5"/>
        <v>17573494</v>
      </c>
      <c r="T66" s="3">
        <f t="shared" si="6"/>
        <v>1793440</v>
      </c>
      <c r="U66" s="3">
        <v>0</v>
      </c>
      <c r="V66" s="3">
        <v>0</v>
      </c>
      <c r="W66" s="175">
        <f t="shared" si="8"/>
        <v>781630.58</v>
      </c>
      <c r="X66" s="175">
        <f t="shared" si="8"/>
        <v>79768.289999999994</v>
      </c>
      <c r="Z66" s="2">
        <f>[2]credits!$M66-U66</f>
        <v>970274.42</v>
      </c>
      <c r="AA66" s="2">
        <f>[2]credits!$O66-V66</f>
        <v>75056.259999999995</v>
      </c>
      <c r="AB66" s="2">
        <f>[2]credits!$Q66-W66</f>
        <v>-1.0000000009313226E-2</v>
      </c>
      <c r="AC66" s="2">
        <f>[2]credits!$S66-X66</f>
        <v>0</v>
      </c>
    </row>
    <row r="67" spans="1:29" ht="15" x14ac:dyDescent="0.25">
      <c r="A67" s="5">
        <v>197</v>
      </c>
      <c r="B67" s="5">
        <v>1</v>
      </c>
      <c r="C67" s="2" t="s">
        <v>64</v>
      </c>
      <c r="D67" s="3">
        <v>362083.55</v>
      </c>
      <c r="E67" s="3">
        <v>379327.85</v>
      </c>
      <c r="F67" s="171">
        <v>5987517</v>
      </c>
      <c r="G67" s="171">
        <v>461277</v>
      </c>
      <c r="H67" s="171">
        <v>490000</v>
      </c>
      <c r="I67" s="171">
        <v>2703009</v>
      </c>
      <c r="J67" s="172">
        <v>695749</v>
      </c>
      <c r="K67" s="171">
        <v>7287036</v>
      </c>
      <c r="L67" s="171">
        <v>0</v>
      </c>
      <c r="M67" s="3">
        <v>0</v>
      </c>
      <c r="N67" s="173">
        <v>697410</v>
      </c>
      <c r="O67" s="154">
        <f t="shared" si="1"/>
        <v>18321998</v>
      </c>
      <c r="P67" s="3">
        <f t="shared" si="2"/>
        <v>11873204</v>
      </c>
      <c r="Q67" s="3">
        <f t="shared" si="3"/>
        <v>3193009</v>
      </c>
      <c r="R67" s="3">
        <f t="shared" si="4"/>
        <v>695749</v>
      </c>
      <c r="S67" s="3">
        <f t="shared" si="5"/>
        <v>7287036</v>
      </c>
      <c r="T67" s="3">
        <f t="shared" si="6"/>
        <v>697410</v>
      </c>
      <c r="U67" s="3">
        <v>0</v>
      </c>
      <c r="V67" s="3">
        <v>0</v>
      </c>
      <c r="W67" s="175">
        <f t="shared" si="8"/>
        <v>232807.9</v>
      </c>
      <c r="X67" s="175">
        <f t="shared" si="8"/>
        <v>22281.01</v>
      </c>
      <c r="Z67" s="2">
        <f>[2]credits!$M67-U67</f>
        <v>102010.98</v>
      </c>
      <c r="AA67" s="2">
        <f>[2]credits!$O67-V67</f>
        <v>22227.94</v>
      </c>
      <c r="AB67" s="2">
        <f>[2]credits!$Q67-W67</f>
        <v>1.0000000009313226E-2</v>
      </c>
      <c r="AC67" s="2">
        <f>[2]credits!$S67-X67</f>
        <v>1.0000000002037268E-2</v>
      </c>
    </row>
    <row r="68" spans="1:29" ht="15" x14ac:dyDescent="0.25">
      <c r="A68" s="5">
        <v>199</v>
      </c>
      <c r="B68" s="5">
        <v>1</v>
      </c>
      <c r="C68" s="2" t="s">
        <v>65</v>
      </c>
      <c r="D68" s="3">
        <v>300926.29999999993</v>
      </c>
      <c r="E68" s="3">
        <v>344199.65</v>
      </c>
      <c r="F68" s="171">
        <v>4038080</v>
      </c>
      <c r="G68" s="171">
        <v>567942</v>
      </c>
      <c r="H68" s="171">
        <v>0</v>
      </c>
      <c r="I68" s="171">
        <v>2338472</v>
      </c>
      <c r="J68" s="172">
        <v>429095</v>
      </c>
      <c r="K68" s="171">
        <v>2995845</v>
      </c>
      <c r="L68" s="171">
        <v>636450</v>
      </c>
      <c r="M68" s="3">
        <v>0</v>
      </c>
      <c r="N68" s="173">
        <v>643989</v>
      </c>
      <c r="O68" s="154">
        <f t="shared" si="1"/>
        <v>11649873</v>
      </c>
      <c r="P68" s="3">
        <f t="shared" si="2"/>
        <v>7043851</v>
      </c>
      <c r="Q68" s="3">
        <f t="shared" si="3"/>
        <v>2338472</v>
      </c>
      <c r="R68" s="3">
        <f t="shared" si="4"/>
        <v>429095</v>
      </c>
      <c r="S68" s="3">
        <f t="shared" si="5"/>
        <v>3632295</v>
      </c>
      <c r="T68" s="3">
        <f t="shared" si="6"/>
        <v>643989</v>
      </c>
      <c r="U68" s="3">
        <v>0</v>
      </c>
      <c r="V68" s="3">
        <v>0</v>
      </c>
      <c r="W68" s="175">
        <f t="shared" si="8"/>
        <v>177493.06</v>
      </c>
      <c r="X68" s="175">
        <f t="shared" si="8"/>
        <v>31468.69</v>
      </c>
      <c r="Z68" s="2">
        <f>[2]credits!$M68-U68</f>
        <v>113026.27</v>
      </c>
      <c r="AA68" s="2">
        <f>[2]credits!$O68-V68</f>
        <v>20739.59</v>
      </c>
      <c r="AB68" s="2">
        <f>[2]credits!$Q68-W68</f>
        <v>1814.5599999999977</v>
      </c>
      <c r="AC68" s="2">
        <f>[2]credits!$S68-X68</f>
        <v>-342.52000000000044</v>
      </c>
    </row>
    <row r="69" spans="1:29" ht="15" x14ac:dyDescent="0.25">
      <c r="A69" s="5">
        <v>200</v>
      </c>
      <c r="B69" s="5">
        <v>1</v>
      </c>
      <c r="C69" s="2" t="s">
        <v>66</v>
      </c>
      <c r="D69" s="3">
        <v>367466.89</v>
      </c>
      <c r="E69" s="3">
        <v>413798.56</v>
      </c>
      <c r="F69" s="171">
        <v>7754839</v>
      </c>
      <c r="G69" s="171">
        <v>436217</v>
      </c>
      <c r="H69" s="171">
        <v>0</v>
      </c>
      <c r="I69" s="171">
        <v>2007504</v>
      </c>
      <c r="J69" s="172">
        <v>456147</v>
      </c>
      <c r="K69" s="171">
        <v>4756332</v>
      </c>
      <c r="L69" s="171">
        <v>385006</v>
      </c>
      <c r="M69" s="3">
        <v>0</v>
      </c>
      <c r="N69" s="173">
        <v>0</v>
      </c>
      <c r="O69" s="154">
        <f t="shared" si="1"/>
        <v>15796045</v>
      </c>
      <c r="P69" s="3">
        <f t="shared" si="2"/>
        <v>7604989</v>
      </c>
      <c r="Q69" s="3">
        <f t="shared" si="3"/>
        <v>2007504</v>
      </c>
      <c r="R69" s="3">
        <f t="shared" si="4"/>
        <v>456147</v>
      </c>
      <c r="S69" s="3">
        <f t="shared" si="5"/>
        <v>5141338</v>
      </c>
      <c r="T69" s="3">
        <f t="shared" si="6"/>
        <v>0</v>
      </c>
      <c r="U69" s="3">
        <v>0</v>
      </c>
      <c r="V69" s="3">
        <v>0</v>
      </c>
      <c r="W69" s="175">
        <f t="shared" si="8"/>
        <v>279747.71000000002</v>
      </c>
      <c r="X69" s="175">
        <f t="shared" si="8"/>
        <v>0</v>
      </c>
      <c r="Z69" s="2">
        <f>[2]credits!$M69-U69</f>
        <v>109231.22</v>
      </c>
      <c r="AA69" s="2">
        <f>[2]credits!$O69-V69</f>
        <v>24819.64</v>
      </c>
      <c r="AB69" s="2">
        <f>[2]credits!$Q69-W69</f>
        <v>-1.0000000009313226E-2</v>
      </c>
      <c r="AC69" s="2">
        <f>[2]credits!$S69-X69</f>
        <v>0</v>
      </c>
    </row>
    <row r="70" spans="1:29" ht="15" x14ac:dyDescent="0.25">
      <c r="A70" s="5">
        <v>203</v>
      </c>
      <c r="B70" s="5">
        <v>1</v>
      </c>
      <c r="C70" s="2" t="s">
        <v>67</v>
      </c>
      <c r="D70" s="3">
        <v>98307.680000000008</v>
      </c>
      <c r="E70" s="3">
        <v>98898.03</v>
      </c>
      <c r="F70" s="171">
        <v>340084.46</v>
      </c>
      <c r="G70" s="171">
        <v>58964.800000000003</v>
      </c>
      <c r="H70" s="171">
        <v>0</v>
      </c>
      <c r="I70" s="171">
        <v>363773.67</v>
      </c>
      <c r="J70" s="172">
        <v>66544.88</v>
      </c>
      <c r="K70" s="171">
        <v>594583.55000000005</v>
      </c>
      <c r="L70" s="171">
        <v>0</v>
      </c>
      <c r="M70" s="3">
        <v>0</v>
      </c>
      <c r="N70" s="173">
        <v>0</v>
      </c>
      <c r="O70" s="154">
        <f t="shared" si="1"/>
        <v>1423951.3599999999</v>
      </c>
      <c r="P70" s="3">
        <f t="shared" si="2"/>
        <v>1024902.1000000001</v>
      </c>
      <c r="Q70" s="3">
        <f t="shared" si="3"/>
        <v>363773.67</v>
      </c>
      <c r="R70" s="3">
        <f t="shared" si="4"/>
        <v>66544.88</v>
      </c>
      <c r="S70" s="3">
        <f t="shared" si="5"/>
        <v>594583.55000000005</v>
      </c>
      <c r="T70" s="3">
        <f t="shared" si="6"/>
        <v>0</v>
      </c>
      <c r="U70" s="3">
        <v>0</v>
      </c>
      <c r="V70" s="3">
        <v>0</v>
      </c>
      <c r="W70" s="175">
        <f t="shared" si="8"/>
        <v>57374.400000000001</v>
      </c>
      <c r="X70" s="175">
        <f t="shared" si="8"/>
        <v>0</v>
      </c>
      <c r="Z70" s="2">
        <f>[2]credits!$M70-U70</f>
        <v>35102.379999999997</v>
      </c>
      <c r="AA70" s="2">
        <f>[2]credits!$O70-V70</f>
        <v>6421.25</v>
      </c>
      <c r="AB70" s="2">
        <f>[2]credits!$Q70-W70</f>
        <v>0</v>
      </c>
      <c r="AC70" s="2">
        <f>[2]credits!$S70-X70</f>
        <v>0</v>
      </c>
    </row>
    <row r="71" spans="1:29" ht="15" x14ac:dyDescent="0.25">
      <c r="A71" s="5">
        <v>204</v>
      </c>
      <c r="B71" s="5">
        <v>1</v>
      </c>
      <c r="C71" s="2" t="s">
        <v>68</v>
      </c>
      <c r="D71" s="3">
        <v>260005.49</v>
      </c>
      <c r="E71" s="3">
        <v>263283.06</v>
      </c>
      <c r="F71" s="171">
        <v>452363.75</v>
      </c>
      <c r="G71" s="171">
        <v>142650.85999999999</v>
      </c>
      <c r="H71" s="171">
        <v>0</v>
      </c>
      <c r="I71" s="171">
        <v>570343.36</v>
      </c>
      <c r="J71" s="172">
        <v>45685.62</v>
      </c>
      <c r="K71" s="171">
        <v>2161533.21</v>
      </c>
      <c r="L71" s="171">
        <v>93624</v>
      </c>
      <c r="M71" s="3">
        <v>0</v>
      </c>
      <c r="N71" s="173">
        <v>0</v>
      </c>
      <c r="O71" s="154">
        <f t="shared" si="1"/>
        <v>3466200.8</v>
      </c>
      <c r="P71" s="3">
        <f t="shared" si="2"/>
        <v>2871186.19</v>
      </c>
      <c r="Q71" s="3">
        <f t="shared" si="3"/>
        <v>570343.36</v>
      </c>
      <c r="R71" s="3">
        <f t="shared" si="4"/>
        <v>45685.62</v>
      </c>
      <c r="S71" s="3">
        <f t="shared" si="5"/>
        <v>2255157.21</v>
      </c>
      <c r="T71" s="3">
        <f t="shared" si="6"/>
        <v>0</v>
      </c>
      <c r="U71" s="3">
        <v>0</v>
      </c>
      <c r="V71" s="3">
        <v>0</v>
      </c>
      <c r="W71" s="175">
        <f t="shared" si="8"/>
        <v>206794.21</v>
      </c>
      <c r="X71" s="175">
        <f t="shared" si="8"/>
        <v>0</v>
      </c>
      <c r="Z71" s="2">
        <f>[2]credits!$M71-U71</f>
        <v>52299.55</v>
      </c>
      <c r="AA71" s="2">
        <f>[2]credits!$O71-V71</f>
        <v>4189.3</v>
      </c>
      <c r="AB71" s="2">
        <f>[2]credits!$Q71-W71</f>
        <v>0</v>
      </c>
      <c r="AC71" s="2">
        <f>[2]credits!$S71-X71</f>
        <v>0</v>
      </c>
    </row>
    <row r="72" spans="1:29" ht="15" x14ac:dyDescent="0.25">
      <c r="A72" s="5">
        <v>206</v>
      </c>
      <c r="B72" s="5">
        <v>1</v>
      </c>
      <c r="C72" s="2" t="s">
        <v>69</v>
      </c>
      <c r="D72" s="3">
        <v>282648.37</v>
      </c>
      <c r="E72" s="3">
        <v>301051.52000000002</v>
      </c>
      <c r="F72" s="171">
        <v>1789202</v>
      </c>
      <c r="G72" s="171">
        <v>582689</v>
      </c>
      <c r="H72" s="171">
        <v>0</v>
      </c>
      <c r="I72" s="171">
        <v>1521375</v>
      </c>
      <c r="J72" s="172">
        <v>411594</v>
      </c>
      <c r="K72" s="171">
        <v>2766082</v>
      </c>
      <c r="L72" s="171">
        <v>222807</v>
      </c>
      <c r="M72" s="3">
        <v>0</v>
      </c>
      <c r="N72" s="173">
        <v>748923</v>
      </c>
      <c r="O72" s="154">
        <f t="shared" si="1"/>
        <v>8042672</v>
      </c>
      <c r="P72" s="3">
        <f t="shared" si="2"/>
        <v>5670781</v>
      </c>
      <c r="Q72" s="3">
        <f t="shared" si="3"/>
        <v>1521375</v>
      </c>
      <c r="R72" s="3">
        <f t="shared" si="4"/>
        <v>411594</v>
      </c>
      <c r="S72" s="3">
        <f t="shared" si="5"/>
        <v>2988889</v>
      </c>
      <c r="T72" s="3">
        <f t="shared" si="6"/>
        <v>748923</v>
      </c>
      <c r="U72" s="3">
        <v>0</v>
      </c>
      <c r="V72" s="3">
        <v>0</v>
      </c>
      <c r="W72" s="175">
        <f t="shared" si="8"/>
        <v>158674.72</v>
      </c>
      <c r="X72" s="175">
        <f t="shared" si="8"/>
        <v>39758.97</v>
      </c>
      <c r="Z72" s="2">
        <f>[2]credits!$M72-U72</f>
        <v>80767.05</v>
      </c>
      <c r="AA72" s="2">
        <f>[2]credits!$O72-V72</f>
        <v>21850.77</v>
      </c>
      <c r="AB72" s="2">
        <f>[2]credits!$Q72-W72</f>
        <v>1.0000000009313226E-2</v>
      </c>
      <c r="AC72" s="2">
        <f>[2]credits!$S72-X72</f>
        <v>0</v>
      </c>
    </row>
    <row r="73" spans="1:29" ht="15" x14ac:dyDescent="0.25">
      <c r="A73" s="5">
        <v>207</v>
      </c>
      <c r="B73" s="5">
        <v>1</v>
      </c>
      <c r="C73" s="2" t="s">
        <v>70</v>
      </c>
      <c r="D73" s="3">
        <v>14779.23</v>
      </c>
      <c r="E73" s="3">
        <v>16507.559999999998</v>
      </c>
      <c r="F73" s="171">
        <v>202270</v>
      </c>
      <c r="G73" s="171">
        <v>30429</v>
      </c>
      <c r="H73" s="171">
        <v>0</v>
      </c>
      <c r="I73" s="171">
        <v>159585</v>
      </c>
      <c r="J73" s="172">
        <v>22203</v>
      </c>
      <c r="K73" s="171">
        <v>0</v>
      </c>
      <c r="L73" s="171">
        <v>0</v>
      </c>
      <c r="M73" s="3">
        <v>0</v>
      </c>
      <c r="N73" s="173">
        <v>0</v>
      </c>
      <c r="O73" s="154">
        <f t="shared" ref="O73:O136" si="9">SUM(F73:N73)</f>
        <v>414487</v>
      </c>
      <c r="P73" s="3">
        <f t="shared" ref="P73:P136" si="10">SUM(H73:N73)</f>
        <v>181788</v>
      </c>
      <c r="Q73" s="3">
        <f t="shared" ref="Q73:Q136" si="11">SUM(H73:I73)</f>
        <v>159585</v>
      </c>
      <c r="R73" s="3">
        <f t="shared" ref="R73:R136" si="12">J73</f>
        <v>22203</v>
      </c>
      <c r="S73" s="3">
        <f t="shared" ref="S73:S136" si="13">K73+L73</f>
        <v>0</v>
      </c>
      <c r="T73" s="3">
        <f t="shared" ref="T73:T136" si="14">N73+M73</f>
        <v>0</v>
      </c>
      <c r="U73" s="3">
        <v>0</v>
      </c>
      <c r="V73" s="3">
        <v>0</v>
      </c>
      <c r="W73" s="175">
        <f t="shared" si="8"/>
        <v>0</v>
      </c>
      <c r="X73" s="175">
        <f t="shared" si="8"/>
        <v>0</v>
      </c>
      <c r="Z73" s="2">
        <f>[2]credits!$M73-U73</f>
        <v>14491.42</v>
      </c>
      <c r="AA73" s="2">
        <f>[2]credits!$O73-V73</f>
        <v>2016.14</v>
      </c>
      <c r="AB73" s="2">
        <f>[2]credits!$Q73-W73</f>
        <v>0</v>
      </c>
      <c r="AC73" s="2">
        <f>[2]credits!$S73-X73</f>
        <v>0</v>
      </c>
    </row>
    <row r="74" spans="1:29" ht="15" x14ac:dyDescent="0.25">
      <c r="A74" s="5">
        <v>208</v>
      </c>
      <c r="B74" s="5">
        <v>1</v>
      </c>
      <c r="C74" s="2" t="s">
        <v>71</v>
      </c>
      <c r="D74" s="3">
        <v>13164.779999999999</v>
      </c>
      <c r="E74" s="3">
        <v>11858.57</v>
      </c>
      <c r="F74" s="171">
        <v>285841</v>
      </c>
      <c r="G74" s="171">
        <v>5405</v>
      </c>
      <c r="H74" s="171">
        <v>0</v>
      </c>
      <c r="I74" s="171">
        <v>114193</v>
      </c>
      <c r="J74" s="172">
        <v>17510</v>
      </c>
      <c r="K74" s="171">
        <v>0</v>
      </c>
      <c r="L74" s="171">
        <v>0</v>
      </c>
      <c r="M74" s="3">
        <v>0</v>
      </c>
      <c r="N74" s="173">
        <v>0</v>
      </c>
      <c r="O74" s="154">
        <f t="shared" si="9"/>
        <v>422949</v>
      </c>
      <c r="P74" s="3">
        <f t="shared" si="10"/>
        <v>131703</v>
      </c>
      <c r="Q74" s="3">
        <f t="shared" si="11"/>
        <v>114193</v>
      </c>
      <c r="R74" s="3">
        <f t="shared" si="12"/>
        <v>17510</v>
      </c>
      <c r="S74" s="3">
        <f t="shared" si="13"/>
        <v>0</v>
      </c>
      <c r="T74" s="3">
        <f t="shared" si="14"/>
        <v>0</v>
      </c>
      <c r="U74" s="3">
        <v>0</v>
      </c>
      <c r="V74" s="3">
        <v>0</v>
      </c>
      <c r="W74" s="175">
        <f t="shared" si="8"/>
        <v>0</v>
      </c>
      <c r="X74" s="175">
        <f t="shared" si="8"/>
        <v>0</v>
      </c>
      <c r="Z74" s="2">
        <f>[2]credits!$M74-U74</f>
        <v>10282.01</v>
      </c>
      <c r="AA74" s="2">
        <f>[2]credits!$O74-V74</f>
        <v>1576.56</v>
      </c>
      <c r="AB74" s="2">
        <f>[2]credits!$Q74-W74</f>
        <v>0</v>
      </c>
      <c r="AC74" s="2">
        <f>[2]credits!$S74-X74</f>
        <v>0</v>
      </c>
    </row>
    <row r="75" spans="1:29" ht="15" x14ac:dyDescent="0.25">
      <c r="A75" s="5">
        <v>213</v>
      </c>
      <c r="B75" s="5">
        <v>1</v>
      </c>
      <c r="C75" s="2" t="s">
        <v>72</v>
      </c>
      <c r="D75" s="3">
        <v>131909.15999999997</v>
      </c>
      <c r="E75" s="3">
        <v>125630.61</v>
      </c>
      <c r="F75" s="171">
        <v>0</v>
      </c>
      <c r="G75" s="171">
        <v>75184</v>
      </c>
      <c r="H75" s="171">
        <v>0</v>
      </c>
      <c r="I75" s="171">
        <v>270869</v>
      </c>
      <c r="J75" s="172">
        <v>42210</v>
      </c>
      <c r="K75" s="171">
        <v>1154764</v>
      </c>
      <c r="L75" s="171">
        <v>0</v>
      </c>
      <c r="M75" s="3">
        <v>0</v>
      </c>
      <c r="N75" s="173">
        <v>54054</v>
      </c>
      <c r="O75" s="154">
        <f t="shared" si="9"/>
        <v>1597081</v>
      </c>
      <c r="P75" s="3">
        <f t="shared" si="10"/>
        <v>1521897</v>
      </c>
      <c r="Q75" s="3">
        <f t="shared" si="11"/>
        <v>270869</v>
      </c>
      <c r="R75" s="3">
        <f t="shared" si="12"/>
        <v>42210</v>
      </c>
      <c r="S75" s="3">
        <f t="shared" si="13"/>
        <v>1154764</v>
      </c>
      <c r="T75" s="3">
        <f t="shared" si="14"/>
        <v>54054</v>
      </c>
      <c r="U75" s="3">
        <v>0</v>
      </c>
      <c r="V75" s="3">
        <v>0</v>
      </c>
      <c r="W75" s="175">
        <f t="shared" si="8"/>
        <v>95324.26</v>
      </c>
      <c r="X75" s="175">
        <f t="shared" si="8"/>
        <v>4462.09</v>
      </c>
      <c r="Z75" s="2">
        <f>[2]credits!$M75-U75</f>
        <v>22359.9</v>
      </c>
      <c r="AA75" s="2">
        <f>[2]credits!$O75-V75</f>
        <v>3484.4</v>
      </c>
      <c r="AB75" s="2">
        <f>[2]credits!$Q75-W75</f>
        <v>-3.9999999993597157E-2</v>
      </c>
      <c r="AC75" s="2">
        <f>[2]credits!$S75-X75</f>
        <v>0</v>
      </c>
    </row>
    <row r="76" spans="1:29" ht="15" x14ac:dyDescent="0.25">
      <c r="A76" s="5">
        <v>227</v>
      </c>
      <c r="B76" s="5">
        <v>1</v>
      </c>
      <c r="C76" s="2" t="s">
        <v>73</v>
      </c>
      <c r="D76" s="3">
        <v>135503.75</v>
      </c>
      <c r="E76" s="3">
        <v>116200.06</v>
      </c>
      <c r="F76" s="171">
        <v>248990</v>
      </c>
      <c r="G76" s="171">
        <v>84410</v>
      </c>
      <c r="H76" s="171">
        <v>0</v>
      </c>
      <c r="I76" s="171">
        <v>262557</v>
      </c>
      <c r="J76" s="172">
        <v>66267</v>
      </c>
      <c r="K76" s="171">
        <v>1106366</v>
      </c>
      <c r="L76" s="171">
        <v>126513</v>
      </c>
      <c r="M76" s="3">
        <v>0</v>
      </c>
      <c r="N76" s="173">
        <v>0</v>
      </c>
      <c r="O76" s="154">
        <f t="shared" si="9"/>
        <v>1895103</v>
      </c>
      <c r="P76" s="3">
        <f t="shared" si="10"/>
        <v>1561703</v>
      </c>
      <c r="Q76" s="3">
        <f t="shared" si="11"/>
        <v>262557</v>
      </c>
      <c r="R76" s="3">
        <f t="shared" si="12"/>
        <v>66267</v>
      </c>
      <c r="S76" s="3">
        <f t="shared" si="13"/>
        <v>1232879</v>
      </c>
      <c r="T76" s="3">
        <f t="shared" si="14"/>
        <v>0</v>
      </c>
      <c r="U76" s="3">
        <v>0</v>
      </c>
      <c r="V76" s="3">
        <v>0</v>
      </c>
      <c r="W76" s="175">
        <f t="shared" si="8"/>
        <v>91733.58</v>
      </c>
      <c r="X76" s="175">
        <f t="shared" si="8"/>
        <v>0</v>
      </c>
      <c r="Z76" s="2">
        <f>[2]credits!$M76-U76</f>
        <v>19535.8</v>
      </c>
      <c r="AA76" s="2">
        <f>[2]credits!$O76-V76</f>
        <v>4930.68</v>
      </c>
      <c r="AB76" s="2">
        <f>[2]credits!$Q76-W76</f>
        <v>0</v>
      </c>
      <c r="AC76" s="2">
        <f>[2]credits!$S76-X76</f>
        <v>0</v>
      </c>
    </row>
    <row r="77" spans="1:29" ht="15" x14ac:dyDescent="0.25">
      <c r="A77" s="5">
        <v>229</v>
      </c>
      <c r="B77" s="5">
        <v>1</v>
      </c>
      <c r="C77" s="2" t="s">
        <v>74</v>
      </c>
      <c r="D77" s="3">
        <v>48188.789999999994</v>
      </c>
      <c r="E77" s="3">
        <v>48360.25</v>
      </c>
      <c r="F77" s="171">
        <v>69874.11</v>
      </c>
      <c r="G77" s="171">
        <v>51427.96</v>
      </c>
      <c r="H77" s="171">
        <v>0</v>
      </c>
      <c r="I77" s="171">
        <v>138226.37</v>
      </c>
      <c r="J77" s="172">
        <v>21089.82</v>
      </c>
      <c r="K77" s="171">
        <v>243805.37</v>
      </c>
      <c r="L77" s="171">
        <v>0</v>
      </c>
      <c r="M77" s="3">
        <v>0</v>
      </c>
      <c r="N77" s="173">
        <v>0</v>
      </c>
      <c r="O77" s="154">
        <f t="shared" si="9"/>
        <v>524423.63</v>
      </c>
      <c r="P77" s="3">
        <f t="shared" si="10"/>
        <v>403121.56</v>
      </c>
      <c r="Q77" s="3">
        <f t="shared" si="11"/>
        <v>138226.37</v>
      </c>
      <c r="R77" s="3">
        <f t="shared" si="12"/>
        <v>21089.82</v>
      </c>
      <c r="S77" s="3">
        <f t="shared" si="13"/>
        <v>243805.37</v>
      </c>
      <c r="T77" s="3">
        <f t="shared" si="14"/>
        <v>0</v>
      </c>
      <c r="U77" s="3">
        <v>0</v>
      </c>
      <c r="V77" s="3">
        <v>0</v>
      </c>
      <c r="W77" s="175">
        <f t="shared" si="8"/>
        <v>29247.97</v>
      </c>
      <c r="X77" s="175">
        <f t="shared" si="8"/>
        <v>0</v>
      </c>
      <c r="Z77" s="2">
        <f>[2]credits!$M77-U77</f>
        <v>16582.25</v>
      </c>
      <c r="AA77" s="2">
        <f>[2]credits!$O77-V77</f>
        <v>2530.0300000000002</v>
      </c>
      <c r="AB77" s="2">
        <f>[2]credits!$Q77-W77</f>
        <v>0</v>
      </c>
      <c r="AC77" s="2">
        <f>[2]credits!$S77-X77</f>
        <v>0</v>
      </c>
    </row>
    <row r="78" spans="1:29" ht="15" x14ac:dyDescent="0.25">
      <c r="A78" s="5">
        <v>238</v>
      </c>
      <c r="B78" s="5">
        <v>1</v>
      </c>
      <c r="C78" s="2" t="s">
        <v>75</v>
      </c>
      <c r="D78" s="3">
        <v>73572.709999999992</v>
      </c>
      <c r="E78" s="3">
        <v>66539.63</v>
      </c>
      <c r="F78" s="171">
        <v>297470.46999999997</v>
      </c>
      <c r="G78" s="171">
        <v>15636.67</v>
      </c>
      <c r="H78" s="171">
        <v>0</v>
      </c>
      <c r="I78" s="171">
        <v>135743.59</v>
      </c>
      <c r="J78" s="172">
        <v>6244.89</v>
      </c>
      <c r="K78" s="171">
        <v>379029.02</v>
      </c>
      <c r="L78" s="171">
        <v>0</v>
      </c>
      <c r="M78" s="3">
        <v>0</v>
      </c>
      <c r="N78" s="173">
        <v>0</v>
      </c>
      <c r="O78" s="154">
        <f t="shared" si="9"/>
        <v>834124.64</v>
      </c>
      <c r="P78" s="3">
        <f t="shared" si="10"/>
        <v>521017.5</v>
      </c>
      <c r="Q78" s="3">
        <f t="shared" si="11"/>
        <v>135743.59</v>
      </c>
      <c r="R78" s="3">
        <f t="shared" si="12"/>
        <v>6244.89</v>
      </c>
      <c r="S78" s="3">
        <f t="shared" si="13"/>
        <v>379029.02</v>
      </c>
      <c r="T78" s="3">
        <f t="shared" si="14"/>
        <v>0</v>
      </c>
      <c r="U78" s="3">
        <v>0</v>
      </c>
      <c r="V78" s="3">
        <v>0</v>
      </c>
      <c r="W78" s="175">
        <f t="shared" si="8"/>
        <v>48406.15</v>
      </c>
      <c r="X78" s="175">
        <f t="shared" si="8"/>
        <v>0</v>
      </c>
      <c r="Z78" s="2">
        <f>[2]credits!$M78-U78</f>
        <v>17335.939999999999</v>
      </c>
      <c r="AA78" s="2">
        <f>[2]credits!$O78-V78</f>
        <v>797.54</v>
      </c>
      <c r="AB78" s="2">
        <f>[2]credits!$Q78-W78</f>
        <v>0</v>
      </c>
      <c r="AC78" s="2">
        <f>[2]credits!$S78-X78</f>
        <v>0</v>
      </c>
    </row>
    <row r="79" spans="1:29" ht="15" x14ac:dyDescent="0.25">
      <c r="A79" s="5">
        <v>239</v>
      </c>
      <c r="B79" s="5">
        <v>1</v>
      </c>
      <c r="C79" s="2" t="s">
        <v>76</v>
      </c>
      <c r="D79" s="3">
        <v>66213.94</v>
      </c>
      <c r="E79" s="3">
        <v>52819.19</v>
      </c>
      <c r="F79" s="171">
        <v>513914.66</v>
      </c>
      <c r="G79" s="171">
        <v>51336.68</v>
      </c>
      <c r="H79" s="171">
        <v>0</v>
      </c>
      <c r="I79" s="171">
        <v>297412.32</v>
      </c>
      <c r="J79" s="172">
        <v>51585.01</v>
      </c>
      <c r="K79" s="171">
        <v>0</v>
      </c>
      <c r="L79" s="171">
        <v>0</v>
      </c>
      <c r="M79" s="3">
        <v>0</v>
      </c>
      <c r="N79" s="173">
        <v>0</v>
      </c>
      <c r="O79" s="154">
        <f t="shared" si="9"/>
        <v>914248.66999999993</v>
      </c>
      <c r="P79" s="3">
        <f t="shared" si="10"/>
        <v>348997.33</v>
      </c>
      <c r="Q79" s="3">
        <f t="shared" si="11"/>
        <v>297412.32</v>
      </c>
      <c r="R79" s="3">
        <f t="shared" si="12"/>
        <v>51585.01</v>
      </c>
      <c r="S79" s="3">
        <f t="shared" si="13"/>
        <v>0</v>
      </c>
      <c r="T79" s="3">
        <f t="shared" si="14"/>
        <v>0</v>
      </c>
      <c r="U79" s="3">
        <v>0</v>
      </c>
      <c r="V79" s="3">
        <v>0</v>
      </c>
      <c r="W79" s="175">
        <f t="shared" si="8"/>
        <v>0</v>
      </c>
      <c r="X79" s="175">
        <f t="shared" si="8"/>
        <v>0</v>
      </c>
      <c r="Z79" s="2">
        <f>[2]credits!$M79-U79</f>
        <v>45012.03</v>
      </c>
      <c r="AA79" s="2">
        <f>[2]credits!$O79-V79</f>
        <v>7807.16</v>
      </c>
      <c r="AB79" s="2">
        <f>[2]credits!$Q79-W79</f>
        <v>0</v>
      </c>
      <c r="AC79" s="2">
        <f>[2]credits!$S79-X79</f>
        <v>0</v>
      </c>
    </row>
    <row r="80" spans="1:29" ht="15" x14ac:dyDescent="0.25">
      <c r="A80" s="5">
        <v>241</v>
      </c>
      <c r="B80" s="5">
        <v>1</v>
      </c>
      <c r="C80" s="2" t="s">
        <v>77</v>
      </c>
      <c r="D80" s="3">
        <v>422794.68999999994</v>
      </c>
      <c r="E80" s="3">
        <v>435544.49</v>
      </c>
      <c r="F80" s="171">
        <v>2982061.03</v>
      </c>
      <c r="G80" s="171">
        <v>336810.7</v>
      </c>
      <c r="H80" s="171">
        <v>0</v>
      </c>
      <c r="I80" s="171">
        <v>1460617.2</v>
      </c>
      <c r="J80" s="172">
        <v>257236.58</v>
      </c>
      <c r="K80" s="171">
        <v>2741782.34</v>
      </c>
      <c r="L80" s="171">
        <v>0</v>
      </c>
      <c r="M80" s="3">
        <v>0</v>
      </c>
      <c r="N80" s="173">
        <v>309677</v>
      </c>
      <c r="O80" s="154">
        <f t="shared" si="9"/>
        <v>8088184.8499999996</v>
      </c>
      <c r="P80" s="3">
        <f t="shared" si="10"/>
        <v>4769313.12</v>
      </c>
      <c r="Q80" s="3">
        <f t="shared" si="11"/>
        <v>1460617.2</v>
      </c>
      <c r="R80" s="3">
        <f t="shared" si="12"/>
        <v>257236.58</v>
      </c>
      <c r="S80" s="3">
        <f t="shared" si="13"/>
        <v>2741782.34</v>
      </c>
      <c r="T80" s="3">
        <f t="shared" si="14"/>
        <v>309677</v>
      </c>
      <c r="U80" s="3">
        <v>0</v>
      </c>
      <c r="V80" s="3">
        <v>0</v>
      </c>
      <c r="W80" s="175">
        <f t="shared" si="8"/>
        <v>250385.78</v>
      </c>
      <c r="X80" s="175">
        <f t="shared" si="8"/>
        <v>28280.41</v>
      </c>
      <c r="Z80" s="2">
        <f>[2]credits!$M80-U80</f>
        <v>133386.88</v>
      </c>
      <c r="AA80" s="2">
        <f>[2]credits!$O80-V80</f>
        <v>23491.43</v>
      </c>
      <c r="AB80" s="2">
        <f>[2]credits!$Q80-W80</f>
        <v>0</v>
      </c>
      <c r="AC80" s="2">
        <f>[2]credits!$S80-X80</f>
        <v>0</v>
      </c>
    </row>
    <row r="81" spans="1:29" ht="15" x14ac:dyDescent="0.25">
      <c r="A81" s="5">
        <v>242</v>
      </c>
      <c r="B81" s="5">
        <v>1</v>
      </c>
      <c r="C81" s="2" t="s">
        <v>78</v>
      </c>
      <c r="D81" s="3">
        <v>49114.47</v>
      </c>
      <c r="E81" s="3">
        <v>53384.71</v>
      </c>
      <c r="F81" s="171">
        <v>69068.02</v>
      </c>
      <c r="G81" s="171">
        <v>40549.69</v>
      </c>
      <c r="H81" s="171">
        <v>0</v>
      </c>
      <c r="I81" s="171">
        <v>128239.99</v>
      </c>
      <c r="J81" s="172">
        <v>21664.67</v>
      </c>
      <c r="K81" s="171">
        <v>417018.76</v>
      </c>
      <c r="L81" s="171">
        <v>0</v>
      </c>
      <c r="M81" s="3">
        <v>0</v>
      </c>
      <c r="N81" s="173">
        <v>0</v>
      </c>
      <c r="O81" s="154">
        <f t="shared" si="9"/>
        <v>676541.13</v>
      </c>
      <c r="P81" s="3">
        <f t="shared" si="10"/>
        <v>566923.42000000004</v>
      </c>
      <c r="Q81" s="3">
        <f t="shared" si="11"/>
        <v>128239.99</v>
      </c>
      <c r="R81" s="3">
        <f t="shared" si="12"/>
        <v>21664.67</v>
      </c>
      <c r="S81" s="3">
        <f t="shared" si="13"/>
        <v>417018.76</v>
      </c>
      <c r="T81" s="3">
        <f t="shared" si="14"/>
        <v>0</v>
      </c>
      <c r="U81" s="3">
        <v>0</v>
      </c>
      <c r="V81" s="3">
        <v>0</v>
      </c>
      <c r="W81" s="175">
        <f t="shared" si="8"/>
        <v>39268.839999999997</v>
      </c>
      <c r="X81" s="175">
        <f t="shared" si="8"/>
        <v>0</v>
      </c>
      <c r="Z81" s="2">
        <f>[2]credits!$M81-U81</f>
        <v>12075.8</v>
      </c>
      <c r="AA81" s="2">
        <f>[2]credits!$O81-V81</f>
        <v>2040.07</v>
      </c>
      <c r="AB81" s="2">
        <f>[2]credits!$Q81-W81</f>
        <v>0</v>
      </c>
      <c r="AC81" s="2">
        <f>[2]credits!$S81-X81</f>
        <v>0</v>
      </c>
    </row>
    <row r="82" spans="1:29" ht="15" x14ac:dyDescent="0.25">
      <c r="A82" s="5">
        <v>252</v>
      </c>
      <c r="B82" s="5">
        <v>1</v>
      </c>
      <c r="C82" s="2" t="s">
        <v>79</v>
      </c>
      <c r="D82" s="3">
        <v>113421.33000000002</v>
      </c>
      <c r="E82" s="3">
        <v>124204.78</v>
      </c>
      <c r="F82" s="171">
        <v>698285</v>
      </c>
      <c r="G82" s="171">
        <v>152096</v>
      </c>
      <c r="H82" s="171">
        <v>0</v>
      </c>
      <c r="I82" s="171">
        <v>495617</v>
      </c>
      <c r="J82" s="172">
        <v>137872</v>
      </c>
      <c r="K82" s="171">
        <v>1211431</v>
      </c>
      <c r="L82" s="171">
        <v>0</v>
      </c>
      <c r="M82" s="3">
        <v>0</v>
      </c>
      <c r="N82" s="173">
        <v>131355</v>
      </c>
      <c r="O82" s="154">
        <f t="shared" si="9"/>
        <v>2826656</v>
      </c>
      <c r="P82" s="3">
        <f t="shared" si="10"/>
        <v>1976275</v>
      </c>
      <c r="Q82" s="3">
        <f t="shared" si="11"/>
        <v>495617</v>
      </c>
      <c r="R82" s="3">
        <f t="shared" si="12"/>
        <v>137872</v>
      </c>
      <c r="S82" s="3">
        <f t="shared" si="13"/>
        <v>1211431</v>
      </c>
      <c r="T82" s="3">
        <f t="shared" si="14"/>
        <v>131355</v>
      </c>
      <c r="U82" s="3">
        <v>0</v>
      </c>
      <c r="V82" s="3">
        <v>0</v>
      </c>
      <c r="W82" s="175">
        <f t="shared" si="8"/>
        <v>76135.92</v>
      </c>
      <c r="X82" s="175">
        <f t="shared" si="8"/>
        <v>8255.39</v>
      </c>
      <c r="Z82" s="2">
        <f>[2]credits!$M82-U82</f>
        <v>31148.49</v>
      </c>
      <c r="AA82" s="2">
        <f>[2]credits!$O82-V82</f>
        <v>8664.98</v>
      </c>
      <c r="AB82" s="2">
        <f>[2]credits!$Q82-W82</f>
        <v>0</v>
      </c>
      <c r="AC82" s="2">
        <f>[2]credits!$S82-X82</f>
        <v>0</v>
      </c>
    </row>
    <row r="83" spans="1:29" ht="15" x14ac:dyDescent="0.25">
      <c r="A83" s="5">
        <v>253</v>
      </c>
      <c r="B83" s="5">
        <v>1</v>
      </c>
      <c r="C83" s="2" t="s">
        <v>80</v>
      </c>
      <c r="D83" s="3">
        <v>58094.11</v>
      </c>
      <c r="E83" s="3">
        <v>56692.6</v>
      </c>
      <c r="F83" s="171">
        <v>52170</v>
      </c>
      <c r="G83" s="171">
        <v>65093</v>
      </c>
      <c r="H83" s="171">
        <v>0</v>
      </c>
      <c r="I83" s="171">
        <v>194952</v>
      </c>
      <c r="J83" s="172">
        <v>37707</v>
      </c>
      <c r="K83" s="171">
        <v>477638</v>
      </c>
      <c r="L83" s="171">
        <v>0</v>
      </c>
      <c r="M83" s="3">
        <v>0</v>
      </c>
      <c r="N83" s="173">
        <v>0</v>
      </c>
      <c r="O83" s="154">
        <f t="shared" si="9"/>
        <v>827560</v>
      </c>
      <c r="P83" s="3">
        <f t="shared" si="10"/>
        <v>710297</v>
      </c>
      <c r="Q83" s="3">
        <f t="shared" si="11"/>
        <v>194952</v>
      </c>
      <c r="R83" s="3">
        <f t="shared" si="12"/>
        <v>37707</v>
      </c>
      <c r="S83" s="3">
        <f t="shared" si="13"/>
        <v>477638</v>
      </c>
      <c r="T83" s="3">
        <f t="shared" si="14"/>
        <v>0</v>
      </c>
      <c r="U83" s="3">
        <v>0</v>
      </c>
      <c r="V83" s="3">
        <v>0</v>
      </c>
      <c r="W83" s="175">
        <f t="shared" si="8"/>
        <v>38122.839999999997</v>
      </c>
      <c r="X83" s="175">
        <f t="shared" si="8"/>
        <v>0</v>
      </c>
      <c r="Z83" s="2">
        <f>[2]credits!$M83-U83</f>
        <v>15560.18</v>
      </c>
      <c r="AA83" s="2">
        <f>[2]credits!$O83-V83</f>
        <v>3009.6</v>
      </c>
      <c r="AB83" s="2">
        <f>[2]credits!$Q83-W83</f>
        <v>-1.9999999996798579E-2</v>
      </c>
      <c r="AC83" s="2">
        <f>[2]credits!$S83-X83</f>
        <v>0</v>
      </c>
    </row>
    <row r="84" spans="1:29" ht="15" x14ac:dyDescent="0.25">
      <c r="A84" s="5">
        <v>255</v>
      </c>
      <c r="B84" s="5">
        <v>1</v>
      </c>
      <c r="C84" s="2" t="s">
        <v>81</v>
      </c>
      <c r="D84" s="3">
        <v>96845.86</v>
      </c>
      <c r="E84" s="3">
        <v>106138.74</v>
      </c>
      <c r="F84" s="171">
        <v>496230</v>
      </c>
      <c r="G84" s="171">
        <v>123129</v>
      </c>
      <c r="H84" s="171">
        <v>0</v>
      </c>
      <c r="I84" s="171">
        <v>686863</v>
      </c>
      <c r="J84" s="172">
        <v>136483</v>
      </c>
      <c r="K84" s="171">
        <v>621592</v>
      </c>
      <c r="L84" s="171">
        <v>50184</v>
      </c>
      <c r="M84" s="3">
        <v>0</v>
      </c>
      <c r="N84" s="173">
        <v>0</v>
      </c>
      <c r="O84" s="154">
        <f t="shared" si="9"/>
        <v>2114481</v>
      </c>
      <c r="P84" s="3">
        <f t="shared" si="10"/>
        <v>1495122</v>
      </c>
      <c r="Q84" s="3">
        <f t="shared" si="11"/>
        <v>686863</v>
      </c>
      <c r="R84" s="3">
        <f t="shared" si="12"/>
        <v>136483</v>
      </c>
      <c r="S84" s="3">
        <f t="shared" si="13"/>
        <v>671776</v>
      </c>
      <c r="T84" s="3">
        <f t="shared" si="14"/>
        <v>0</v>
      </c>
      <c r="U84" s="3">
        <v>0</v>
      </c>
      <c r="V84" s="3">
        <v>0</v>
      </c>
      <c r="W84" s="175">
        <f t="shared" si="8"/>
        <v>47689.39</v>
      </c>
      <c r="X84" s="175">
        <f t="shared" si="8"/>
        <v>0</v>
      </c>
      <c r="Z84" s="2">
        <f>[2]credits!$M84-U84</f>
        <v>48760.44</v>
      </c>
      <c r="AA84" s="2">
        <f>[2]credits!$O84-V84</f>
        <v>9688.93</v>
      </c>
      <c r="AB84" s="2">
        <f>[2]credits!$Q84-W84</f>
        <v>-1.9999999996798579E-2</v>
      </c>
      <c r="AC84" s="2">
        <f>[2]credits!$S84-X84</f>
        <v>0</v>
      </c>
    </row>
    <row r="85" spans="1:29" ht="15" x14ac:dyDescent="0.25">
      <c r="A85" s="5">
        <v>256</v>
      </c>
      <c r="B85" s="5">
        <v>1</v>
      </c>
      <c r="C85" s="2" t="s">
        <v>82</v>
      </c>
      <c r="D85" s="3">
        <v>257604.64</v>
      </c>
      <c r="E85" s="3">
        <v>239172.26</v>
      </c>
      <c r="F85" s="171">
        <v>3638128</v>
      </c>
      <c r="G85" s="171">
        <v>267392</v>
      </c>
      <c r="H85" s="171">
        <v>0</v>
      </c>
      <c r="I85" s="171">
        <v>1073290</v>
      </c>
      <c r="J85" s="172">
        <v>290617</v>
      </c>
      <c r="K85" s="171">
        <v>2996562</v>
      </c>
      <c r="L85" s="171">
        <v>121812</v>
      </c>
      <c r="M85" s="3">
        <v>0</v>
      </c>
      <c r="N85" s="173">
        <v>508683</v>
      </c>
      <c r="O85" s="154">
        <f t="shared" si="9"/>
        <v>8896484</v>
      </c>
      <c r="P85" s="3">
        <f t="shared" si="10"/>
        <v>4990964</v>
      </c>
      <c r="Q85" s="3">
        <f t="shared" si="11"/>
        <v>1073290</v>
      </c>
      <c r="R85" s="3">
        <f t="shared" si="12"/>
        <v>290617</v>
      </c>
      <c r="S85" s="3">
        <f t="shared" si="13"/>
        <v>3118374</v>
      </c>
      <c r="T85" s="3">
        <f t="shared" si="14"/>
        <v>508683</v>
      </c>
      <c r="U85" s="3">
        <v>0</v>
      </c>
      <c r="V85" s="3">
        <v>0</v>
      </c>
      <c r="W85" s="175">
        <f t="shared" si="8"/>
        <v>149435.76999999999</v>
      </c>
      <c r="X85" s="175">
        <f t="shared" si="8"/>
        <v>24376.63</v>
      </c>
      <c r="Z85" s="2">
        <f>[2]credits!$M85-U85</f>
        <v>51433.19</v>
      </c>
      <c r="AA85" s="2">
        <f>[2]credits!$O85-V85</f>
        <v>13926.7</v>
      </c>
      <c r="AB85" s="2">
        <f>[2]credits!$Q85-W85</f>
        <v>-2.9999999998835847E-2</v>
      </c>
      <c r="AC85" s="2">
        <f>[2]credits!$S85-X85</f>
        <v>-1.0000000002037268E-2</v>
      </c>
    </row>
    <row r="86" spans="1:29" ht="15" x14ac:dyDescent="0.25">
      <c r="A86" s="5">
        <v>261</v>
      </c>
      <c r="B86" s="5">
        <v>1</v>
      </c>
      <c r="C86" s="2" t="s">
        <v>83</v>
      </c>
      <c r="D86" s="3">
        <v>53349.72</v>
      </c>
      <c r="E86" s="3">
        <v>48693.43</v>
      </c>
      <c r="F86" s="171">
        <v>251939</v>
      </c>
      <c r="G86" s="171">
        <v>19070</v>
      </c>
      <c r="H86" s="171">
        <v>0</v>
      </c>
      <c r="I86" s="171">
        <v>87650</v>
      </c>
      <c r="J86" s="172">
        <v>17550</v>
      </c>
      <c r="K86" s="171">
        <v>520785</v>
      </c>
      <c r="L86" s="171">
        <v>0</v>
      </c>
      <c r="M86" s="3">
        <v>0</v>
      </c>
      <c r="N86" s="173">
        <v>0</v>
      </c>
      <c r="O86" s="154">
        <f t="shared" si="9"/>
        <v>896994</v>
      </c>
      <c r="P86" s="3">
        <f t="shared" si="10"/>
        <v>625985</v>
      </c>
      <c r="Q86" s="3">
        <f t="shared" si="11"/>
        <v>87650</v>
      </c>
      <c r="R86" s="3">
        <f t="shared" si="12"/>
        <v>17550</v>
      </c>
      <c r="S86" s="3">
        <f t="shared" si="13"/>
        <v>520785</v>
      </c>
      <c r="T86" s="3">
        <f t="shared" si="14"/>
        <v>0</v>
      </c>
      <c r="U86" s="3">
        <v>0</v>
      </c>
      <c r="V86" s="3">
        <v>0</v>
      </c>
      <c r="W86" s="175">
        <f t="shared" si="8"/>
        <v>40510.25</v>
      </c>
      <c r="X86" s="175">
        <f t="shared" si="8"/>
        <v>0</v>
      </c>
      <c r="Z86" s="2">
        <f>[2]credits!$M86-U86</f>
        <v>6818.05</v>
      </c>
      <c r="AA86" s="2">
        <f>[2]credits!$O86-V86</f>
        <v>1365.15</v>
      </c>
      <c r="AB86" s="2">
        <f>[2]credits!$Q86-W86</f>
        <v>-1.9999999996798579E-2</v>
      </c>
      <c r="AC86" s="2">
        <f>[2]credits!$S86-X86</f>
        <v>0</v>
      </c>
    </row>
    <row r="87" spans="1:29" ht="15" x14ac:dyDescent="0.25">
      <c r="A87" s="5">
        <v>264</v>
      </c>
      <c r="B87" s="5">
        <v>1</v>
      </c>
      <c r="C87" s="2" t="s">
        <v>84</v>
      </c>
      <c r="D87" s="3">
        <v>6391.47</v>
      </c>
      <c r="E87" s="3">
        <v>2615.06</v>
      </c>
      <c r="F87" s="171">
        <v>0</v>
      </c>
      <c r="G87" s="171">
        <v>0</v>
      </c>
      <c r="H87" s="171">
        <v>0</v>
      </c>
      <c r="I87" s="171">
        <v>2685</v>
      </c>
      <c r="J87" s="172">
        <v>20803</v>
      </c>
      <c r="K87" s="171">
        <v>0</v>
      </c>
      <c r="L87" s="171">
        <v>0</v>
      </c>
      <c r="M87" s="3">
        <v>0</v>
      </c>
      <c r="N87" s="173">
        <v>0</v>
      </c>
      <c r="O87" s="154">
        <f t="shared" si="9"/>
        <v>23488</v>
      </c>
      <c r="P87" s="3">
        <f t="shared" si="10"/>
        <v>23488</v>
      </c>
      <c r="Q87" s="3">
        <f t="shared" si="11"/>
        <v>2685</v>
      </c>
      <c r="R87" s="3">
        <f t="shared" si="12"/>
        <v>20803</v>
      </c>
      <c r="S87" s="3">
        <f t="shared" si="13"/>
        <v>0</v>
      </c>
      <c r="T87" s="3">
        <f t="shared" si="14"/>
        <v>0</v>
      </c>
      <c r="U87" s="3">
        <v>0</v>
      </c>
      <c r="V87" s="3">
        <v>0</v>
      </c>
      <c r="W87" s="175">
        <f t="shared" si="8"/>
        <v>0</v>
      </c>
      <c r="X87" s="175">
        <f t="shared" si="8"/>
        <v>0</v>
      </c>
      <c r="Z87" s="2">
        <f>[2]credits!$M87-U87</f>
        <v>298.97000000000003</v>
      </c>
      <c r="AA87" s="2">
        <f>[2]credits!$O87-V87</f>
        <v>2316.09</v>
      </c>
      <c r="AB87" s="2">
        <f>[2]credits!$Q87-W87</f>
        <v>0</v>
      </c>
      <c r="AC87" s="2">
        <f>[2]credits!$S87-X87</f>
        <v>0</v>
      </c>
    </row>
    <row r="88" spans="1:29" ht="15" x14ac:dyDescent="0.25">
      <c r="A88" s="5">
        <v>270</v>
      </c>
      <c r="B88" s="5">
        <v>1</v>
      </c>
      <c r="C88" s="2" t="s">
        <v>85</v>
      </c>
      <c r="D88" s="3">
        <v>494400.14999999997</v>
      </c>
      <c r="E88" s="3">
        <v>560845.04999999981</v>
      </c>
      <c r="F88" s="171">
        <v>14074956.26</v>
      </c>
      <c r="G88" s="171">
        <v>155317.54999999999</v>
      </c>
      <c r="H88" s="171">
        <v>6500000</v>
      </c>
      <c r="I88" s="171">
        <v>4858618.4800000004</v>
      </c>
      <c r="J88" s="172">
        <v>1355555.58</v>
      </c>
      <c r="K88" s="171">
        <v>9183642.5999999996</v>
      </c>
      <c r="L88" s="171">
        <v>3174121.3</v>
      </c>
      <c r="M88" s="3">
        <v>0</v>
      </c>
      <c r="N88" s="173">
        <v>968077</v>
      </c>
      <c r="O88" s="154">
        <f t="shared" si="9"/>
        <v>40270288.770000003</v>
      </c>
      <c r="P88" s="3">
        <f t="shared" si="10"/>
        <v>26040014.960000001</v>
      </c>
      <c r="Q88" s="3">
        <f t="shared" si="11"/>
        <v>11358618.48</v>
      </c>
      <c r="R88" s="3">
        <f t="shared" si="12"/>
        <v>1355555.58</v>
      </c>
      <c r="S88" s="3">
        <f t="shared" si="13"/>
        <v>12357763.899999999</v>
      </c>
      <c r="T88" s="3">
        <f t="shared" si="14"/>
        <v>968077</v>
      </c>
      <c r="U88" s="3">
        <v>0</v>
      </c>
      <c r="V88" s="3">
        <v>0</v>
      </c>
      <c r="W88" s="175">
        <f t="shared" si="8"/>
        <v>266159.24</v>
      </c>
      <c r="X88" s="175">
        <f t="shared" si="8"/>
        <v>20850.259999999998</v>
      </c>
      <c r="Z88" s="2">
        <f>[2]credits!$M88-U88</f>
        <v>248243.37</v>
      </c>
      <c r="AA88" s="2">
        <f>[2]credits!$O88-V88</f>
        <v>29625.759999999998</v>
      </c>
      <c r="AB88" s="2">
        <f>[2]credits!$Q88-W88</f>
        <v>-4340.6999999999825</v>
      </c>
      <c r="AC88" s="2">
        <f>[2]credits!$S88-X88</f>
        <v>307.13000000000102</v>
      </c>
    </row>
    <row r="89" spans="1:29" ht="15" x14ac:dyDescent="0.25">
      <c r="A89" s="5">
        <v>271</v>
      </c>
      <c r="B89" s="5">
        <v>1</v>
      </c>
      <c r="C89" s="2" t="s">
        <v>86</v>
      </c>
      <c r="D89" s="3">
        <v>706370.34</v>
      </c>
      <c r="E89" s="3">
        <v>783385.49000000011</v>
      </c>
      <c r="F89" s="171">
        <v>18283744.329999998</v>
      </c>
      <c r="G89" s="171">
        <v>714510.53</v>
      </c>
      <c r="H89" s="171">
        <v>2916884</v>
      </c>
      <c r="I89" s="171">
        <v>9023128.4499999993</v>
      </c>
      <c r="J89" s="172">
        <v>1607912.11</v>
      </c>
      <c r="K89" s="171">
        <v>8116088.1799999997</v>
      </c>
      <c r="L89" s="171">
        <v>1030753.96</v>
      </c>
      <c r="M89" s="3">
        <v>0</v>
      </c>
      <c r="N89" s="173">
        <v>666442</v>
      </c>
      <c r="O89" s="154">
        <f t="shared" si="9"/>
        <v>42359463.559999995</v>
      </c>
      <c r="P89" s="3">
        <f t="shared" si="10"/>
        <v>23361208.699999999</v>
      </c>
      <c r="Q89" s="3">
        <f t="shared" si="11"/>
        <v>11940012.449999999</v>
      </c>
      <c r="R89" s="3">
        <f t="shared" si="12"/>
        <v>1607912.11</v>
      </c>
      <c r="S89" s="3">
        <f t="shared" si="13"/>
        <v>9146842.1400000006</v>
      </c>
      <c r="T89" s="3">
        <f t="shared" si="14"/>
        <v>666442</v>
      </c>
      <c r="U89" s="3">
        <v>0</v>
      </c>
      <c r="V89" s="3">
        <v>0</v>
      </c>
      <c r="W89" s="175">
        <f t="shared" ref="W89:X137" si="15">IF($P89=0,0,ROUND(S89/$P89*$E89,2))</f>
        <v>306726.57</v>
      </c>
      <c r="X89" s="175">
        <f t="shared" si="15"/>
        <v>22348.2</v>
      </c>
      <c r="Z89" s="2">
        <f>[2]credits!$M89-U89</f>
        <v>400391.63</v>
      </c>
      <c r="AA89" s="2">
        <f>[2]credits!$O89-V89</f>
        <v>53919.09</v>
      </c>
      <c r="AB89" s="2">
        <f>[2]credits!$Q89-W89</f>
        <v>0</v>
      </c>
      <c r="AC89" s="2">
        <f>[2]credits!$S89-X89</f>
        <v>0</v>
      </c>
    </row>
    <row r="90" spans="1:29" ht="15" x14ac:dyDescent="0.25">
      <c r="A90" s="5">
        <v>272</v>
      </c>
      <c r="B90" s="5">
        <v>1</v>
      </c>
      <c r="C90" s="2" t="s">
        <v>87</v>
      </c>
      <c r="D90" s="3">
        <v>430238.14</v>
      </c>
      <c r="E90" s="3">
        <v>476558.44000000006</v>
      </c>
      <c r="F90" s="171">
        <v>13632090.82</v>
      </c>
      <c r="G90" s="171">
        <v>1124951.3</v>
      </c>
      <c r="H90" s="171">
        <v>6312705</v>
      </c>
      <c r="I90" s="171">
        <v>5532752.7199999997</v>
      </c>
      <c r="J90" s="172">
        <v>1168805.6200000001</v>
      </c>
      <c r="K90" s="171">
        <v>11678486.050000001</v>
      </c>
      <c r="L90" s="171">
        <v>1135899.02</v>
      </c>
      <c r="M90" s="3">
        <v>0</v>
      </c>
      <c r="N90" s="173">
        <v>798972</v>
      </c>
      <c r="O90" s="154">
        <f t="shared" si="9"/>
        <v>41384662.530000009</v>
      </c>
      <c r="P90" s="3">
        <f t="shared" si="10"/>
        <v>26627620.41</v>
      </c>
      <c r="Q90" s="3">
        <f t="shared" si="11"/>
        <v>11845457.719999999</v>
      </c>
      <c r="R90" s="3">
        <f t="shared" si="12"/>
        <v>1168805.6200000001</v>
      </c>
      <c r="S90" s="3">
        <f t="shared" si="13"/>
        <v>12814385.07</v>
      </c>
      <c r="T90" s="3">
        <f t="shared" si="14"/>
        <v>798972</v>
      </c>
      <c r="U90" s="3">
        <v>0</v>
      </c>
      <c r="V90" s="3">
        <v>0</v>
      </c>
      <c r="W90" s="175">
        <f t="shared" si="15"/>
        <v>229340.93</v>
      </c>
      <c r="X90" s="175">
        <f t="shared" si="15"/>
        <v>14299.32</v>
      </c>
      <c r="Z90" s="2">
        <f>[2]credits!$M90-U90</f>
        <v>210864.86</v>
      </c>
      <c r="AA90" s="2">
        <f>[2]credits!$O90-V90</f>
        <v>20806.29</v>
      </c>
      <c r="AB90" s="2">
        <f>[2]credits!$Q90-W90</f>
        <v>1323.5899999999965</v>
      </c>
      <c r="AC90" s="2">
        <f>[2]credits!$S90-X90</f>
        <v>-76.559999999999491</v>
      </c>
    </row>
    <row r="91" spans="1:29" ht="15" x14ac:dyDescent="0.25">
      <c r="A91" s="5">
        <v>273</v>
      </c>
      <c r="B91" s="5">
        <v>1</v>
      </c>
      <c r="C91" s="2" t="s">
        <v>88</v>
      </c>
      <c r="D91" s="3">
        <v>140649.40000000002</v>
      </c>
      <c r="E91" s="3">
        <v>165099.18000000002</v>
      </c>
      <c r="F91" s="171">
        <v>15379970.289999999</v>
      </c>
      <c r="G91" s="171">
        <v>478740.86</v>
      </c>
      <c r="H91" s="171">
        <v>1000000</v>
      </c>
      <c r="I91" s="171">
        <v>6302302.0499999998</v>
      </c>
      <c r="J91" s="172">
        <v>982218.23999999999</v>
      </c>
      <c r="K91" s="171">
        <v>9996574.0700000003</v>
      </c>
      <c r="L91" s="171">
        <v>557041</v>
      </c>
      <c r="M91" s="3">
        <v>0</v>
      </c>
      <c r="N91" s="173">
        <v>0</v>
      </c>
      <c r="O91" s="154">
        <f t="shared" si="9"/>
        <v>34696846.509999998</v>
      </c>
      <c r="P91" s="3">
        <f t="shared" si="10"/>
        <v>18838135.359999999</v>
      </c>
      <c r="Q91" s="3">
        <f t="shared" si="11"/>
        <v>7302302.0499999998</v>
      </c>
      <c r="R91" s="3">
        <f t="shared" si="12"/>
        <v>982218.23999999999</v>
      </c>
      <c r="S91" s="3">
        <f t="shared" si="13"/>
        <v>10553615.07</v>
      </c>
      <c r="T91" s="3">
        <f t="shared" si="14"/>
        <v>0</v>
      </c>
      <c r="U91" s="3">
        <v>0</v>
      </c>
      <c r="V91" s="3">
        <v>0</v>
      </c>
      <c r="W91" s="175">
        <f t="shared" si="15"/>
        <v>92492.87</v>
      </c>
      <c r="X91" s="175">
        <f t="shared" si="15"/>
        <v>0</v>
      </c>
      <c r="Z91" s="2">
        <f>[2]credits!$M91-U91</f>
        <v>63998.06</v>
      </c>
      <c r="AA91" s="2">
        <f>[2]credits!$O91-V91</f>
        <v>8608.25</v>
      </c>
      <c r="AB91" s="2">
        <f>[2]credits!$Q91-W91</f>
        <v>0</v>
      </c>
      <c r="AC91" s="2">
        <f>[2]credits!$S91-X91</f>
        <v>0</v>
      </c>
    </row>
    <row r="92" spans="1:29" ht="15" x14ac:dyDescent="0.25">
      <c r="A92" s="5">
        <v>276</v>
      </c>
      <c r="B92" s="5">
        <v>1</v>
      </c>
      <c r="C92" s="2" t="s">
        <v>89</v>
      </c>
      <c r="D92" s="3">
        <v>185727.41</v>
      </c>
      <c r="E92" s="3">
        <v>220771.39999999997</v>
      </c>
      <c r="F92" s="171">
        <v>16345861.16</v>
      </c>
      <c r="G92" s="171">
        <v>592260.53</v>
      </c>
      <c r="H92" s="171">
        <v>5445578</v>
      </c>
      <c r="I92" s="171">
        <v>4380648.63</v>
      </c>
      <c r="J92" s="172">
        <v>971384.9</v>
      </c>
      <c r="K92" s="171">
        <v>4534108.5</v>
      </c>
      <c r="L92" s="171">
        <v>1580716.47</v>
      </c>
      <c r="M92" s="3">
        <v>0</v>
      </c>
      <c r="N92" s="173">
        <v>274029</v>
      </c>
      <c r="O92" s="154">
        <f t="shared" si="9"/>
        <v>34124587.189999998</v>
      </c>
      <c r="P92" s="3">
        <f t="shared" si="10"/>
        <v>17186465.5</v>
      </c>
      <c r="Q92" s="3">
        <f t="shared" si="11"/>
        <v>9826226.629999999</v>
      </c>
      <c r="R92" s="3">
        <f t="shared" si="12"/>
        <v>971384.9</v>
      </c>
      <c r="S92" s="3">
        <f t="shared" si="13"/>
        <v>6114824.9699999997</v>
      </c>
      <c r="T92" s="3">
        <f t="shared" si="14"/>
        <v>274029</v>
      </c>
      <c r="U92" s="3">
        <v>0</v>
      </c>
      <c r="V92" s="3">
        <v>0</v>
      </c>
      <c r="W92" s="175">
        <f t="shared" si="15"/>
        <v>78548.929999999993</v>
      </c>
      <c r="X92" s="175">
        <f t="shared" si="15"/>
        <v>3520.08</v>
      </c>
      <c r="Z92" s="2">
        <f>[2]credits!$M92-U92</f>
        <v>126224.31</v>
      </c>
      <c r="AA92" s="2">
        <f>[2]credits!$O92-V92</f>
        <v>12478.07</v>
      </c>
      <c r="AB92" s="2">
        <f>[2]credits!$Q92-W92</f>
        <v>0</v>
      </c>
      <c r="AC92" s="2">
        <f>[2]credits!$S92-X92</f>
        <v>0</v>
      </c>
    </row>
    <row r="93" spans="1:29" ht="15" x14ac:dyDescent="0.25">
      <c r="A93" s="5">
        <v>277</v>
      </c>
      <c r="B93" s="5">
        <v>1</v>
      </c>
      <c r="C93" s="2" t="s">
        <v>90</v>
      </c>
      <c r="D93" s="3">
        <v>61254.39</v>
      </c>
      <c r="E93" s="3">
        <v>67630.62</v>
      </c>
      <c r="F93" s="171">
        <v>4355037.6500000004</v>
      </c>
      <c r="G93" s="171">
        <v>157740.60999999999</v>
      </c>
      <c r="H93" s="171">
        <v>750000</v>
      </c>
      <c r="I93" s="171">
        <v>1294344</v>
      </c>
      <c r="J93" s="172">
        <v>450202.85</v>
      </c>
      <c r="K93" s="171">
        <v>1063655.69</v>
      </c>
      <c r="L93" s="171">
        <v>0</v>
      </c>
      <c r="M93" s="3">
        <v>0</v>
      </c>
      <c r="N93" s="173">
        <v>575761</v>
      </c>
      <c r="O93" s="154">
        <f t="shared" si="9"/>
        <v>8646741.8000000007</v>
      </c>
      <c r="P93" s="3">
        <f t="shared" si="10"/>
        <v>4133963.54</v>
      </c>
      <c r="Q93" s="3">
        <f t="shared" si="11"/>
        <v>2044344</v>
      </c>
      <c r="R93" s="3">
        <f t="shared" si="12"/>
        <v>450202.85</v>
      </c>
      <c r="S93" s="3">
        <f t="shared" si="13"/>
        <v>1063655.69</v>
      </c>
      <c r="T93" s="3">
        <f t="shared" si="14"/>
        <v>575761</v>
      </c>
      <c r="U93" s="3">
        <v>0</v>
      </c>
      <c r="V93" s="3">
        <v>0</v>
      </c>
      <c r="W93" s="175">
        <f t="shared" si="15"/>
        <v>17401.14</v>
      </c>
      <c r="X93" s="175">
        <f t="shared" si="15"/>
        <v>9419.31</v>
      </c>
      <c r="Z93" s="2">
        <f>[2]credits!$M93-U93</f>
        <v>33444.959999999999</v>
      </c>
      <c r="AA93" s="2">
        <f>[2]credits!$O93-V93</f>
        <v>7365.21</v>
      </c>
      <c r="AB93" s="2">
        <f>[2]credits!$Q93-W93</f>
        <v>0</v>
      </c>
      <c r="AC93" s="2">
        <f>[2]credits!$S93-X93</f>
        <v>0</v>
      </c>
    </row>
    <row r="94" spans="1:29" ht="15" x14ac:dyDescent="0.25">
      <c r="A94" s="5">
        <v>278</v>
      </c>
      <c r="B94" s="5">
        <v>1</v>
      </c>
      <c r="C94" s="2" t="s">
        <v>91</v>
      </c>
      <c r="D94" s="3">
        <v>44025.21</v>
      </c>
      <c r="E94" s="3">
        <v>53028.91</v>
      </c>
      <c r="F94" s="171">
        <v>3571720.1</v>
      </c>
      <c r="G94" s="171">
        <v>323823.77</v>
      </c>
      <c r="H94" s="171">
        <v>996640</v>
      </c>
      <c r="I94" s="171">
        <v>1937517.08</v>
      </c>
      <c r="J94" s="172">
        <v>260299.88</v>
      </c>
      <c r="K94" s="171">
        <v>3724164.72</v>
      </c>
      <c r="L94" s="171">
        <v>0</v>
      </c>
      <c r="M94" s="3">
        <v>0</v>
      </c>
      <c r="N94" s="173">
        <v>449304</v>
      </c>
      <c r="O94" s="154">
        <f t="shared" si="9"/>
        <v>11263469.550000001</v>
      </c>
      <c r="P94" s="3">
        <f t="shared" si="10"/>
        <v>7367925.6799999997</v>
      </c>
      <c r="Q94" s="3">
        <f t="shared" si="11"/>
        <v>2934157.08</v>
      </c>
      <c r="R94" s="3">
        <f t="shared" si="12"/>
        <v>260299.88</v>
      </c>
      <c r="S94" s="3">
        <f t="shared" si="13"/>
        <v>3724164.72</v>
      </c>
      <c r="T94" s="3">
        <f t="shared" si="14"/>
        <v>449304</v>
      </c>
      <c r="U94" s="3">
        <v>0</v>
      </c>
      <c r="V94" s="3">
        <v>0</v>
      </c>
      <c r="W94" s="175">
        <f t="shared" si="15"/>
        <v>26803.8</v>
      </c>
      <c r="X94" s="175">
        <f t="shared" si="15"/>
        <v>3233.76</v>
      </c>
      <c r="Z94" s="2">
        <f>[2]credits!$M94-U94</f>
        <v>21117.9</v>
      </c>
      <c r="AA94" s="2">
        <f>[2]credits!$O94-V94</f>
        <v>1873.45</v>
      </c>
      <c r="AB94" s="2">
        <f>[2]credits!$Q94-W94</f>
        <v>0</v>
      </c>
      <c r="AC94" s="2">
        <f>[2]credits!$S94-X94</f>
        <v>0</v>
      </c>
    </row>
    <row r="95" spans="1:29" ht="15" x14ac:dyDescent="0.25">
      <c r="A95" s="5">
        <v>279</v>
      </c>
      <c r="B95" s="5">
        <v>1</v>
      </c>
      <c r="C95" s="2" t="s">
        <v>92</v>
      </c>
      <c r="D95" s="3">
        <v>1261264.32</v>
      </c>
      <c r="E95" s="3">
        <v>1368753.04</v>
      </c>
      <c r="F95" s="171">
        <v>31665987.219999999</v>
      </c>
      <c r="G95" s="171">
        <v>2746582.1</v>
      </c>
      <c r="H95" s="171">
        <v>0</v>
      </c>
      <c r="I95" s="171">
        <v>13405969.23</v>
      </c>
      <c r="J95" s="172">
        <v>1874263.75</v>
      </c>
      <c r="K95" s="171">
        <v>18432417.010000002</v>
      </c>
      <c r="L95" s="171">
        <v>1004394.4</v>
      </c>
      <c r="M95" s="3">
        <v>0</v>
      </c>
      <c r="N95" s="173">
        <v>1008000</v>
      </c>
      <c r="O95" s="154">
        <f t="shared" si="9"/>
        <v>70137613.710000008</v>
      </c>
      <c r="P95" s="3">
        <f t="shared" si="10"/>
        <v>35725044.390000001</v>
      </c>
      <c r="Q95" s="3">
        <f t="shared" si="11"/>
        <v>13405969.23</v>
      </c>
      <c r="R95" s="3">
        <f t="shared" si="12"/>
        <v>1874263.75</v>
      </c>
      <c r="S95" s="3">
        <f t="shared" si="13"/>
        <v>19436811.41</v>
      </c>
      <c r="T95" s="3">
        <f t="shared" si="14"/>
        <v>1008000</v>
      </c>
      <c r="U95" s="3">
        <v>0</v>
      </c>
      <c r="V95" s="3">
        <v>0</v>
      </c>
      <c r="W95" s="175">
        <f t="shared" si="15"/>
        <v>744693.12</v>
      </c>
      <c r="X95" s="175">
        <f t="shared" si="15"/>
        <v>38620.050000000003</v>
      </c>
      <c r="Z95" s="2">
        <f>[2]credits!$M95-U95</f>
        <v>511917.89</v>
      </c>
      <c r="AA95" s="2">
        <f>[2]credits!$O95-V95</f>
        <v>71570.289999999994</v>
      </c>
      <c r="AB95" s="2">
        <f>[2]credits!$Q95-W95</f>
        <v>2080.4300000000512</v>
      </c>
      <c r="AC95" s="2">
        <f>[2]credits!$S95-X95</f>
        <v>-128.75</v>
      </c>
    </row>
    <row r="96" spans="1:29" ht="15" x14ac:dyDescent="0.25">
      <c r="A96" s="5">
        <v>280</v>
      </c>
      <c r="B96" s="5">
        <v>1</v>
      </c>
      <c r="C96" s="2" t="s">
        <v>93</v>
      </c>
      <c r="D96" s="3">
        <v>451214.94999999995</v>
      </c>
      <c r="E96" s="3">
        <v>479314.27</v>
      </c>
      <c r="F96" s="171">
        <v>5952259.6200000001</v>
      </c>
      <c r="G96" s="171">
        <v>355404.97</v>
      </c>
      <c r="H96" s="171">
        <v>1379056</v>
      </c>
      <c r="I96" s="171">
        <v>3226345.2</v>
      </c>
      <c r="J96" s="172">
        <v>437342.64</v>
      </c>
      <c r="K96" s="171">
        <v>2913773.49</v>
      </c>
      <c r="L96" s="171">
        <v>1203870.6200000001</v>
      </c>
      <c r="M96" s="3">
        <v>0</v>
      </c>
      <c r="N96" s="173">
        <v>898335</v>
      </c>
      <c r="O96" s="154">
        <f t="shared" si="9"/>
        <v>16366387.539999999</v>
      </c>
      <c r="P96" s="3">
        <f t="shared" si="10"/>
        <v>10058722.949999999</v>
      </c>
      <c r="Q96" s="3">
        <f t="shared" si="11"/>
        <v>4605401.2</v>
      </c>
      <c r="R96" s="3">
        <f t="shared" si="12"/>
        <v>437342.64</v>
      </c>
      <c r="S96" s="3">
        <f t="shared" si="13"/>
        <v>4117644.1100000003</v>
      </c>
      <c r="T96" s="3">
        <f t="shared" si="14"/>
        <v>898335</v>
      </c>
      <c r="U96" s="3">
        <v>0</v>
      </c>
      <c r="V96" s="3">
        <v>0</v>
      </c>
      <c r="W96" s="175">
        <f t="shared" si="15"/>
        <v>196212.34</v>
      </c>
      <c r="X96" s="175">
        <f t="shared" si="15"/>
        <v>42807.1</v>
      </c>
      <c r="Z96" s="2">
        <f>[2]credits!$M96-U96</f>
        <v>215176.34</v>
      </c>
      <c r="AA96" s="2">
        <f>[2]credits!$O96-V96</f>
        <v>20433.79</v>
      </c>
      <c r="AB96" s="2">
        <f>[2]credits!$Q96-W96</f>
        <v>5519.25</v>
      </c>
      <c r="AC96" s="2">
        <f>[2]credits!$S96-X96</f>
        <v>-834.54999999999563</v>
      </c>
    </row>
    <row r="97" spans="1:29" ht="15" x14ac:dyDescent="0.25">
      <c r="A97" s="5">
        <v>281</v>
      </c>
      <c r="B97" s="5">
        <v>1</v>
      </c>
      <c r="C97" s="2" t="s">
        <v>94</v>
      </c>
      <c r="D97" s="3">
        <v>1205996.49</v>
      </c>
      <c r="E97" s="3">
        <v>1396580.3800000001</v>
      </c>
      <c r="F97" s="171">
        <v>19979781.309999999</v>
      </c>
      <c r="G97" s="171">
        <v>1523770</v>
      </c>
      <c r="H97" s="171">
        <v>0</v>
      </c>
      <c r="I97" s="171">
        <v>12672056.18</v>
      </c>
      <c r="J97" s="172">
        <v>1804624.81</v>
      </c>
      <c r="K97" s="171">
        <v>947326.15</v>
      </c>
      <c r="L97" s="171">
        <v>15403060.359999999</v>
      </c>
      <c r="M97" s="3">
        <v>0</v>
      </c>
      <c r="N97" s="173">
        <v>1945125</v>
      </c>
      <c r="O97" s="154">
        <f t="shared" si="9"/>
        <v>54275743.809999995</v>
      </c>
      <c r="P97" s="3">
        <f t="shared" si="10"/>
        <v>32772192.5</v>
      </c>
      <c r="Q97" s="3">
        <f t="shared" si="11"/>
        <v>12672056.18</v>
      </c>
      <c r="R97" s="3">
        <f t="shared" si="12"/>
        <v>1804624.81</v>
      </c>
      <c r="S97" s="3">
        <f t="shared" si="13"/>
        <v>16350386.51</v>
      </c>
      <c r="T97" s="3">
        <f t="shared" si="14"/>
        <v>1945125</v>
      </c>
      <c r="U97" s="3">
        <v>0</v>
      </c>
      <c r="V97" s="3">
        <v>0</v>
      </c>
      <c r="W97" s="175">
        <f t="shared" si="15"/>
        <v>696768.43</v>
      </c>
      <c r="X97" s="175">
        <f t="shared" si="15"/>
        <v>82891.11</v>
      </c>
      <c r="Z97" s="2">
        <f>[2]credits!$M97-U97</f>
        <v>540017.12</v>
      </c>
      <c r="AA97" s="2">
        <f>[2]credits!$O97-V97</f>
        <v>76903.72</v>
      </c>
      <c r="AB97" s="2">
        <f>[2]credits!$Q97-W97</f>
        <v>0</v>
      </c>
      <c r="AC97" s="2">
        <f>[2]credits!$S97-X97</f>
        <v>0</v>
      </c>
    </row>
    <row r="98" spans="1:29" ht="15" x14ac:dyDescent="0.25">
      <c r="A98" s="5">
        <v>282</v>
      </c>
      <c r="B98" s="5">
        <v>1</v>
      </c>
      <c r="C98" s="2" t="s">
        <v>95</v>
      </c>
      <c r="D98" s="3">
        <v>115775.58</v>
      </c>
      <c r="E98" s="3">
        <v>124449.06</v>
      </c>
      <c r="F98" s="171">
        <v>2129195.46</v>
      </c>
      <c r="G98" s="171">
        <v>235433.75</v>
      </c>
      <c r="H98" s="171">
        <v>0</v>
      </c>
      <c r="I98" s="171">
        <v>1012928.74</v>
      </c>
      <c r="J98" s="172">
        <v>182181.44</v>
      </c>
      <c r="K98" s="171">
        <v>1147882.6599999999</v>
      </c>
      <c r="L98" s="171">
        <v>659675.13</v>
      </c>
      <c r="M98" s="3">
        <v>0</v>
      </c>
      <c r="N98" s="173">
        <v>525090</v>
      </c>
      <c r="O98" s="154">
        <f t="shared" si="9"/>
        <v>5892387.1799999997</v>
      </c>
      <c r="P98" s="3">
        <f t="shared" si="10"/>
        <v>3527757.9699999997</v>
      </c>
      <c r="Q98" s="3">
        <f t="shared" si="11"/>
        <v>1012928.74</v>
      </c>
      <c r="R98" s="3">
        <f t="shared" si="12"/>
        <v>182181.44</v>
      </c>
      <c r="S98" s="3">
        <f t="shared" si="13"/>
        <v>1807557.79</v>
      </c>
      <c r="T98" s="3">
        <f t="shared" si="14"/>
        <v>525090</v>
      </c>
      <c r="U98" s="3">
        <v>0</v>
      </c>
      <c r="V98" s="3">
        <v>0</v>
      </c>
      <c r="W98" s="175">
        <f t="shared" si="15"/>
        <v>63765.39</v>
      </c>
      <c r="X98" s="175">
        <f t="shared" si="15"/>
        <v>18523.650000000001</v>
      </c>
      <c r="Z98" s="2">
        <f>[2]credits!$M98-U98</f>
        <v>35733.19</v>
      </c>
      <c r="AA98" s="2">
        <f>[2]credits!$O98-V98</f>
        <v>6426.83</v>
      </c>
      <c r="AB98" s="2">
        <f>[2]credits!$Q98-W98</f>
        <v>0</v>
      </c>
      <c r="AC98" s="2">
        <f>[2]credits!$S98-X98</f>
        <v>0</v>
      </c>
    </row>
    <row r="99" spans="1:29" ht="15" x14ac:dyDescent="0.25">
      <c r="A99" s="5">
        <v>283</v>
      </c>
      <c r="B99" s="5">
        <v>1</v>
      </c>
      <c r="C99" s="2" t="s">
        <v>96</v>
      </c>
      <c r="D99" s="3">
        <v>359946.78</v>
      </c>
      <c r="E99" s="3">
        <v>363286.16000000003</v>
      </c>
      <c r="F99" s="171">
        <v>9049274.6999999993</v>
      </c>
      <c r="G99" s="171">
        <v>343501.75</v>
      </c>
      <c r="H99" s="171">
        <v>1474470</v>
      </c>
      <c r="I99" s="171">
        <v>2238740.7799999998</v>
      </c>
      <c r="J99" s="172">
        <v>979473.19</v>
      </c>
      <c r="K99" s="171">
        <v>6142079.54</v>
      </c>
      <c r="L99" s="171">
        <v>63000</v>
      </c>
      <c r="M99" s="3">
        <v>0</v>
      </c>
      <c r="N99" s="173">
        <v>879011</v>
      </c>
      <c r="O99" s="154">
        <f t="shared" si="9"/>
        <v>21169550.959999997</v>
      </c>
      <c r="P99" s="3">
        <f t="shared" si="10"/>
        <v>11776774.51</v>
      </c>
      <c r="Q99" s="3">
        <f t="shared" si="11"/>
        <v>3713210.78</v>
      </c>
      <c r="R99" s="3">
        <f t="shared" si="12"/>
        <v>979473.19</v>
      </c>
      <c r="S99" s="3">
        <f t="shared" si="13"/>
        <v>6205079.54</v>
      </c>
      <c r="T99" s="3">
        <f t="shared" si="14"/>
        <v>879011</v>
      </c>
      <c r="U99" s="3">
        <v>0</v>
      </c>
      <c r="V99" s="3">
        <v>0</v>
      </c>
      <c r="W99" s="175">
        <f t="shared" si="15"/>
        <v>191412.3</v>
      </c>
      <c r="X99" s="175">
        <f t="shared" si="15"/>
        <v>27115.45</v>
      </c>
      <c r="Z99" s="2">
        <f>[2]credits!$M99-U99</f>
        <v>114543.93</v>
      </c>
      <c r="AA99" s="2">
        <f>[2]credits!$O99-V99</f>
        <v>30214.47</v>
      </c>
      <c r="AB99" s="2">
        <f>[2]credits!$Q99-W99</f>
        <v>0</v>
      </c>
      <c r="AC99" s="2">
        <f>[2]credits!$S99-X99</f>
        <v>0</v>
      </c>
    </row>
    <row r="100" spans="1:29" ht="15" x14ac:dyDescent="0.25">
      <c r="A100" s="5">
        <v>284</v>
      </c>
      <c r="B100" s="5">
        <v>1</v>
      </c>
      <c r="C100" s="2" t="s">
        <v>97</v>
      </c>
      <c r="D100" s="3">
        <v>360551.73</v>
      </c>
      <c r="E100" s="3">
        <v>385400.45</v>
      </c>
      <c r="F100" s="171">
        <v>17971992.129999999</v>
      </c>
      <c r="G100" s="171">
        <v>960219.81</v>
      </c>
      <c r="H100" s="171">
        <v>5669023</v>
      </c>
      <c r="I100" s="171">
        <v>9273598.5700000003</v>
      </c>
      <c r="J100" s="172">
        <v>1488405.3</v>
      </c>
      <c r="K100" s="171">
        <v>9420076.6199999992</v>
      </c>
      <c r="L100" s="171">
        <v>601690</v>
      </c>
      <c r="M100" s="3">
        <v>0</v>
      </c>
      <c r="N100" s="173">
        <v>581042</v>
      </c>
      <c r="O100" s="154">
        <f t="shared" si="9"/>
        <v>45966047.429999992</v>
      </c>
      <c r="P100" s="3">
        <f t="shared" si="10"/>
        <v>27033835.490000002</v>
      </c>
      <c r="Q100" s="3">
        <f t="shared" si="11"/>
        <v>14942621.57</v>
      </c>
      <c r="R100" s="3">
        <f t="shared" si="12"/>
        <v>1488405.3</v>
      </c>
      <c r="S100" s="3">
        <f t="shared" si="13"/>
        <v>10021766.619999999</v>
      </c>
      <c r="T100" s="3">
        <f t="shared" si="14"/>
        <v>581042</v>
      </c>
      <c r="U100" s="3">
        <v>0</v>
      </c>
      <c r="V100" s="3">
        <v>0</v>
      </c>
      <c r="W100" s="175">
        <f t="shared" si="15"/>
        <v>142872.56</v>
      </c>
      <c r="X100" s="175">
        <f t="shared" si="15"/>
        <v>8283.4699999999993</v>
      </c>
      <c r="Z100" s="2">
        <f>[2]credits!$M100-U100</f>
        <v>213025.38</v>
      </c>
      <c r="AA100" s="2">
        <f>[2]credits!$O100-V100</f>
        <v>21219.040000000001</v>
      </c>
      <c r="AB100" s="2">
        <f>[2]credits!$Q100-W100</f>
        <v>0</v>
      </c>
      <c r="AC100" s="2">
        <f>[2]credits!$S100-X100</f>
        <v>0</v>
      </c>
    </row>
    <row r="101" spans="1:29" ht="15" x14ac:dyDescent="0.25">
      <c r="A101" s="5">
        <v>286</v>
      </c>
      <c r="B101" s="5">
        <v>1</v>
      </c>
      <c r="C101" s="2" t="s">
        <v>98</v>
      </c>
      <c r="D101" s="3">
        <v>155606.79</v>
      </c>
      <c r="E101" s="3">
        <v>148917.93</v>
      </c>
      <c r="F101" s="171">
        <v>460208.85</v>
      </c>
      <c r="G101" s="171">
        <v>461640.66</v>
      </c>
      <c r="H101" s="171">
        <v>0</v>
      </c>
      <c r="I101" s="171">
        <v>819188.91</v>
      </c>
      <c r="J101" s="172">
        <v>145578.53</v>
      </c>
      <c r="K101" s="171">
        <v>2034955.71</v>
      </c>
      <c r="L101" s="171">
        <v>205268.35</v>
      </c>
      <c r="M101" s="3">
        <v>0</v>
      </c>
      <c r="N101" s="173">
        <v>290588</v>
      </c>
      <c r="O101" s="154">
        <f t="shared" si="9"/>
        <v>4417429.01</v>
      </c>
      <c r="P101" s="3">
        <f t="shared" si="10"/>
        <v>3495579.5</v>
      </c>
      <c r="Q101" s="3">
        <f t="shared" si="11"/>
        <v>819188.91</v>
      </c>
      <c r="R101" s="3">
        <f t="shared" si="12"/>
        <v>145578.53</v>
      </c>
      <c r="S101" s="3">
        <f t="shared" si="13"/>
        <v>2240224.06</v>
      </c>
      <c r="T101" s="3">
        <f t="shared" si="14"/>
        <v>290588</v>
      </c>
      <c r="U101" s="3">
        <v>0</v>
      </c>
      <c r="V101" s="3">
        <v>0</v>
      </c>
      <c r="W101" s="175">
        <f t="shared" si="15"/>
        <v>95437.55</v>
      </c>
      <c r="X101" s="175">
        <f t="shared" si="15"/>
        <v>12379.57</v>
      </c>
      <c r="Z101" s="2">
        <f>[2]credits!$M101-U101</f>
        <v>34898.910000000003</v>
      </c>
      <c r="AA101" s="2">
        <f>[2]credits!$O101-V101</f>
        <v>6201.91</v>
      </c>
      <c r="AB101" s="2">
        <f>[2]credits!$Q101-W101</f>
        <v>0</v>
      </c>
      <c r="AC101" s="2">
        <f>[2]credits!$S101-X101</f>
        <v>0</v>
      </c>
    </row>
    <row r="102" spans="1:29" ht="15" x14ac:dyDescent="0.25">
      <c r="A102" s="5">
        <v>294</v>
      </c>
      <c r="B102" s="5">
        <v>1</v>
      </c>
      <c r="C102" s="2" t="s">
        <v>99</v>
      </c>
      <c r="D102" s="3">
        <v>37308.589999999997</v>
      </c>
      <c r="E102" s="3">
        <v>39402.79</v>
      </c>
      <c r="F102" s="171">
        <v>439527</v>
      </c>
      <c r="G102" s="171">
        <v>189670</v>
      </c>
      <c r="H102" s="171">
        <v>0</v>
      </c>
      <c r="I102" s="171">
        <v>89593</v>
      </c>
      <c r="J102" s="172">
        <v>38499</v>
      </c>
      <c r="K102" s="171">
        <v>0</v>
      </c>
      <c r="L102" s="171">
        <v>136201</v>
      </c>
      <c r="M102" s="3">
        <v>0</v>
      </c>
      <c r="N102" s="173">
        <v>0</v>
      </c>
      <c r="O102" s="154">
        <f t="shared" si="9"/>
        <v>893490</v>
      </c>
      <c r="P102" s="3">
        <f t="shared" si="10"/>
        <v>264293</v>
      </c>
      <c r="Q102" s="3">
        <f t="shared" si="11"/>
        <v>89593</v>
      </c>
      <c r="R102" s="3">
        <f t="shared" si="12"/>
        <v>38499</v>
      </c>
      <c r="S102" s="3">
        <f t="shared" si="13"/>
        <v>136201</v>
      </c>
      <c r="T102" s="3">
        <f t="shared" si="14"/>
        <v>0</v>
      </c>
      <c r="U102" s="3">
        <v>0</v>
      </c>
      <c r="V102" s="3">
        <v>0</v>
      </c>
      <c r="W102" s="175">
        <f t="shared" si="15"/>
        <v>20305.87</v>
      </c>
      <c r="X102" s="175">
        <f t="shared" si="15"/>
        <v>0</v>
      </c>
      <c r="Z102" s="2">
        <f>[2]credits!$M102-U102</f>
        <v>13357.2</v>
      </c>
      <c r="AA102" s="2">
        <f>[2]credits!$O102-V102</f>
        <v>5739.73</v>
      </c>
      <c r="AB102" s="2">
        <f>[2]credits!$Q102-W102</f>
        <v>-2.0000000000436557E-2</v>
      </c>
      <c r="AC102" s="2">
        <f>[2]credits!$S102-X102</f>
        <v>0</v>
      </c>
    </row>
    <row r="103" spans="1:29" ht="15" x14ac:dyDescent="0.25">
      <c r="A103" s="5">
        <v>297</v>
      </c>
      <c r="B103" s="5">
        <v>1</v>
      </c>
      <c r="C103" s="2" t="s">
        <v>100</v>
      </c>
      <c r="D103" s="3">
        <v>35484.57</v>
      </c>
      <c r="E103" s="3">
        <v>50910.06</v>
      </c>
      <c r="F103" s="171">
        <v>387766</v>
      </c>
      <c r="G103" s="171">
        <v>15753</v>
      </c>
      <c r="H103" s="171">
        <v>0</v>
      </c>
      <c r="I103" s="171">
        <v>151361</v>
      </c>
      <c r="J103" s="172">
        <v>22750</v>
      </c>
      <c r="K103" s="171">
        <v>0</v>
      </c>
      <c r="L103" s="171">
        <v>0</v>
      </c>
      <c r="M103" s="3">
        <v>0</v>
      </c>
      <c r="N103" s="173">
        <v>0</v>
      </c>
      <c r="O103" s="154">
        <f t="shared" si="9"/>
        <v>577630</v>
      </c>
      <c r="P103" s="3">
        <f t="shared" si="10"/>
        <v>174111</v>
      </c>
      <c r="Q103" s="3">
        <f t="shared" si="11"/>
        <v>151361</v>
      </c>
      <c r="R103" s="3">
        <f t="shared" si="12"/>
        <v>22750</v>
      </c>
      <c r="S103" s="3">
        <f t="shared" si="13"/>
        <v>0</v>
      </c>
      <c r="T103" s="3">
        <f t="shared" si="14"/>
        <v>0</v>
      </c>
      <c r="U103" s="3">
        <v>0</v>
      </c>
      <c r="V103" s="3">
        <v>0</v>
      </c>
      <c r="W103" s="175">
        <f t="shared" si="15"/>
        <v>0</v>
      </c>
      <c r="X103" s="175">
        <f t="shared" si="15"/>
        <v>0</v>
      </c>
      <c r="Z103" s="2">
        <f>[2]credits!$M103-U103</f>
        <v>44258.01</v>
      </c>
      <c r="AA103" s="2">
        <f>[2]credits!$O103-V103</f>
        <v>6652.05</v>
      </c>
      <c r="AB103" s="2">
        <f>[2]credits!$Q103-W103</f>
        <v>0</v>
      </c>
      <c r="AC103" s="2">
        <f>[2]credits!$S103-X103</f>
        <v>0</v>
      </c>
    </row>
    <row r="104" spans="1:29" ht="15" x14ac:dyDescent="0.25">
      <c r="A104" s="5">
        <v>299</v>
      </c>
      <c r="B104" s="5">
        <v>1</v>
      </c>
      <c r="C104" s="2" t="s">
        <v>101</v>
      </c>
      <c r="D104" s="3">
        <v>233348.38</v>
      </c>
      <c r="E104" s="3">
        <v>227198.77</v>
      </c>
      <c r="F104" s="171">
        <v>480554</v>
      </c>
      <c r="G104" s="171">
        <v>66785</v>
      </c>
      <c r="H104" s="171">
        <v>0</v>
      </c>
      <c r="I104" s="171">
        <v>303787</v>
      </c>
      <c r="J104" s="172">
        <v>75278</v>
      </c>
      <c r="K104" s="171">
        <v>1659102</v>
      </c>
      <c r="L104" s="171">
        <v>0</v>
      </c>
      <c r="M104" s="3">
        <v>0</v>
      </c>
      <c r="N104" s="173">
        <v>0</v>
      </c>
      <c r="O104" s="154">
        <f t="shared" si="9"/>
        <v>2585506</v>
      </c>
      <c r="P104" s="3">
        <f t="shared" si="10"/>
        <v>2038167</v>
      </c>
      <c r="Q104" s="3">
        <f t="shared" si="11"/>
        <v>303787</v>
      </c>
      <c r="R104" s="3">
        <f t="shared" si="12"/>
        <v>75278</v>
      </c>
      <c r="S104" s="3">
        <f t="shared" si="13"/>
        <v>1659102</v>
      </c>
      <c r="T104" s="3">
        <f t="shared" si="14"/>
        <v>0</v>
      </c>
      <c r="U104" s="3">
        <v>0</v>
      </c>
      <c r="V104" s="3">
        <v>0</v>
      </c>
      <c r="W104" s="175">
        <f t="shared" si="15"/>
        <v>184943.6</v>
      </c>
      <c r="X104" s="175">
        <f t="shared" si="15"/>
        <v>0</v>
      </c>
      <c r="Z104" s="2">
        <f>[2]credits!$M104-U104</f>
        <v>33863.74</v>
      </c>
      <c r="AA104" s="2">
        <f>[2]credits!$O104-V104</f>
        <v>8391.3700000000008</v>
      </c>
      <c r="AB104" s="2">
        <f>[2]credits!$Q104-W104</f>
        <v>5.9999999997671694E-2</v>
      </c>
      <c r="AC104" s="2">
        <f>[2]credits!$S104-X104</f>
        <v>0</v>
      </c>
    </row>
    <row r="105" spans="1:29" ht="15" x14ac:dyDescent="0.25">
      <c r="A105" s="5">
        <v>300</v>
      </c>
      <c r="B105" s="5">
        <v>1</v>
      </c>
      <c r="C105" s="2" t="s">
        <v>102</v>
      </c>
      <c r="D105" s="3">
        <v>149392.82</v>
      </c>
      <c r="E105" s="3">
        <v>149033.08000000002</v>
      </c>
      <c r="F105" s="171">
        <v>719211</v>
      </c>
      <c r="G105" s="171">
        <v>142071</v>
      </c>
      <c r="H105" s="171">
        <v>0</v>
      </c>
      <c r="I105" s="171">
        <v>450939</v>
      </c>
      <c r="J105" s="172">
        <v>154858</v>
      </c>
      <c r="K105" s="171">
        <v>726595</v>
      </c>
      <c r="L105" s="171">
        <v>0</v>
      </c>
      <c r="M105" s="3">
        <v>0</v>
      </c>
      <c r="N105" s="173">
        <v>166551</v>
      </c>
      <c r="O105" s="154">
        <f t="shared" si="9"/>
        <v>2360225</v>
      </c>
      <c r="P105" s="3">
        <f t="shared" si="10"/>
        <v>1498943</v>
      </c>
      <c r="Q105" s="3">
        <f t="shared" si="11"/>
        <v>450939</v>
      </c>
      <c r="R105" s="3">
        <f t="shared" si="12"/>
        <v>154858</v>
      </c>
      <c r="S105" s="3">
        <f t="shared" si="13"/>
        <v>726595</v>
      </c>
      <c r="T105" s="3">
        <f t="shared" si="14"/>
        <v>166551</v>
      </c>
      <c r="U105" s="3">
        <v>0</v>
      </c>
      <c r="V105" s="3">
        <v>0</v>
      </c>
      <c r="W105" s="175">
        <f t="shared" si="15"/>
        <v>72242.03</v>
      </c>
      <c r="X105" s="175">
        <f t="shared" si="15"/>
        <v>16559.41</v>
      </c>
      <c r="Z105" s="2">
        <f>[2]credits!$M105-U105</f>
        <v>44834.81</v>
      </c>
      <c r="AA105" s="2">
        <f>[2]credits!$O105-V105</f>
        <v>15396.85</v>
      </c>
      <c r="AB105" s="2">
        <f>[2]credits!$Q105-W105</f>
        <v>-9.9999999947613105E-3</v>
      </c>
      <c r="AC105" s="2">
        <f>[2]credits!$S105-X105</f>
        <v>0</v>
      </c>
    </row>
    <row r="106" spans="1:29" ht="15" x14ac:dyDescent="0.25">
      <c r="A106" s="5">
        <v>306</v>
      </c>
      <c r="B106" s="5">
        <v>1</v>
      </c>
      <c r="C106" s="2" t="s">
        <v>103</v>
      </c>
      <c r="D106" s="3">
        <v>56096.07</v>
      </c>
      <c r="E106" s="3">
        <v>58709.999999999993</v>
      </c>
      <c r="F106" s="171">
        <v>0</v>
      </c>
      <c r="G106" s="171">
        <v>55915.44</v>
      </c>
      <c r="H106" s="171">
        <v>0</v>
      </c>
      <c r="I106" s="171">
        <v>121358</v>
      </c>
      <c r="J106" s="172">
        <v>21274</v>
      </c>
      <c r="K106" s="171">
        <v>915082</v>
      </c>
      <c r="L106" s="171">
        <v>0</v>
      </c>
      <c r="M106" s="3">
        <v>0</v>
      </c>
      <c r="N106" s="173">
        <v>0</v>
      </c>
      <c r="O106" s="154">
        <f t="shared" si="9"/>
        <v>1113629.44</v>
      </c>
      <c r="P106" s="3">
        <f t="shared" si="10"/>
        <v>1057714</v>
      </c>
      <c r="Q106" s="3">
        <f t="shared" si="11"/>
        <v>121358</v>
      </c>
      <c r="R106" s="3">
        <f t="shared" si="12"/>
        <v>21274</v>
      </c>
      <c r="S106" s="3">
        <f t="shared" si="13"/>
        <v>915082</v>
      </c>
      <c r="T106" s="3">
        <f t="shared" si="14"/>
        <v>0</v>
      </c>
      <c r="U106" s="3">
        <v>0</v>
      </c>
      <c r="V106" s="3">
        <v>0</v>
      </c>
      <c r="W106" s="175">
        <f t="shared" si="15"/>
        <v>50793</v>
      </c>
      <c r="X106" s="175">
        <f t="shared" si="15"/>
        <v>0</v>
      </c>
      <c r="Z106" s="2">
        <f>[2]credits!$M106-U106</f>
        <v>6736.16</v>
      </c>
      <c r="AA106" s="2">
        <f>[2]credits!$O106-V106</f>
        <v>1180.8499999999999</v>
      </c>
      <c r="AB106" s="2">
        <f>[2]credits!$Q106-W106</f>
        <v>-1.9999999996798579E-2</v>
      </c>
      <c r="AC106" s="2">
        <f>[2]credits!$S106-X106</f>
        <v>0</v>
      </c>
    </row>
    <row r="107" spans="1:29" ht="15" x14ac:dyDescent="0.25">
      <c r="A107" s="5">
        <v>308</v>
      </c>
      <c r="B107" s="5">
        <v>1</v>
      </c>
      <c r="C107" s="2" t="s">
        <v>104</v>
      </c>
      <c r="D107" s="3">
        <v>22161.059999999998</v>
      </c>
      <c r="E107" s="3">
        <v>19930.860000000004</v>
      </c>
      <c r="F107" s="171">
        <v>36481.54</v>
      </c>
      <c r="G107" s="171">
        <v>102695.03999999999</v>
      </c>
      <c r="H107" s="171">
        <v>0</v>
      </c>
      <c r="I107" s="171">
        <v>205909</v>
      </c>
      <c r="J107" s="172">
        <v>47484</v>
      </c>
      <c r="K107" s="171">
        <v>214252</v>
      </c>
      <c r="L107" s="171">
        <v>0</v>
      </c>
      <c r="M107" s="3">
        <v>0</v>
      </c>
      <c r="N107" s="173">
        <v>0</v>
      </c>
      <c r="O107" s="154">
        <f t="shared" si="9"/>
        <v>606821.57999999996</v>
      </c>
      <c r="P107" s="3">
        <f t="shared" si="10"/>
        <v>467645</v>
      </c>
      <c r="Q107" s="3">
        <f t="shared" si="11"/>
        <v>205909</v>
      </c>
      <c r="R107" s="3">
        <f t="shared" si="12"/>
        <v>47484</v>
      </c>
      <c r="S107" s="3">
        <f t="shared" si="13"/>
        <v>214252</v>
      </c>
      <c r="T107" s="3">
        <f t="shared" si="14"/>
        <v>0</v>
      </c>
      <c r="U107" s="3">
        <v>0</v>
      </c>
      <c r="V107" s="3">
        <v>0</v>
      </c>
      <c r="W107" s="175">
        <f t="shared" si="15"/>
        <v>9131.34</v>
      </c>
      <c r="X107" s="175">
        <f t="shared" si="15"/>
        <v>0</v>
      </c>
      <c r="Z107" s="2">
        <f>[2]credits!$M107-U107</f>
        <v>8775.7800000000007</v>
      </c>
      <c r="AA107" s="2">
        <f>[2]credits!$O107-V107</f>
        <v>2023.74</v>
      </c>
      <c r="AB107" s="2">
        <f>[2]credits!$Q107-W107</f>
        <v>0</v>
      </c>
      <c r="AC107" s="2">
        <f>[2]credits!$S107-X107</f>
        <v>0</v>
      </c>
    </row>
    <row r="108" spans="1:29" ht="15" x14ac:dyDescent="0.25">
      <c r="A108" s="5">
        <v>309</v>
      </c>
      <c r="B108" s="5">
        <v>1</v>
      </c>
      <c r="C108" s="2" t="s">
        <v>105</v>
      </c>
      <c r="D108" s="3">
        <v>194590.25</v>
      </c>
      <c r="E108" s="3">
        <v>187331.87</v>
      </c>
      <c r="F108" s="171">
        <v>1132026</v>
      </c>
      <c r="G108" s="171">
        <v>183908.62</v>
      </c>
      <c r="H108" s="171">
        <v>0</v>
      </c>
      <c r="I108" s="171">
        <v>334627</v>
      </c>
      <c r="J108" s="172">
        <v>196560</v>
      </c>
      <c r="K108" s="171">
        <v>2436922</v>
      </c>
      <c r="L108" s="171">
        <v>523833</v>
      </c>
      <c r="M108" s="3">
        <v>0</v>
      </c>
      <c r="N108" s="173">
        <v>0</v>
      </c>
      <c r="O108" s="154">
        <f t="shared" si="9"/>
        <v>4807876.62</v>
      </c>
      <c r="P108" s="3">
        <f t="shared" si="10"/>
        <v>3491942</v>
      </c>
      <c r="Q108" s="3">
        <f t="shared" si="11"/>
        <v>334627</v>
      </c>
      <c r="R108" s="3">
        <f t="shared" si="12"/>
        <v>196560</v>
      </c>
      <c r="S108" s="3">
        <f t="shared" si="13"/>
        <v>2960755</v>
      </c>
      <c r="T108" s="3">
        <f t="shared" si="14"/>
        <v>0</v>
      </c>
      <c r="U108" s="3">
        <v>0</v>
      </c>
      <c r="V108" s="3">
        <v>0</v>
      </c>
      <c r="W108" s="175">
        <f t="shared" si="15"/>
        <v>158835.32999999999</v>
      </c>
      <c r="X108" s="175">
        <f t="shared" si="15"/>
        <v>0</v>
      </c>
      <c r="Z108" s="2">
        <f>[2]credits!$M108-U108</f>
        <v>17951.7</v>
      </c>
      <c r="AA108" s="2">
        <f>[2]credits!$O108-V108</f>
        <v>10544.83</v>
      </c>
      <c r="AB108" s="2">
        <f>[2]credits!$Q108-W108</f>
        <v>1.0000000009313226E-2</v>
      </c>
      <c r="AC108" s="2">
        <f>[2]credits!$S108-X108</f>
        <v>0</v>
      </c>
    </row>
    <row r="109" spans="1:29" ht="15" x14ac:dyDescent="0.25">
      <c r="A109" s="5">
        <v>314</v>
      </c>
      <c r="B109" s="5">
        <v>1</v>
      </c>
      <c r="C109" s="2" t="s">
        <v>106</v>
      </c>
      <c r="D109" s="3">
        <v>152299.88</v>
      </c>
      <c r="E109" s="3">
        <v>150207.39000000001</v>
      </c>
      <c r="F109" s="171">
        <v>389574.64</v>
      </c>
      <c r="G109" s="171">
        <v>80416.179999999993</v>
      </c>
      <c r="H109" s="171">
        <v>0</v>
      </c>
      <c r="I109" s="171">
        <v>217792.82</v>
      </c>
      <c r="J109" s="172">
        <v>56627.96</v>
      </c>
      <c r="K109" s="171">
        <v>646468.86</v>
      </c>
      <c r="L109" s="171">
        <v>156934.74</v>
      </c>
      <c r="M109" s="3">
        <v>0</v>
      </c>
      <c r="N109" s="173">
        <v>155828</v>
      </c>
      <c r="O109" s="154">
        <f t="shared" si="9"/>
        <v>1703643.2</v>
      </c>
      <c r="P109" s="3">
        <f t="shared" si="10"/>
        <v>1233652.3799999999</v>
      </c>
      <c r="Q109" s="3">
        <f t="shared" si="11"/>
        <v>217792.82</v>
      </c>
      <c r="R109" s="3">
        <f t="shared" si="12"/>
        <v>56627.96</v>
      </c>
      <c r="S109" s="3">
        <f t="shared" si="13"/>
        <v>803403.6</v>
      </c>
      <c r="T109" s="3">
        <f t="shared" si="14"/>
        <v>155828</v>
      </c>
      <c r="U109" s="3">
        <v>0</v>
      </c>
      <c r="V109" s="3">
        <v>0</v>
      </c>
      <c r="W109" s="175">
        <f t="shared" si="15"/>
        <v>97821.04</v>
      </c>
      <c r="X109" s="175">
        <f t="shared" si="15"/>
        <v>18973.349999999999</v>
      </c>
      <c r="Z109" s="2">
        <f>[2]credits!$M109-U109</f>
        <v>23544.12</v>
      </c>
      <c r="AA109" s="2">
        <f>[2]credits!$O109-V109</f>
        <v>6121.67</v>
      </c>
      <c r="AB109" s="2">
        <f>[2]credits!$Q109-W109</f>
        <v>-10970.469999999987</v>
      </c>
      <c r="AC109" s="2">
        <f>[2]credits!$S109-X109</f>
        <v>14717.690000000002</v>
      </c>
    </row>
    <row r="110" spans="1:29" ht="15" x14ac:dyDescent="0.25">
      <c r="A110" s="5">
        <v>316</v>
      </c>
      <c r="B110" s="5">
        <v>1</v>
      </c>
      <c r="C110" s="2" t="s">
        <v>107</v>
      </c>
      <c r="D110" s="3">
        <v>288859.62</v>
      </c>
      <c r="E110" s="3">
        <v>206522.05</v>
      </c>
      <c r="F110" s="171">
        <v>0.01</v>
      </c>
      <c r="G110" s="171">
        <v>133317.69</v>
      </c>
      <c r="H110" s="171">
        <v>0</v>
      </c>
      <c r="I110" s="171">
        <v>196162.72</v>
      </c>
      <c r="J110" s="172">
        <v>0</v>
      </c>
      <c r="K110" s="171">
        <v>0</v>
      </c>
      <c r="L110" s="171">
        <v>50755.63</v>
      </c>
      <c r="M110" s="3">
        <v>0</v>
      </c>
      <c r="N110" s="173">
        <v>1666182</v>
      </c>
      <c r="O110" s="154">
        <f t="shared" si="9"/>
        <v>2046418.05</v>
      </c>
      <c r="P110" s="3">
        <f t="shared" si="10"/>
        <v>1913100.35</v>
      </c>
      <c r="Q110" s="3">
        <f t="shared" si="11"/>
        <v>196162.72</v>
      </c>
      <c r="R110" s="3">
        <f t="shared" si="12"/>
        <v>0</v>
      </c>
      <c r="S110" s="3">
        <f t="shared" si="13"/>
        <v>50755.63</v>
      </c>
      <c r="T110" s="3">
        <f t="shared" si="14"/>
        <v>1666182</v>
      </c>
      <c r="U110" s="3">
        <v>0</v>
      </c>
      <c r="V110" s="3">
        <v>0</v>
      </c>
      <c r="W110" s="175">
        <f>IF($P110=0,0,ROUND(S110/$P110*$E110,2))+5323.99</f>
        <v>10803.14</v>
      </c>
      <c r="X110" s="175">
        <f>IF($P110=0,0,ROUND(T110/$P110*$E110,2))+174731.91</f>
        <v>354598.75</v>
      </c>
      <c r="Z110" s="2">
        <f>[2]credits!$M110-U110</f>
        <v>41799.300000000003</v>
      </c>
      <c r="AA110" s="2">
        <f>[2]credits!$O110-V110</f>
        <v>0</v>
      </c>
      <c r="AB110" s="2">
        <f>[2]credits!$Q110-W110</f>
        <v>0</v>
      </c>
      <c r="AC110" s="2">
        <f>[2]credits!$S110-X110</f>
        <v>0</v>
      </c>
    </row>
    <row r="111" spans="1:29" ht="15" x14ac:dyDescent="0.25">
      <c r="A111" s="5">
        <v>317</v>
      </c>
      <c r="B111" s="5">
        <v>1</v>
      </c>
      <c r="C111" s="2" t="s">
        <v>108</v>
      </c>
      <c r="D111" s="3">
        <v>128241.59</v>
      </c>
      <c r="E111" s="3">
        <v>60987.5</v>
      </c>
      <c r="F111" s="171">
        <v>0</v>
      </c>
      <c r="G111" s="171">
        <v>135027.82</v>
      </c>
      <c r="H111" s="171">
        <v>0</v>
      </c>
      <c r="I111" s="171">
        <v>0</v>
      </c>
      <c r="J111" s="172">
        <v>0</v>
      </c>
      <c r="K111" s="171">
        <v>491804.13</v>
      </c>
      <c r="L111" s="171">
        <v>276969.88</v>
      </c>
      <c r="M111" s="3">
        <v>0</v>
      </c>
      <c r="N111" s="173">
        <v>157632.76999999999</v>
      </c>
      <c r="O111" s="154">
        <f t="shared" si="9"/>
        <v>1061434.5999999999</v>
      </c>
      <c r="P111" s="3">
        <f t="shared" si="10"/>
        <v>926406.78</v>
      </c>
      <c r="Q111" s="3">
        <f t="shared" si="11"/>
        <v>0</v>
      </c>
      <c r="R111" s="3">
        <f t="shared" si="12"/>
        <v>0</v>
      </c>
      <c r="S111" s="3">
        <f t="shared" si="13"/>
        <v>768774.01</v>
      </c>
      <c r="T111" s="3">
        <f t="shared" si="14"/>
        <v>157632.76999999999</v>
      </c>
      <c r="U111" s="3">
        <v>0</v>
      </c>
      <c r="V111" s="3">
        <v>0</v>
      </c>
      <c r="W111" s="175">
        <f>IF($P111=0,0,ROUND(S111/$P111*$E111,2))+31067.46</f>
        <v>81677.63</v>
      </c>
      <c r="X111" s="175">
        <f>IF($P111=0,0,ROUND(T111/$P111*$E111,2))+9959.56</f>
        <v>20336.89</v>
      </c>
      <c r="Z111" s="2">
        <f>[2]credits!$M111-U111</f>
        <v>18697.84</v>
      </c>
      <c r="AA111" s="2">
        <f>[2]credits!$O111-V111</f>
        <v>0</v>
      </c>
      <c r="AB111" s="2">
        <f>[2]credits!$Q111-W111</f>
        <v>0</v>
      </c>
      <c r="AC111" s="2">
        <f>[2]credits!$S111-X111</f>
        <v>0</v>
      </c>
    </row>
    <row r="112" spans="1:29" ht="15" x14ac:dyDescent="0.25">
      <c r="A112" s="5">
        <v>318</v>
      </c>
      <c r="B112" s="5">
        <v>1</v>
      </c>
      <c r="C112" s="2" t="s">
        <v>109</v>
      </c>
      <c r="D112" s="3">
        <v>820170.94</v>
      </c>
      <c r="E112" s="3">
        <v>403849.87</v>
      </c>
      <c r="F112" s="171">
        <v>0</v>
      </c>
      <c r="G112" s="171">
        <v>491326.42</v>
      </c>
      <c r="H112" s="171">
        <v>0</v>
      </c>
      <c r="I112" s="171">
        <v>1943150.72</v>
      </c>
      <c r="J112" s="172">
        <v>0</v>
      </c>
      <c r="K112" s="171">
        <v>3479974.19</v>
      </c>
      <c r="L112" s="171">
        <v>504560</v>
      </c>
      <c r="M112" s="3">
        <v>0</v>
      </c>
      <c r="N112" s="173">
        <v>1797994</v>
      </c>
      <c r="O112" s="154">
        <f t="shared" si="9"/>
        <v>8217005.3300000001</v>
      </c>
      <c r="P112" s="3">
        <f t="shared" si="10"/>
        <v>7725678.9100000001</v>
      </c>
      <c r="Q112" s="3">
        <f t="shared" si="11"/>
        <v>1943150.72</v>
      </c>
      <c r="R112" s="3">
        <f t="shared" si="12"/>
        <v>0</v>
      </c>
      <c r="S112" s="3">
        <f t="shared" si="13"/>
        <v>3984534.19</v>
      </c>
      <c r="T112" s="3">
        <f t="shared" si="14"/>
        <v>1797994</v>
      </c>
      <c r="U112" s="3">
        <v>0</v>
      </c>
      <c r="V112" s="3">
        <v>0</v>
      </c>
      <c r="W112" s="175">
        <f>IF($P112=0,0,ROUND(S112/$P112*$E112,2))+250433.12</f>
        <v>458719.49</v>
      </c>
      <c r="X112" s="175">
        <f>IF($P112=0,0,ROUND(T112/$P112*$E112,2))+113025.55</f>
        <v>207013.36</v>
      </c>
      <c r="Z112" s="2">
        <f>[2]credits!$M112-U112</f>
        <v>224975.53999999998</v>
      </c>
      <c r="AA112" s="2">
        <f>[2]credits!$O112-V112</f>
        <v>0</v>
      </c>
      <c r="AB112" s="2">
        <f>[2]credits!$Q112-W112</f>
        <v>15.75</v>
      </c>
      <c r="AC112" s="2">
        <f>[2]credits!$S112-X112</f>
        <v>7.110000000015134</v>
      </c>
    </row>
    <row r="113" spans="1:29" ht="15" x14ac:dyDescent="0.25">
      <c r="A113" s="5">
        <v>319</v>
      </c>
      <c r="B113" s="5">
        <v>1</v>
      </c>
      <c r="C113" s="2" t="s">
        <v>110</v>
      </c>
      <c r="D113" s="3">
        <v>103305.37</v>
      </c>
      <c r="E113" s="3">
        <v>88889.85</v>
      </c>
      <c r="F113" s="171">
        <v>302235.36</v>
      </c>
      <c r="G113" s="171">
        <v>67957.87</v>
      </c>
      <c r="H113" s="171">
        <v>0</v>
      </c>
      <c r="I113" s="171">
        <v>363879.39</v>
      </c>
      <c r="J113" s="172">
        <v>0</v>
      </c>
      <c r="K113" s="171">
        <v>0</v>
      </c>
      <c r="L113" s="171">
        <v>0</v>
      </c>
      <c r="M113" s="3">
        <v>0</v>
      </c>
      <c r="N113" s="173">
        <v>321636</v>
      </c>
      <c r="O113" s="154">
        <f t="shared" si="9"/>
        <v>1055708.6200000001</v>
      </c>
      <c r="P113" s="3">
        <f t="shared" si="10"/>
        <v>685515.39</v>
      </c>
      <c r="Q113" s="3">
        <f t="shared" si="11"/>
        <v>363879.39</v>
      </c>
      <c r="R113" s="3">
        <f t="shared" si="12"/>
        <v>0</v>
      </c>
      <c r="S113" s="3">
        <f t="shared" si="13"/>
        <v>0</v>
      </c>
      <c r="T113" s="3">
        <f t="shared" si="14"/>
        <v>321636</v>
      </c>
      <c r="U113" s="3">
        <v>0</v>
      </c>
      <c r="V113" s="3">
        <v>0</v>
      </c>
      <c r="W113" s="175">
        <f t="shared" si="15"/>
        <v>0</v>
      </c>
      <c r="X113" s="175">
        <f>IF($P113=0,0,ROUND(T113/$P113*$E113,2))+32034.1</f>
        <v>73740.2</v>
      </c>
      <c r="Z113" s="2">
        <f>[2]credits!$M113-U113</f>
        <v>84025.279999999999</v>
      </c>
      <c r="AA113" s="2">
        <f>[2]credits!$O113-V113</f>
        <v>0</v>
      </c>
      <c r="AB113" s="2">
        <f>[2]credits!$Q113-W113</f>
        <v>0</v>
      </c>
      <c r="AC113" s="2">
        <f>[2]credits!$S113-X113</f>
        <v>0</v>
      </c>
    </row>
    <row r="114" spans="1:29" ht="15" x14ac:dyDescent="0.25">
      <c r="A114" s="5">
        <v>323</v>
      </c>
      <c r="B114" s="5">
        <v>2</v>
      </c>
      <c r="C114" s="2" t="s">
        <v>111</v>
      </c>
      <c r="D114" s="3">
        <v>240</v>
      </c>
      <c r="E114" s="3">
        <v>251.33999999999997</v>
      </c>
      <c r="F114" s="171">
        <v>61707.85</v>
      </c>
      <c r="G114" s="171">
        <v>4250.4399999999996</v>
      </c>
      <c r="H114" s="171">
        <v>0</v>
      </c>
      <c r="I114" s="171">
        <v>5303.36</v>
      </c>
      <c r="J114" s="172">
        <v>0</v>
      </c>
      <c r="K114" s="171">
        <v>0</v>
      </c>
      <c r="L114" s="171">
        <v>0</v>
      </c>
      <c r="M114" s="3">
        <v>0</v>
      </c>
      <c r="N114" s="173">
        <v>0</v>
      </c>
      <c r="O114" s="154">
        <f t="shared" si="9"/>
        <v>71261.649999999994</v>
      </c>
      <c r="P114" s="3">
        <f t="shared" si="10"/>
        <v>5303.36</v>
      </c>
      <c r="Q114" s="3">
        <f t="shared" si="11"/>
        <v>5303.36</v>
      </c>
      <c r="R114" s="3">
        <f t="shared" si="12"/>
        <v>0</v>
      </c>
      <c r="S114" s="3">
        <f t="shared" si="13"/>
        <v>0</v>
      </c>
      <c r="T114" s="3">
        <f t="shared" si="14"/>
        <v>0</v>
      </c>
      <c r="U114" s="3">
        <v>0</v>
      </c>
      <c r="V114" s="3">
        <v>0</v>
      </c>
      <c r="W114" s="175">
        <f t="shared" si="15"/>
        <v>0</v>
      </c>
      <c r="X114" s="175">
        <f t="shared" si="15"/>
        <v>0</v>
      </c>
      <c r="Z114" s="2">
        <f>[2]credits!$M114-U114</f>
        <v>251.34</v>
      </c>
      <c r="AA114" s="2">
        <f>[2]credits!$O114-V114</f>
        <v>0</v>
      </c>
      <c r="AB114" s="2">
        <f>[2]credits!$Q114-W114</f>
        <v>0</v>
      </c>
      <c r="AC114" s="2">
        <f>[2]credits!$S114-X114</f>
        <v>0</v>
      </c>
    </row>
    <row r="115" spans="1:29" ht="15" x14ac:dyDescent="0.25">
      <c r="A115" s="5">
        <v>330</v>
      </c>
      <c r="B115" s="5">
        <v>1</v>
      </c>
      <c r="C115" s="2" t="s">
        <v>112</v>
      </c>
      <c r="D115" s="3">
        <v>34190.69</v>
      </c>
      <c r="E115" s="3">
        <v>36422.75</v>
      </c>
      <c r="F115" s="171">
        <v>453615</v>
      </c>
      <c r="G115" s="171">
        <v>8289</v>
      </c>
      <c r="H115" s="171">
        <v>0</v>
      </c>
      <c r="I115" s="171">
        <v>164805</v>
      </c>
      <c r="J115" s="172">
        <v>23691</v>
      </c>
      <c r="K115" s="171">
        <v>263836</v>
      </c>
      <c r="L115" s="171">
        <v>0</v>
      </c>
      <c r="M115" s="3">
        <v>0</v>
      </c>
      <c r="N115" s="173">
        <v>0</v>
      </c>
      <c r="O115" s="154">
        <f t="shared" si="9"/>
        <v>914236</v>
      </c>
      <c r="P115" s="3">
        <f t="shared" si="10"/>
        <v>452332</v>
      </c>
      <c r="Q115" s="3">
        <f t="shared" si="11"/>
        <v>164805</v>
      </c>
      <c r="R115" s="3">
        <f t="shared" si="12"/>
        <v>23691</v>
      </c>
      <c r="S115" s="3">
        <f t="shared" si="13"/>
        <v>263836</v>
      </c>
      <c r="T115" s="3">
        <f t="shared" si="14"/>
        <v>0</v>
      </c>
      <c r="U115" s="3">
        <v>0</v>
      </c>
      <c r="V115" s="3">
        <v>0</v>
      </c>
      <c r="W115" s="175">
        <f t="shared" si="15"/>
        <v>21244.639999999999</v>
      </c>
      <c r="X115" s="175">
        <f t="shared" si="15"/>
        <v>0</v>
      </c>
      <c r="Z115" s="2">
        <f>[2]credits!$M115-U115</f>
        <v>13270.47</v>
      </c>
      <c r="AA115" s="2">
        <f>[2]credits!$O115-V115</f>
        <v>1907.63</v>
      </c>
      <c r="AB115" s="2">
        <f>[2]credits!$Q115-W115</f>
        <v>0</v>
      </c>
      <c r="AC115" s="2">
        <f>[2]credits!$S115-X115</f>
        <v>0</v>
      </c>
    </row>
    <row r="116" spans="1:29" ht="15" x14ac:dyDescent="0.25">
      <c r="A116" s="5">
        <v>332</v>
      </c>
      <c r="B116" s="5">
        <v>1</v>
      </c>
      <c r="C116" s="2" t="s">
        <v>113</v>
      </c>
      <c r="D116" s="3">
        <v>147100.04999999999</v>
      </c>
      <c r="E116" s="3">
        <v>150624.37</v>
      </c>
      <c r="F116" s="171">
        <v>177585.43</v>
      </c>
      <c r="G116" s="171">
        <v>186759.43</v>
      </c>
      <c r="H116" s="171">
        <v>0</v>
      </c>
      <c r="I116" s="171">
        <v>667046.49</v>
      </c>
      <c r="J116" s="172">
        <v>123503</v>
      </c>
      <c r="K116" s="171">
        <v>706900.96</v>
      </c>
      <c r="L116" s="171">
        <v>0</v>
      </c>
      <c r="M116" s="3">
        <v>0</v>
      </c>
      <c r="N116" s="173">
        <v>0</v>
      </c>
      <c r="O116" s="154">
        <f t="shared" si="9"/>
        <v>1861795.31</v>
      </c>
      <c r="P116" s="3">
        <f t="shared" si="10"/>
        <v>1497450.45</v>
      </c>
      <c r="Q116" s="3">
        <f t="shared" si="11"/>
        <v>667046.49</v>
      </c>
      <c r="R116" s="3">
        <f t="shared" si="12"/>
        <v>123503</v>
      </c>
      <c r="S116" s="3">
        <f t="shared" si="13"/>
        <v>706900.96</v>
      </c>
      <c r="T116" s="3">
        <f t="shared" si="14"/>
        <v>0</v>
      </c>
      <c r="U116" s="3">
        <v>0</v>
      </c>
      <c r="V116" s="3">
        <v>0</v>
      </c>
      <c r="W116" s="175">
        <f t="shared" si="15"/>
        <v>71105.2</v>
      </c>
      <c r="X116" s="175">
        <f t="shared" si="15"/>
        <v>0</v>
      </c>
      <c r="Z116" s="2">
        <f>[2]credits!$M116-U116</f>
        <v>67096.350000000006</v>
      </c>
      <c r="AA116" s="2">
        <f>[2]credits!$O116-V116</f>
        <v>12422.82</v>
      </c>
      <c r="AB116" s="2">
        <f>[2]credits!$Q116-W116</f>
        <v>0</v>
      </c>
      <c r="AC116" s="2">
        <f>[2]credits!$S116-X116</f>
        <v>0</v>
      </c>
    </row>
    <row r="117" spans="1:29" ht="15" x14ac:dyDescent="0.25">
      <c r="A117" s="5">
        <v>333</v>
      </c>
      <c r="B117" s="5">
        <v>1</v>
      </c>
      <c r="C117" s="2" t="s">
        <v>114</v>
      </c>
      <c r="D117" s="3">
        <v>127622.88000000002</v>
      </c>
      <c r="E117" s="3">
        <v>115659.59</v>
      </c>
      <c r="F117" s="171">
        <v>0</v>
      </c>
      <c r="G117" s="171">
        <v>69441.52</v>
      </c>
      <c r="H117" s="171">
        <v>0</v>
      </c>
      <c r="I117" s="171">
        <v>169593.62</v>
      </c>
      <c r="J117" s="172">
        <v>35440.35</v>
      </c>
      <c r="K117" s="171">
        <v>649068.29</v>
      </c>
      <c r="L117" s="171">
        <v>0</v>
      </c>
      <c r="M117" s="3">
        <v>0</v>
      </c>
      <c r="N117" s="173">
        <v>140172</v>
      </c>
      <c r="O117" s="154">
        <f t="shared" si="9"/>
        <v>1063715.78</v>
      </c>
      <c r="P117" s="3">
        <f t="shared" si="10"/>
        <v>994274.26</v>
      </c>
      <c r="Q117" s="3">
        <f t="shared" si="11"/>
        <v>169593.62</v>
      </c>
      <c r="R117" s="3">
        <f t="shared" si="12"/>
        <v>35440.35</v>
      </c>
      <c r="S117" s="3">
        <f t="shared" si="13"/>
        <v>649068.29</v>
      </c>
      <c r="T117" s="3">
        <f t="shared" si="14"/>
        <v>140172</v>
      </c>
      <c r="U117" s="3">
        <v>0</v>
      </c>
      <c r="V117" s="3">
        <v>0</v>
      </c>
      <c r="W117" s="175">
        <f t="shared" si="15"/>
        <v>75503.28</v>
      </c>
      <c r="X117" s="175">
        <f t="shared" si="15"/>
        <v>16305.6</v>
      </c>
      <c r="Z117" s="2">
        <f>[2]credits!$M117-U117</f>
        <v>17290.490000000002</v>
      </c>
      <c r="AA117" s="2">
        <f>[2]credits!$O117-V117</f>
        <v>3613.23</v>
      </c>
      <c r="AB117" s="2">
        <f>[2]credits!$Q117-W117</f>
        <v>4961.7100000000064</v>
      </c>
      <c r="AC117" s="2">
        <f>[2]credits!$S117-X117</f>
        <v>-2014.7200000000012</v>
      </c>
    </row>
    <row r="118" spans="1:29" ht="15" x14ac:dyDescent="0.25">
      <c r="A118" s="5">
        <v>345</v>
      </c>
      <c r="B118" s="5">
        <v>1</v>
      </c>
      <c r="C118" s="2" t="s">
        <v>115</v>
      </c>
      <c r="D118" s="3">
        <v>136605.89000000001</v>
      </c>
      <c r="E118" s="3">
        <v>129168.45</v>
      </c>
      <c r="F118" s="171">
        <v>981271.24</v>
      </c>
      <c r="G118" s="171">
        <v>169648.92</v>
      </c>
      <c r="H118" s="171">
        <v>0</v>
      </c>
      <c r="I118" s="171">
        <v>539438.43999999994</v>
      </c>
      <c r="J118" s="172">
        <v>152427.66</v>
      </c>
      <c r="K118" s="171">
        <v>1430588.93</v>
      </c>
      <c r="L118" s="171">
        <v>133537.60000000001</v>
      </c>
      <c r="M118" s="3">
        <v>0</v>
      </c>
      <c r="N118" s="173">
        <v>263661</v>
      </c>
      <c r="O118" s="154">
        <f t="shared" si="9"/>
        <v>3670573.7899999996</v>
      </c>
      <c r="P118" s="3">
        <f t="shared" si="10"/>
        <v>2519653.63</v>
      </c>
      <c r="Q118" s="3">
        <f t="shared" si="11"/>
        <v>539438.43999999994</v>
      </c>
      <c r="R118" s="3">
        <f t="shared" si="12"/>
        <v>152427.66</v>
      </c>
      <c r="S118" s="3">
        <f t="shared" si="13"/>
        <v>1564126.53</v>
      </c>
      <c r="T118" s="3">
        <f t="shared" si="14"/>
        <v>263661</v>
      </c>
      <c r="U118" s="3">
        <v>0</v>
      </c>
      <c r="V118" s="3">
        <v>0</v>
      </c>
      <c r="W118" s="175">
        <f t="shared" si="15"/>
        <v>80183.960000000006</v>
      </c>
      <c r="X118" s="175">
        <f t="shared" si="15"/>
        <v>13516.41</v>
      </c>
      <c r="Z118" s="2">
        <f>[2]credits!$M118-U118</f>
        <v>27653.97</v>
      </c>
      <c r="AA118" s="2">
        <f>[2]credits!$O118-V118</f>
        <v>7814.11</v>
      </c>
      <c r="AB118" s="2">
        <f>[2]credits!$Q118-W118</f>
        <v>0</v>
      </c>
      <c r="AC118" s="2">
        <f>[2]credits!$S118-X118</f>
        <v>0</v>
      </c>
    </row>
    <row r="119" spans="1:29" ht="15" x14ac:dyDescent="0.25">
      <c r="A119" s="5">
        <v>347</v>
      </c>
      <c r="B119" s="5">
        <v>1</v>
      </c>
      <c r="C119" s="2" t="s">
        <v>116</v>
      </c>
      <c r="D119" s="3">
        <v>324820.08</v>
      </c>
      <c r="E119" s="3">
        <v>313989.46999999997</v>
      </c>
      <c r="F119" s="171">
        <v>2183657.1800000002</v>
      </c>
      <c r="G119" s="171">
        <v>414095.22</v>
      </c>
      <c r="H119" s="171">
        <v>0</v>
      </c>
      <c r="I119" s="171">
        <v>1355173.9</v>
      </c>
      <c r="J119" s="172">
        <v>384210.34</v>
      </c>
      <c r="K119" s="171">
        <v>2442189.4700000002</v>
      </c>
      <c r="L119" s="171">
        <v>111835.51</v>
      </c>
      <c r="M119" s="3">
        <v>0</v>
      </c>
      <c r="N119" s="173">
        <v>0</v>
      </c>
      <c r="O119" s="154">
        <f t="shared" si="9"/>
        <v>6891161.620000001</v>
      </c>
      <c r="P119" s="3">
        <f t="shared" si="10"/>
        <v>4293409.22</v>
      </c>
      <c r="Q119" s="3">
        <f t="shared" si="11"/>
        <v>1355173.9</v>
      </c>
      <c r="R119" s="3">
        <f t="shared" si="12"/>
        <v>384210.34</v>
      </c>
      <c r="S119" s="3">
        <f t="shared" si="13"/>
        <v>2554024.98</v>
      </c>
      <c r="T119" s="3">
        <f t="shared" si="14"/>
        <v>0</v>
      </c>
      <c r="U119" s="3">
        <v>0</v>
      </c>
      <c r="V119" s="3">
        <v>0</v>
      </c>
      <c r="W119" s="175">
        <f t="shared" si="15"/>
        <v>186783.26</v>
      </c>
      <c r="X119" s="175">
        <f t="shared" si="15"/>
        <v>0</v>
      </c>
      <c r="Z119" s="2">
        <f>[2]credits!$M119-U119</f>
        <v>99107.8</v>
      </c>
      <c r="AA119" s="2">
        <f>[2]credits!$O119-V119</f>
        <v>28098.42</v>
      </c>
      <c r="AB119" s="2">
        <f>[2]credits!$Q119-W119</f>
        <v>0</v>
      </c>
      <c r="AC119" s="2">
        <f>[2]credits!$S119-X119</f>
        <v>0</v>
      </c>
    </row>
    <row r="120" spans="1:29" ht="15" x14ac:dyDescent="0.25">
      <c r="A120" s="5">
        <v>356</v>
      </c>
      <c r="B120" s="5">
        <v>1</v>
      </c>
      <c r="C120" s="2" t="s">
        <v>117</v>
      </c>
      <c r="D120" s="3">
        <v>10615.7</v>
      </c>
      <c r="E120" s="3">
        <v>8095.17</v>
      </c>
      <c r="F120" s="171">
        <v>204447.29</v>
      </c>
      <c r="G120" s="171">
        <v>2928.84</v>
      </c>
      <c r="H120" s="171">
        <v>0</v>
      </c>
      <c r="I120" s="171">
        <v>59327.66</v>
      </c>
      <c r="J120" s="172">
        <v>10827.68</v>
      </c>
      <c r="K120" s="171">
        <v>0</v>
      </c>
      <c r="L120" s="171">
        <v>0</v>
      </c>
      <c r="M120" s="3">
        <v>0</v>
      </c>
      <c r="N120" s="173">
        <v>0</v>
      </c>
      <c r="O120" s="154">
        <f t="shared" si="9"/>
        <v>277531.47000000003</v>
      </c>
      <c r="P120" s="3">
        <f t="shared" si="10"/>
        <v>70155.34</v>
      </c>
      <c r="Q120" s="3">
        <f t="shared" si="11"/>
        <v>59327.66</v>
      </c>
      <c r="R120" s="3">
        <f t="shared" si="12"/>
        <v>10827.68</v>
      </c>
      <c r="S120" s="3">
        <f t="shared" si="13"/>
        <v>0</v>
      </c>
      <c r="T120" s="3">
        <f t="shared" si="14"/>
        <v>0</v>
      </c>
      <c r="U120" s="3">
        <v>0</v>
      </c>
      <c r="V120" s="3">
        <v>0</v>
      </c>
      <c r="W120" s="175">
        <f t="shared" si="15"/>
        <v>0</v>
      </c>
      <c r="X120" s="175">
        <f t="shared" si="15"/>
        <v>0</v>
      </c>
      <c r="Z120" s="2">
        <f>[2]credits!$M120-U120</f>
        <v>6845.77</v>
      </c>
      <c r="AA120" s="2">
        <f>[2]credits!$O120-V120</f>
        <v>1249.4000000000001</v>
      </c>
      <c r="AB120" s="2">
        <f>[2]credits!$Q120-W120</f>
        <v>0</v>
      </c>
      <c r="AC120" s="2">
        <f>[2]credits!$S120-X120</f>
        <v>0</v>
      </c>
    </row>
    <row r="121" spans="1:29" ht="15" x14ac:dyDescent="0.25">
      <c r="A121" s="5">
        <v>361</v>
      </c>
      <c r="B121" s="5">
        <v>1</v>
      </c>
      <c r="C121" s="2" t="s">
        <v>118</v>
      </c>
      <c r="D121" s="3">
        <v>330473.53000000003</v>
      </c>
      <c r="E121" s="3">
        <v>332441.58999999997</v>
      </c>
      <c r="F121" s="171">
        <v>660878.64</v>
      </c>
      <c r="G121" s="171">
        <v>93520.97</v>
      </c>
      <c r="H121" s="171">
        <v>0</v>
      </c>
      <c r="I121" s="171">
        <v>1150016.9099999999</v>
      </c>
      <c r="J121" s="172">
        <v>128527.7</v>
      </c>
      <c r="K121" s="171">
        <v>0</v>
      </c>
      <c r="L121" s="171">
        <v>171613</v>
      </c>
      <c r="M121" s="3">
        <v>0</v>
      </c>
      <c r="N121" s="173">
        <v>0</v>
      </c>
      <c r="O121" s="154">
        <f t="shared" si="9"/>
        <v>2204557.2199999997</v>
      </c>
      <c r="P121" s="3">
        <f t="shared" si="10"/>
        <v>1450157.6099999999</v>
      </c>
      <c r="Q121" s="3">
        <f t="shared" si="11"/>
        <v>1150016.9099999999</v>
      </c>
      <c r="R121" s="3">
        <f t="shared" si="12"/>
        <v>128527.7</v>
      </c>
      <c r="S121" s="3">
        <f t="shared" si="13"/>
        <v>171613</v>
      </c>
      <c r="T121" s="3">
        <f t="shared" si="14"/>
        <v>0</v>
      </c>
      <c r="U121" s="3">
        <v>0</v>
      </c>
      <c r="V121" s="3">
        <v>0</v>
      </c>
      <c r="W121" s="175">
        <f t="shared" si="15"/>
        <v>39341.449999999997</v>
      </c>
      <c r="X121" s="175">
        <f t="shared" si="15"/>
        <v>0</v>
      </c>
      <c r="Z121" s="2">
        <f>[2]credits!$M121-U121</f>
        <v>263635.78999999998</v>
      </c>
      <c r="AA121" s="2">
        <f>[2]credits!$O121-V121</f>
        <v>29464.35</v>
      </c>
      <c r="AB121" s="2">
        <f>[2]credits!$Q121-W121</f>
        <v>0</v>
      </c>
      <c r="AC121" s="2">
        <f>[2]credits!$S121-X121</f>
        <v>0</v>
      </c>
    </row>
    <row r="122" spans="1:29" ht="15" x14ac:dyDescent="0.25">
      <c r="A122" s="5">
        <v>362</v>
      </c>
      <c r="B122" s="5">
        <v>1</v>
      </c>
      <c r="C122" s="2" t="s">
        <v>119</v>
      </c>
      <c r="D122" s="3">
        <v>75783.81</v>
      </c>
      <c r="E122" s="3">
        <v>75314.41</v>
      </c>
      <c r="F122" s="171">
        <v>112.03</v>
      </c>
      <c r="G122" s="171">
        <v>31708.560000000001</v>
      </c>
      <c r="H122" s="171">
        <v>0</v>
      </c>
      <c r="I122" s="171">
        <v>122562.43</v>
      </c>
      <c r="J122" s="172">
        <v>19256.66</v>
      </c>
      <c r="K122" s="171">
        <v>432473.72</v>
      </c>
      <c r="L122" s="171">
        <v>0</v>
      </c>
      <c r="M122" s="3">
        <v>0</v>
      </c>
      <c r="N122" s="173">
        <v>0</v>
      </c>
      <c r="O122" s="154">
        <f t="shared" si="9"/>
        <v>606113.39999999991</v>
      </c>
      <c r="P122" s="3">
        <f t="shared" si="10"/>
        <v>574292.80999999994</v>
      </c>
      <c r="Q122" s="3">
        <f t="shared" si="11"/>
        <v>122562.43</v>
      </c>
      <c r="R122" s="3">
        <f t="shared" si="12"/>
        <v>19256.66</v>
      </c>
      <c r="S122" s="3">
        <f t="shared" si="13"/>
        <v>432473.72</v>
      </c>
      <c r="T122" s="3">
        <f t="shared" si="14"/>
        <v>0</v>
      </c>
      <c r="U122" s="3">
        <v>0</v>
      </c>
      <c r="V122" s="3">
        <v>0</v>
      </c>
      <c r="W122" s="175">
        <f t="shared" si="15"/>
        <v>56715.85</v>
      </c>
      <c r="X122" s="175">
        <f t="shared" si="15"/>
        <v>0</v>
      </c>
      <c r="Z122" s="2">
        <f>[2]credits!$M122-U122</f>
        <v>16073.19</v>
      </c>
      <c r="AA122" s="2">
        <f>[2]credits!$O122-V122</f>
        <v>2525.37</v>
      </c>
      <c r="AB122" s="2">
        <f>[2]credits!$Q122-W122</f>
        <v>0</v>
      </c>
      <c r="AC122" s="2">
        <f>[2]credits!$S122-X122</f>
        <v>0</v>
      </c>
    </row>
    <row r="123" spans="1:29" ht="15" x14ac:dyDescent="0.25">
      <c r="A123" s="5">
        <v>363</v>
      </c>
      <c r="B123" s="5">
        <v>1</v>
      </c>
      <c r="C123" s="2" t="s">
        <v>120</v>
      </c>
      <c r="D123" s="3">
        <v>78156.58</v>
      </c>
      <c r="E123" s="3">
        <v>74969.41</v>
      </c>
      <c r="F123" s="171">
        <v>86.1</v>
      </c>
      <c r="G123" s="171">
        <v>30653.64</v>
      </c>
      <c r="H123" s="171">
        <v>0</v>
      </c>
      <c r="I123" s="171">
        <v>50302.91</v>
      </c>
      <c r="J123" s="172">
        <v>18982.21</v>
      </c>
      <c r="K123" s="171">
        <v>498219.18</v>
      </c>
      <c r="L123" s="171">
        <v>0</v>
      </c>
      <c r="M123" s="3">
        <v>0</v>
      </c>
      <c r="N123" s="173">
        <v>0</v>
      </c>
      <c r="O123" s="154">
        <f t="shared" si="9"/>
        <v>598244.04</v>
      </c>
      <c r="P123" s="3">
        <f t="shared" si="10"/>
        <v>567504.30000000005</v>
      </c>
      <c r="Q123" s="3">
        <f t="shared" si="11"/>
        <v>50302.91</v>
      </c>
      <c r="R123" s="3">
        <f t="shared" si="12"/>
        <v>18982.21</v>
      </c>
      <c r="S123" s="3">
        <f t="shared" si="13"/>
        <v>498219.18</v>
      </c>
      <c r="T123" s="3">
        <f t="shared" si="14"/>
        <v>0</v>
      </c>
      <c r="U123" s="3">
        <v>0</v>
      </c>
      <c r="V123" s="3">
        <v>0</v>
      </c>
      <c r="W123" s="175">
        <f t="shared" si="15"/>
        <v>65816.59</v>
      </c>
      <c r="X123" s="175">
        <f t="shared" si="15"/>
        <v>0</v>
      </c>
      <c r="Z123" s="2">
        <f>[2]credits!$M123-U123</f>
        <v>6645.2</v>
      </c>
      <c r="AA123" s="2">
        <f>[2]credits!$O123-V123</f>
        <v>2507.62</v>
      </c>
      <c r="AB123" s="2">
        <f>[2]credits!$Q123-W123</f>
        <v>0</v>
      </c>
      <c r="AC123" s="2">
        <f>[2]credits!$S123-X123</f>
        <v>0</v>
      </c>
    </row>
    <row r="124" spans="1:29" ht="15" x14ac:dyDescent="0.25">
      <c r="A124" s="5">
        <v>378</v>
      </c>
      <c r="B124" s="5">
        <v>1</v>
      </c>
      <c r="C124" s="2" t="s">
        <v>121</v>
      </c>
      <c r="D124" s="3">
        <v>131455.34</v>
      </c>
      <c r="E124" s="3">
        <v>96861.84</v>
      </c>
      <c r="F124" s="171">
        <v>171154.31</v>
      </c>
      <c r="G124" s="171">
        <v>30157.18</v>
      </c>
      <c r="H124" s="171">
        <v>0</v>
      </c>
      <c r="I124" s="171">
        <v>380967.52</v>
      </c>
      <c r="J124" s="172">
        <v>65964.09</v>
      </c>
      <c r="K124" s="171">
        <v>279195.23</v>
      </c>
      <c r="L124" s="171">
        <v>0</v>
      </c>
      <c r="M124" s="3">
        <v>0</v>
      </c>
      <c r="N124" s="173">
        <v>0</v>
      </c>
      <c r="O124" s="154">
        <f t="shared" si="9"/>
        <v>927438.33</v>
      </c>
      <c r="P124" s="3">
        <f t="shared" si="10"/>
        <v>726126.84</v>
      </c>
      <c r="Q124" s="3">
        <f t="shared" si="11"/>
        <v>380967.52</v>
      </c>
      <c r="R124" s="3">
        <f t="shared" si="12"/>
        <v>65964.09</v>
      </c>
      <c r="S124" s="3">
        <f t="shared" si="13"/>
        <v>279195.23</v>
      </c>
      <c r="T124" s="3">
        <f t="shared" si="14"/>
        <v>0</v>
      </c>
      <c r="U124" s="3">
        <v>0</v>
      </c>
      <c r="V124" s="3">
        <v>0</v>
      </c>
      <c r="W124" s="175">
        <f t="shared" si="15"/>
        <v>37243.31</v>
      </c>
      <c r="X124" s="175">
        <f t="shared" si="15"/>
        <v>0</v>
      </c>
      <c r="Z124" s="2">
        <f>[2]credits!$M124-U124</f>
        <v>50819.24</v>
      </c>
      <c r="AA124" s="2">
        <f>[2]credits!$O124-V124</f>
        <v>8799.2900000000009</v>
      </c>
      <c r="AB124" s="2">
        <f>[2]credits!$Q124-W124</f>
        <v>0</v>
      </c>
      <c r="AC124" s="2">
        <f>[2]credits!$S124-X124</f>
        <v>0</v>
      </c>
    </row>
    <row r="125" spans="1:29" ht="15" x14ac:dyDescent="0.25">
      <c r="A125" s="5">
        <v>381</v>
      </c>
      <c r="B125" s="5">
        <v>1</v>
      </c>
      <c r="C125" s="2" t="s">
        <v>122</v>
      </c>
      <c r="D125" s="3">
        <v>538582.63</v>
      </c>
      <c r="E125" s="3">
        <v>252617.29</v>
      </c>
      <c r="F125" s="171">
        <v>0</v>
      </c>
      <c r="G125" s="171">
        <v>209547.84</v>
      </c>
      <c r="H125" s="171">
        <v>0</v>
      </c>
      <c r="I125" s="171">
        <v>204469.14</v>
      </c>
      <c r="J125" s="172">
        <v>0</v>
      </c>
      <c r="K125" s="171">
        <v>2769934.52</v>
      </c>
      <c r="L125" s="171">
        <v>155425</v>
      </c>
      <c r="M125" s="3">
        <v>0</v>
      </c>
      <c r="N125" s="173">
        <v>832031</v>
      </c>
      <c r="O125" s="154">
        <f t="shared" si="9"/>
        <v>4171407.5</v>
      </c>
      <c r="P125" s="3">
        <f t="shared" si="10"/>
        <v>3961859.66</v>
      </c>
      <c r="Q125" s="3">
        <f t="shared" si="11"/>
        <v>204469.14</v>
      </c>
      <c r="R125" s="3">
        <f t="shared" si="12"/>
        <v>0</v>
      </c>
      <c r="S125" s="3">
        <f t="shared" si="13"/>
        <v>2925359.52</v>
      </c>
      <c r="T125" s="3">
        <f t="shared" si="14"/>
        <v>832031</v>
      </c>
      <c r="U125" s="3">
        <v>0</v>
      </c>
      <c r="V125" s="3">
        <v>0</v>
      </c>
      <c r="W125" s="175">
        <f>IF($P125=0,0,ROUND(S125/$P125*$E125,2))+196615.92</f>
        <v>383143.58</v>
      </c>
      <c r="X125" s="175">
        <f>IF($P125=0,0,ROUND(T125/$P125*$E125,2))+55918.91</f>
        <v>108971.12</v>
      </c>
      <c r="Z125" s="2">
        <f>[2]credits!$M125-U125</f>
        <v>26903.95</v>
      </c>
      <c r="AA125" s="2">
        <f>[2]credits!$O125-V125</f>
        <v>0</v>
      </c>
      <c r="AB125" s="2">
        <f>[2]credits!$Q125-W125</f>
        <v>0</v>
      </c>
      <c r="AC125" s="2">
        <f>[2]credits!$S125-X125</f>
        <v>0</v>
      </c>
    </row>
    <row r="126" spans="1:29" ht="15" x14ac:dyDescent="0.25">
      <c r="A126" s="5">
        <v>390</v>
      </c>
      <c r="B126" s="5">
        <v>1</v>
      </c>
      <c r="C126" s="2" t="s">
        <v>123</v>
      </c>
      <c r="D126" s="3">
        <v>160174.59</v>
      </c>
      <c r="E126" s="3">
        <v>144410.06</v>
      </c>
      <c r="F126" s="171">
        <v>301132.78999999998</v>
      </c>
      <c r="G126" s="171">
        <v>46628.41</v>
      </c>
      <c r="H126" s="171">
        <v>0</v>
      </c>
      <c r="I126" s="171">
        <v>390268.55</v>
      </c>
      <c r="J126" s="172">
        <v>50368.37</v>
      </c>
      <c r="K126" s="171">
        <v>1299416.46</v>
      </c>
      <c r="L126" s="171">
        <v>0</v>
      </c>
      <c r="M126" s="3">
        <v>0</v>
      </c>
      <c r="N126" s="173">
        <v>0</v>
      </c>
      <c r="O126" s="154">
        <f t="shared" si="9"/>
        <v>2087814.58</v>
      </c>
      <c r="P126" s="3">
        <f t="shared" si="10"/>
        <v>1740053.38</v>
      </c>
      <c r="Q126" s="3">
        <f t="shared" si="11"/>
        <v>390268.55</v>
      </c>
      <c r="R126" s="3">
        <f t="shared" si="12"/>
        <v>50368.37</v>
      </c>
      <c r="S126" s="3">
        <f t="shared" si="13"/>
        <v>1299416.46</v>
      </c>
      <c r="T126" s="3">
        <f t="shared" si="14"/>
        <v>0</v>
      </c>
      <c r="U126" s="3">
        <v>0</v>
      </c>
      <c r="V126" s="3">
        <v>0</v>
      </c>
      <c r="W126" s="175">
        <f t="shared" si="15"/>
        <v>107840.83</v>
      </c>
      <c r="X126" s="175">
        <f t="shared" si="15"/>
        <v>0</v>
      </c>
      <c r="Z126" s="2">
        <f>[2]credits!$M126-U126</f>
        <v>32389.07</v>
      </c>
      <c r="AA126" s="2">
        <f>[2]credits!$O126-V126</f>
        <v>4180.16</v>
      </c>
      <c r="AB126" s="2">
        <f>[2]credits!$Q126-W126</f>
        <v>0</v>
      </c>
      <c r="AC126" s="2">
        <f>[2]credits!$S126-X126</f>
        <v>0</v>
      </c>
    </row>
    <row r="127" spans="1:29" ht="15" x14ac:dyDescent="0.25">
      <c r="A127" s="5">
        <v>391</v>
      </c>
      <c r="B127" s="5">
        <v>1</v>
      </c>
      <c r="C127" s="2" t="s">
        <v>124</v>
      </c>
      <c r="D127" s="3">
        <v>19868.07</v>
      </c>
      <c r="E127" s="3">
        <v>30816.23</v>
      </c>
      <c r="F127" s="171">
        <v>271864.65999999997</v>
      </c>
      <c r="G127" s="171">
        <v>54677.74</v>
      </c>
      <c r="H127" s="171">
        <v>0</v>
      </c>
      <c r="I127" s="171">
        <v>424570.2</v>
      </c>
      <c r="J127" s="172">
        <v>32446.38</v>
      </c>
      <c r="K127" s="171">
        <v>0</v>
      </c>
      <c r="L127" s="171">
        <v>0</v>
      </c>
      <c r="M127" s="3">
        <v>0</v>
      </c>
      <c r="N127" s="173">
        <v>0</v>
      </c>
      <c r="O127" s="154">
        <f t="shared" si="9"/>
        <v>783558.98</v>
      </c>
      <c r="P127" s="3">
        <f t="shared" si="10"/>
        <v>457016.58</v>
      </c>
      <c r="Q127" s="3">
        <f t="shared" si="11"/>
        <v>424570.2</v>
      </c>
      <c r="R127" s="3">
        <f t="shared" si="12"/>
        <v>32446.38</v>
      </c>
      <c r="S127" s="3">
        <f t="shared" si="13"/>
        <v>0</v>
      </c>
      <c r="T127" s="3">
        <f t="shared" si="14"/>
        <v>0</v>
      </c>
      <c r="U127" s="3">
        <v>0</v>
      </c>
      <c r="V127" s="3">
        <v>0</v>
      </c>
      <c r="W127" s="175">
        <f t="shared" si="15"/>
        <v>0</v>
      </c>
      <c r="X127" s="175">
        <f t="shared" si="15"/>
        <v>0</v>
      </c>
      <c r="Z127" s="2">
        <f>[2]credits!$M127-U127</f>
        <v>28628.400000000001</v>
      </c>
      <c r="AA127" s="2">
        <f>[2]credits!$O127-V127</f>
        <v>2187.83</v>
      </c>
      <c r="AB127" s="2">
        <f>[2]credits!$Q127-W127</f>
        <v>0</v>
      </c>
      <c r="AC127" s="2">
        <f>[2]credits!$S127-X127</f>
        <v>0</v>
      </c>
    </row>
    <row r="128" spans="1:29" ht="15" x14ac:dyDescent="0.25">
      <c r="A128" s="5">
        <v>392</v>
      </c>
      <c r="B128" s="5">
        <v>1</v>
      </c>
      <c r="C128" s="2" t="s">
        <v>125</v>
      </c>
      <c r="D128" s="3">
        <v>83072.63</v>
      </c>
      <c r="E128" s="3">
        <v>87842.240000000005</v>
      </c>
      <c r="F128" s="171">
        <v>326194</v>
      </c>
      <c r="G128" s="171">
        <v>53534.32</v>
      </c>
      <c r="H128" s="171">
        <v>0</v>
      </c>
      <c r="I128" s="171">
        <v>388700.21</v>
      </c>
      <c r="J128" s="172">
        <v>50647.53</v>
      </c>
      <c r="K128" s="171">
        <v>631034.09</v>
      </c>
      <c r="L128" s="171">
        <v>0</v>
      </c>
      <c r="M128" s="3">
        <v>0</v>
      </c>
      <c r="N128" s="173">
        <v>0</v>
      </c>
      <c r="O128" s="154">
        <f t="shared" si="9"/>
        <v>1450110.15</v>
      </c>
      <c r="P128" s="3">
        <f t="shared" si="10"/>
        <v>1070381.83</v>
      </c>
      <c r="Q128" s="3">
        <f t="shared" si="11"/>
        <v>388700.21</v>
      </c>
      <c r="R128" s="3">
        <f t="shared" si="12"/>
        <v>50647.53</v>
      </c>
      <c r="S128" s="3">
        <f t="shared" si="13"/>
        <v>631034.09</v>
      </c>
      <c r="T128" s="3">
        <f t="shared" si="14"/>
        <v>0</v>
      </c>
      <c r="U128" s="3">
        <v>0</v>
      </c>
      <c r="V128" s="3">
        <v>0</v>
      </c>
      <c r="W128" s="175">
        <f t="shared" si="15"/>
        <v>51786.61</v>
      </c>
      <c r="X128" s="175">
        <f t="shared" si="15"/>
        <v>0</v>
      </c>
      <c r="Z128" s="2">
        <f>[2]credits!$M128-U128</f>
        <v>31899.17</v>
      </c>
      <c r="AA128" s="2">
        <f>[2]credits!$O128-V128</f>
        <v>4156.45</v>
      </c>
      <c r="AB128" s="2">
        <f>[2]credits!$Q128-W128</f>
        <v>0</v>
      </c>
      <c r="AC128" s="2">
        <f>[2]credits!$S128-X128</f>
        <v>0</v>
      </c>
    </row>
    <row r="129" spans="1:29" ht="15" x14ac:dyDescent="0.25">
      <c r="A129" s="5">
        <v>394</v>
      </c>
      <c r="B129" s="5">
        <v>1</v>
      </c>
      <c r="C129" s="2" t="s">
        <v>126</v>
      </c>
      <c r="D129" s="3">
        <v>244158.55</v>
      </c>
      <c r="E129" s="3">
        <v>269769.14</v>
      </c>
      <c r="F129" s="171">
        <v>551105.52</v>
      </c>
      <c r="G129" s="171">
        <v>103122.34</v>
      </c>
      <c r="H129" s="171">
        <v>0</v>
      </c>
      <c r="I129" s="171">
        <v>569484.42000000004</v>
      </c>
      <c r="J129" s="172">
        <v>97955.77</v>
      </c>
      <c r="K129" s="171">
        <v>2778338.28</v>
      </c>
      <c r="L129" s="171">
        <v>0</v>
      </c>
      <c r="M129" s="3">
        <v>0</v>
      </c>
      <c r="N129" s="173">
        <v>0</v>
      </c>
      <c r="O129" s="154">
        <f t="shared" si="9"/>
        <v>4100006.33</v>
      </c>
      <c r="P129" s="3">
        <f t="shared" si="10"/>
        <v>3445778.4699999997</v>
      </c>
      <c r="Q129" s="3">
        <f t="shared" si="11"/>
        <v>569484.42000000004</v>
      </c>
      <c r="R129" s="3">
        <f t="shared" si="12"/>
        <v>97955.77</v>
      </c>
      <c r="S129" s="3">
        <f t="shared" si="13"/>
        <v>2778338.28</v>
      </c>
      <c r="T129" s="3">
        <f t="shared" si="14"/>
        <v>0</v>
      </c>
      <c r="U129" s="3">
        <v>0</v>
      </c>
      <c r="V129" s="3">
        <v>0</v>
      </c>
      <c r="W129" s="175">
        <f t="shared" si="15"/>
        <v>217515.41</v>
      </c>
      <c r="X129" s="175">
        <f t="shared" si="15"/>
        <v>0</v>
      </c>
      <c r="Z129" s="2">
        <f>[2]credits!$M129-U129</f>
        <v>44584.79</v>
      </c>
      <c r="AA129" s="2">
        <f>[2]credits!$O129-V129</f>
        <v>7668.93</v>
      </c>
      <c r="AB129" s="2">
        <f>[2]credits!$Q129-W129</f>
        <v>0</v>
      </c>
      <c r="AC129" s="2">
        <f>[2]credits!$S129-X129</f>
        <v>0</v>
      </c>
    </row>
    <row r="130" spans="1:29" ht="15" x14ac:dyDescent="0.25">
      <c r="A130" s="5">
        <v>402</v>
      </c>
      <c r="B130" s="5">
        <v>1</v>
      </c>
      <c r="C130" s="2" t="s">
        <v>127</v>
      </c>
      <c r="D130" s="3">
        <v>7760.13</v>
      </c>
      <c r="E130" s="3">
        <v>6927.59</v>
      </c>
      <c r="F130" s="171">
        <v>165497.31</v>
      </c>
      <c r="G130" s="171">
        <v>5953.01</v>
      </c>
      <c r="H130" s="171">
        <v>0</v>
      </c>
      <c r="I130" s="171">
        <v>51872.97</v>
      </c>
      <c r="J130" s="172">
        <v>30158.03</v>
      </c>
      <c r="K130" s="171">
        <v>0</v>
      </c>
      <c r="L130" s="171">
        <v>0</v>
      </c>
      <c r="M130" s="3">
        <v>0</v>
      </c>
      <c r="N130" s="173">
        <v>0</v>
      </c>
      <c r="O130" s="154">
        <f t="shared" si="9"/>
        <v>253481.32</v>
      </c>
      <c r="P130" s="3">
        <f t="shared" si="10"/>
        <v>82031</v>
      </c>
      <c r="Q130" s="3">
        <f t="shared" si="11"/>
        <v>51872.97</v>
      </c>
      <c r="R130" s="3">
        <f t="shared" si="12"/>
        <v>30158.03</v>
      </c>
      <c r="S130" s="3">
        <f t="shared" si="13"/>
        <v>0</v>
      </c>
      <c r="T130" s="3">
        <f t="shared" si="14"/>
        <v>0</v>
      </c>
      <c r="U130" s="3">
        <v>0</v>
      </c>
      <c r="V130" s="3">
        <v>0</v>
      </c>
      <c r="W130" s="175">
        <f t="shared" si="15"/>
        <v>0</v>
      </c>
      <c r="X130" s="175">
        <f t="shared" si="15"/>
        <v>0</v>
      </c>
      <c r="Z130" s="2">
        <f>[2]credits!$M130-U130</f>
        <v>4380.72</v>
      </c>
      <c r="AA130" s="2">
        <f>[2]credits!$O130-V130</f>
        <v>2546.87</v>
      </c>
      <c r="AB130" s="2">
        <f>[2]credits!$Q130-W130</f>
        <v>0</v>
      </c>
      <c r="AC130" s="2">
        <f>[2]credits!$S130-X130</f>
        <v>0</v>
      </c>
    </row>
    <row r="131" spans="1:29" ht="15" x14ac:dyDescent="0.25">
      <c r="A131" s="5">
        <v>403</v>
      </c>
      <c r="B131" s="5">
        <v>1</v>
      </c>
      <c r="C131" s="2" t="s">
        <v>128</v>
      </c>
      <c r="D131" s="3">
        <v>57534.18</v>
      </c>
      <c r="E131" s="3">
        <v>59536.13</v>
      </c>
      <c r="F131" s="171">
        <v>156148.74</v>
      </c>
      <c r="G131" s="171">
        <v>7392.64</v>
      </c>
      <c r="H131" s="171">
        <v>0</v>
      </c>
      <c r="I131" s="171">
        <v>242148.3</v>
      </c>
      <c r="J131" s="172">
        <v>19673.91</v>
      </c>
      <c r="K131" s="171">
        <v>660107</v>
      </c>
      <c r="L131" s="171">
        <v>0</v>
      </c>
      <c r="M131" s="3">
        <v>0</v>
      </c>
      <c r="N131" s="173">
        <v>0</v>
      </c>
      <c r="O131" s="154">
        <f t="shared" si="9"/>
        <v>1085470.5899999999</v>
      </c>
      <c r="P131" s="3">
        <f t="shared" si="10"/>
        <v>921929.21</v>
      </c>
      <c r="Q131" s="3">
        <f t="shared" si="11"/>
        <v>242148.3</v>
      </c>
      <c r="R131" s="3">
        <f t="shared" si="12"/>
        <v>19673.91</v>
      </c>
      <c r="S131" s="3">
        <f t="shared" si="13"/>
        <v>660107</v>
      </c>
      <c r="T131" s="3">
        <f t="shared" si="14"/>
        <v>0</v>
      </c>
      <c r="U131" s="3">
        <v>0</v>
      </c>
      <c r="V131" s="3">
        <v>0</v>
      </c>
      <c r="W131" s="175">
        <f t="shared" si="15"/>
        <v>42628.24</v>
      </c>
      <c r="X131" s="175">
        <f t="shared" si="15"/>
        <v>0</v>
      </c>
      <c r="Z131" s="2">
        <f>[2]credits!$M131-U131</f>
        <v>15637.4</v>
      </c>
      <c r="AA131" s="2">
        <f>[2]credits!$O131-V131</f>
        <v>1270.5</v>
      </c>
      <c r="AB131" s="2">
        <f>[2]credits!$Q131-W131</f>
        <v>0</v>
      </c>
      <c r="AC131" s="2">
        <f>[2]credits!$S131-X131</f>
        <v>0</v>
      </c>
    </row>
    <row r="132" spans="1:29" ht="15" x14ac:dyDescent="0.25">
      <c r="A132" s="5">
        <v>404</v>
      </c>
      <c r="B132" s="5">
        <v>1</v>
      </c>
      <c r="C132" s="2" t="s">
        <v>129</v>
      </c>
      <c r="D132" s="3">
        <v>35806.460000000006</v>
      </c>
      <c r="E132" s="3">
        <v>30042.25</v>
      </c>
      <c r="F132" s="171">
        <v>290948.03999999998</v>
      </c>
      <c r="G132" s="171">
        <v>2285.0500000000002</v>
      </c>
      <c r="H132" s="171">
        <v>0</v>
      </c>
      <c r="I132" s="171">
        <v>77422.009999999995</v>
      </c>
      <c r="J132" s="172">
        <v>8456.7000000000007</v>
      </c>
      <c r="K132" s="171">
        <v>262597.44</v>
      </c>
      <c r="L132" s="171">
        <v>0</v>
      </c>
      <c r="M132" s="3">
        <v>0</v>
      </c>
      <c r="N132" s="173">
        <v>0</v>
      </c>
      <c r="O132" s="154">
        <f t="shared" si="9"/>
        <v>641709.24</v>
      </c>
      <c r="P132" s="3">
        <f t="shared" si="10"/>
        <v>348476.15</v>
      </c>
      <c r="Q132" s="3">
        <f t="shared" si="11"/>
        <v>77422.009999999995</v>
      </c>
      <c r="R132" s="3">
        <f t="shared" si="12"/>
        <v>8456.7000000000007</v>
      </c>
      <c r="S132" s="3">
        <f t="shared" si="13"/>
        <v>262597.44</v>
      </c>
      <c r="T132" s="3">
        <f t="shared" si="14"/>
        <v>0</v>
      </c>
      <c r="U132" s="3">
        <v>0</v>
      </c>
      <c r="V132" s="3">
        <v>0</v>
      </c>
      <c r="W132" s="175">
        <f t="shared" si="15"/>
        <v>22638.62</v>
      </c>
      <c r="X132" s="175">
        <f t="shared" si="15"/>
        <v>0</v>
      </c>
      <c r="Z132" s="2">
        <f>[2]credits!$M132-U132</f>
        <v>6674.58</v>
      </c>
      <c r="AA132" s="2">
        <f>[2]credits!$O132-V132</f>
        <v>729.06</v>
      </c>
      <c r="AB132" s="2">
        <f>[2]credits!$Q132-W132</f>
        <v>0</v>
      </c>
      <c r="AC132" s="2">
        <f>[2]credits!$S132-X132</f>
        <v>0</v>
      </c>
    </row>
    <row r="133" spans="1:29" ht="15" x14ac:dyDescent="0.25">
      <c r="A133" s="5">
        <v>413</v>
      </c>
      <c r="B133" s="5">
        <v>1</v>
      </c>
      <c r="C133" s="2" t="s">
        <v>130</v>
      </c>
      <c r="D133" s="3">
        <v>220382.41</v>
      </c>
      <c r="E133" s="3">
        <v>225390.32</v>
      </c>
      <c r="F133" s="171">
        <v>1354318</v>
      </c>
      <c r="G133" s="171">
        <v>224066</v>
      </c>
      <c r="H133" s="171">
        <v>0</v>
      </c>
      <c r="I133" s="171">
        <v>1023595</v>
      </c>
      <c r="J133" s="172">
        <v>153844</v>
      </c>
      <c r="K133" s="171">
        <v>2820499</v>
      </c>
      <c r="L133" s="171">
        <v>0</v>
      </c>
      <c r="M133" s="3">
        <v>0</v>
      </c>
      <c r="N133" s="173">
        <v>138117</v>
      </c>
      <c r="O133" s="154">
        <f t="shared" si="9"/>
        <v>5714439</v>
      </c>
      <c r="P133" s="3">
        <f t="shared" si="10"/>
        <v>4136055</v>
      </c>
      <c r="Q133" s="3">
        <f t="shared" si="11"/>
        <v>1023595</v>
      </c>
      <c r="R133" s="3">
        <f t="shared" si="12"/>
        <v>153844</v>
      </c>
      <c r="S133" s="3">
        <f t="shared" si="13"/>
        <v>2820499</v>
      </c>
      <c r="T133" s="3">
        <f t="shared" si="14"/>
        <v>138117</v>
      </c>
      <c r="U133" s="3">
        <v>0</v>
      </c>
      <c r="V133" s="3">
        <v>0</v>
      </c>
      <c r="W133" s="175">
        <f t="shared" si="15"/>
        <v>153700.37</v>
      </c>
      <c r="X133" s="175">
        <f t="shared" si="15"/>
        <v>7526.55</v>
      </c>
      <c r="Z133" s="2">
        <f>[2]credits!$M133-U133</f>
        <v>55779.81</v>
      </c>
      <c r="AA133" s="2">
        <f>[2]credits!$O133-V133</f>
        <v>8383.56</v>
      </c>
      <c r="AB133" s="2">
        <f>[2]credits!$Q133-W133</f>
        <v>2.0000000018626451E-2</v>
      </c>
      <c r="AC133" s="2">
        <f>[2]credits!$S133-X133</f>
        <v>0</v>
      </c>
    </row>
    <row r="134" spans="1:29" ht="15" x14ac:dyDescent="0.25">
      <c r="A134" s="5">
        <v>414</v>
      </c>
      <c r="B134" s="5">
        <v>1</v>
      </c>
      <c r="C134" s="2" t="s">
        <v>131</v>
      </c>
      <c r="D134" s="3">
        <v>55707.340000000004</v>
      </c>
      <c r="E134" s="3">
        <v>67080.36</v>
      </c>
      <c r="F134" s="171">
        <v>158978</v>
      </c>
      <c r="G134" s="171">
        <v>36583</v>
      </c>
      <c r="H134" s="171">
        <v>0</v>
      </c>
      <c r="I134" s="171">
        <v>318803</v>
      </c>
      <c r="J134" s="172">
        <v>27283</v>
      </c>
      <c r="K134" s="171">
        <v>199895</v>
      </c>
      <c r="L134" s="171">
        <v>363113</v>
      </c>
      <c r="M134" s="3">
        <v>0</v>
      </c>
      <c r="N134" s="173">
        <v>0</v>
      </c>
      <c r="O134" s="154">
        <f t="shared" si="9"/>
        <v>1104655</v>
      </c>
      <c r="P134" s="3">
        <f t="shared" si="10"/>
        <v>909094</v>
      </c>
      <c r="Q134" s="3">
        <f t="shared" si="11"/>
        <v>318803</v>
      </c>
      <c r="R134" s="3">
        <f t="shared" si="12"/>
        <v>27283</v>
      </c>
      <c r="S134" s="3">
        <f t="shared" si="13"/>
        <v>563008</v>
      </c>
      <c r="T134" s="3">
        <f t="shared" si="14"/>
        <v>0</v>
      </c>
      <c r="U134" s="3">
        <v>0</v>
      </c>
      <c r="V134" s="3">
        <v>0</v>
      </c>
      <c r="W134" s="175">
        <f t="shared" si="15"/>
        <v>41543.32</v>
      </c>
      <c r="X134" s="175">
        <f t="shared" si="15"/>
        <v>0</v>
      </c>
      <c r="Z134" s="2">
        <f>[2]credits!$M134-U134</f>
        <v>24783.35</v>
      </c>
      <c r="AA134" s="2">
        <f>[2]credits!$O134-V134</f>
        <v>2120.9299999999998</v>
      </c>
      <c r="AB134" s="2">
        <f>[2]credits!$Q134-W134</f>
        <v>-1367.239999999998</v>
      </c>
      <c r="AC134" s="2">
        <f>[2]credits!$S134-X134</f>
        <v>0</v>
      </c>
    </row>
    <row r="135" spans="1:29" ht="15" x14ac:dyDescent="0.25">
      <c r="A135" s="5">
        <v>415</v>
      </c>
      <c r="B135" s="5">
        <v>1</v>
      </c>
      <c r="C135" s="2" t="s">
        <v>132</v>
      </c>
      <c r="D135" s="3">
        <v>15235.720000000001</v>
      </c>
      <c r="E135" s="3">
        <v>8101.12</v>
      </c>
      <c r="F135" s="171">
        <v>228048</v>
      </c>
      <c r="G135" s="171">
        <v>25804</v>
      </c>
      <c r="H135" s="171">
        <v>0</v>
      </c>
      <c r="I135" s="171">
        <v>39646</v>
      </c>
      <c r="J135" s="172">
        <v>38971</v>
      </c>
      <c r="K135" s="171">
        <v>0</v>
      </c>
      <c r="L135" s="171">
        <v>0</v>
      </c>
      <c r="M135" s="3">
        <v>0</v>
      </c>
      <c r="N135" s="173">
        <v>0</v>
      </c>
      <c r="O135" s="154">
        <f t="shared" si="9"/>
        <v>332469</v>
      </c>
      <c r="P135" s="3">
        <f t="shared" si="10"/>
        <v>78617</v>
      </c>
      <c r="Q135" s="3">
        <f t="shared" si="11"/>
        <v>39646</v>
      </c>
      <c r="R135" s="3">
        <f t="shared" si="12"/>
        <v>38971</v>
      </c>
      <c r="S135" s="3">
        <f t="shared" si="13"/>
        <v>0</v>
      </c>
      <c r="T135" s="3">
        <f t="shared" si="14"/>
        <v>0</v>
      </c>
      <c r="U135" s="3">
        <v>0</v>
      </c>
      <c r="V135" s="3">
        <v>0</v>
      </c>
      <c r="W135" s="175">
        <f t="shared" si="15"/>
        <v>0</v>
      </c>
      <c r="X135" s="175">
        <f t="shared" si="15"/>
        <v>0</v>
      </c>
      <c r="Z135" s="2">
        <f>[2]credits!$M135-U135</f>
        <v>4085.34</v>
      </c>
      <c r="AA135" s="2">
        <f>[2]credits!$O135-V135</f>
        <v>4015.78</v>
      </c>
      <c r="AB135" s="2">
        <f>[2]credits!$Q135-W135</f>
        <v>0</v>
      </c>
      <c r="AC135" s="2">
        <f>[2]credits!$S135-X135</f>
        <v>0</v>
      </c>
    </row>
    <row r="136" spans="1:29" ht="15" x14ac:dyDescent="0.25">
      <c r="A136" s="5">
        <v>423</v>
      </c>
      <c r="B136" s="5">
        <v>1</v>
      </c>
      <c r="C136" s="2" t="s">
        <v>133</v>
      </c>
      <c r="D136" s="3">
        <v>185159.27999999997</v>
      </c>
      <c r="E136" s="3">
        <v>205628.75</v>
      </c>
      <c r="F136" s="171">
        <v>2236901.31</v>
      </c>
      <c r="G136" s="171">
        <v>277115.75</v>
      </c>
      <c r="H136" s="171">
        <v>0</v>
      </c>
      <c r="I136" s="171">
        <v>1215419.33</v>
      </c>
      <c r="J136" s="172">
        <v>204316.03</v>
      </c>
      <c r="K136" s="171">
        <v>1160518.43</v>
      </c>
      <c r="L136" s="171">
        <v>0</v>
      </c>
      <c r="M136" s="3">
        <v>0</v>
      </c>
      <c r="N136" s="173">
        <v>0</v>
      </c>
      <c r="O136" s="154">
        <f t="shared" si="9"/>
        <v>5094270.8499999996</v>
      </c>
      <c r="P136" s="3">
        <f t="shared" si="10"/>
        <v>2580253.79</v>
      </c>
      <c r="Q136" s="3">
        <f t="shared" si="11"/>
        <v>1215419.33</v>
      </c>
      <c r="R136" s="3">
        <f t="shared" si="12"/>
        <v>204316.03</v>
      </c>
      <c r="S136" s="3">
        <f t="shared" si="13"/>
        <v>1160518.43</v>
      </c>
      <c r="T136" s="3">
        <f t="shared" si="14"/>
        <v>0</v>
      </c>
      <c r="U136" s="3">
        <v>0</v>
      </c>
      <c r="V136" s="3">
        <v>0</v>
      </c>
      <c r="W136" s="175">
        <f t="shared" si="15"/>
        <v>92485.46</v>
      </c>
      <c r="X136" s="175">
        <f t="shared" si="15"/>
        <v>0</v>
      </c>
      <c r="Z136" s="2">
        <f>[2]credits!$M136-U136</f>
        <v>96860.69</v>
      </c>
      <c r="AA136" s="2">
        <f>[2]credits!$O136-V136</f>
        <v>16282.6</v>
      </c>
      <c r="AB136" s="2">
        <f>[2]credits!$Q136-W136</f>
        <v>0</v>
      </c>
      <c r="AC136" s="2">
        <f>[2]credits!$S136-X136</f>
        <v>0</v>
      </c>
    </row>
    <row r="137" spans="1:29" ht="15" x14ac:dyDescent="0.25">
      <c r="A137" s="5">
        <v>424</v>
      </c>
      <c r="B137" s="5">
        <v>1</v>
      </c>
      <c r="C137" s="2" t="s">
        <v>134</v>
      </c>
      <c r="D137" s="3">
        <v>32199.27</v>
      </c>
      <c r="E137" s="3">
        <v>33188.28</v>
      </c>
      <c r="F137" s="171">
        <v>460572.95</v>
      </c>
      <c r="G137" s="171">
        <v>38338.1</v>
      </c>
      <c r="H137" s="171">
        <v>0</v>
      </c>
      <c r="I137" s="171">
        <v>139492.59</v>
      </c>
      <c r="J137" s="172">
        <v>28063.85</v>
      </c>
      <c r="K137" s="171">
        <v>152145</v>
      </c>
      <c r="L137" s="171">
        <v>0</v>
      </c>
      <c r="M137" s="3">
        <v>0</v>
      </c>
      <c r="N137" s="173">
        <v>0</v>
      </c>
      <c r="O137" s="154">
        <f t="shared" ref="O137:O200" si="16">SUM(F137:N137)</f>
        <v>818612.49</v>
      </c>
      <c r="P137" s="3">
        <f t="shared" ref="P137:P200" si="17">SUM(H137:N137)</f>
        <v>319701.44</v>
      </c>
      <c r="Q137" s="3">
        <f t="shared" ref="Q137:Q200" si="18">SUM(H137:I137)</f>
        <v>139492.59</v>
      </c>
      <c r="R137" s="3">
        <f t="shared" ref="R137:R200" si="19">J137</f>
        <v>28063.85</v>
      </c>
      <c r="S137" s="3">
        <f t="shared" ref="S137:S200" si="20">K137+L137</f>
        <v>152145</v>
      </c>
      <c r="T137" s="3">
        <f t="shared" ref="T137:T200" si="21">N137+M137</f>
        <v>0</v>
      </c>
      <c r="U137" s="3">
        <v>0</v>
      </c>
      <c r="V137" s="3">
        <v>0</v>
      </c>
      <c r="W137" s="175">
        <f t="shared" si="15"/>
        <v>15794.21</v>
      </c>
      <c r="X137" s="175">
        <f t="shared" si="15"/>
        <v>0</v>
      </c>
      <c r="Z137" s="2">
        <f>[2]credits!$M137-U137</f>
        <v>14480.76</v>
      </c>
      <c r="AA137" s="2">
        <f>[2]credits!$O137-V137</f>
        <v>2913.31</v>
      </c>
      <c r="AB137" s="2">
        <f>[2]credits!$Q137-W137</f>
        <v>0</v>
      </c>
      <c r="AC137" s="2">
        <f>[2]credits!$S137-X137</f>
        <v>0</v>
      </c>
    </row>
    <row r="138" spans="1:29" ht="15" x14ac:dyDescent="0.25">
      <c r="A138" s="5">
        <v>432</v>
      </c>
      <c r="B138" s="5">
        <v>1</v>
      </c>
      <c r="C138" s="2" t="s">
        <v>135</v>
      </c>
      <c r="D138" s="3">
        <v>74272.05</v>
      </c>
      <c r="E138" s="3">
        <v>72385.259999999995</v>
      </c>
      <c r="F138" s="171">
        <v>0</v>
      </c>
      <c r="G138" s="171">
        <v>43889.25</v>
      </c>
      <c r="H138" s="171">
        <v>0</v>
      </c>
      <c r="I138" s="171">
        <v>105383.98</v>
      </c>
      <c r="J138" s="172">
        <v>32868.54</v>
      </c>
      <c r="K138" s="171">
        <v>0</v>
      </c>
      <c r="L138" s="171">
        <v>364378.17</v>
      </c>
      <c r="M138" s="3">
        <v>0</v>
      </c>
      <c r="N138" s="173">
        <v>0</v>
      </c>
      <c r="O138" s="154">
        <f t="shared" si="16"/>
        <v>546519.93999999994</v>
      </c>
      <c r="P138" s="3">
        <f t="shared" si="17"/>
        <v>502630.68999999994</v>
      </c>
      <c r="Q138" s="3">
        <f t="shared" si="18"/>
        <v>105383.98</v>
      </c>
      <c r="R138" s="3">
        <f t="shared" si="19"/>
        <v>32868.54</v>
      </c>
      <c r="S138" s="3">
        <f t="shared" si="20"/>
        <v>364378.17</v>
      </c>
      <c r="T138" s="3">
        <f t="shared" si="21"/>
        <v>0</v>
      </c>
      <c r="U138" s="3">
        <v>0</v>
      </c>
      <c r="V138" s="3">
        <v>0</v>
      </c>
      <c r="W138" s="175">
        <f t="shared" ref="W138:X201" si="22">IF($P138=0,0,ROUND(S138/$P138*$E138,2))</f>
        <v>52475.13</v>
      </c>
      <c r="X138" s="175">
        <f t="shared" si="22"/>
        <v>0</v>
      </c>
      <c r="Z138" s="2">
        <f>[2]credits!$M138-U138</f>
        <v>15176.64</v>
      </c>
      <c r="AA138" s="2">
        <f>[2]credits!$O138-V138</f>
        <v>4733.49</v>
      </c>
      <c r="AB138" s="2">
        <f>[2]credits!$Q138-W138</f>
        <v>0</v>
      </c>
      <c r="AC138" s="2">
        <f>[2]credits!$S138-X138</f>
        <v>0</v>
      </c>
    </row>
    <row r="139" spans="1:29" ht="15" x14ac:dyDescent="0.25">
      <c r="A139" s="5">
        <v>435</v>
      </c>
      <c r="B139" s="5">
        <v>1</v>
      </c>
      <c r="C139" s="2" t="s">
        <v>136</v>
      </c>
      <c r="D139" s="3">
        <v>57739.889999999992</v>
      </c>
      <c r="E139" s="3">
        <v>58045.61</v>
      </c>
      <c r="F139" s="171">
        <v>0</v>
      </c>
      <c r="G139" s="171">
        <v>63344.65</v>
      </c>
      <c r="H139" s="171">
        <v>0</v>
      </c>
      <c r="I139" s="171">
        <v>119536.42</v>
      </c>
      <c r="J139" s="172">
        <v>31594.58</v>
      </c>
      <c r="K139" s="171">
        <v>779199.37</v>
      </c>
      <c r="L139" s="171">
        <v>48164</v>
      </c>
      <c r="M139" s="3">
        <v>0</v>
      </c>
      <c r="N139" s="173">
        <v>0</v>
      </c>
      <c r="O139" s="154">
        <f t="shared" si="16"/>
        <v>1041839.02</v>
      </c>
      <c r="P139" s="3">
        <f t="shared" si="17"/>
        <v>978494.37</v>
      </c>
      <c r="Q139" s="3">
        <f t="shared" si="18"/>
        <v>119536.42</v>
      </c>
      <c r="R139" s="3">
        <f t="shared" si="19"/>
        <v>31594.58</v>
      </c>
      <c r="S139" s="3">
        <f t="shared" si="20"/>
        <v>827363.37</v>
      </c>
      <c r="T139" s="3">
        <f t="shared" si="21"/>
        <v>0</v>
      </c>
      <c r="U139" s="3">
        <v>0</v>
      </c>
      <c r="V139" s="3">
        <v>0</v>
      </c>
      <c r="W139" s="175">
        <f t="shared" si="22"/>
        <v>49080.31</v>
      </c>
      <c r="X139" s="175">
        <f t="shared" si="22"/>
        <v>0</v>
      </c>
      <c r="Z139" s="2">
        <f>[2]credits!$M139-U139</f>
        <v>7091.06</v>
      </c>
      <c r="AA139" s="2">
        <f>[2]credits!$O139-V139</f>
        <v>1874.23</v>
      </c>
      <c r="AB139" s="2">
        <f>[2]credits!$Q139-W139</f>
        <v>0</v>
      </c>
      <c r="AC139" s="2">
        <f>[2]credits!$S139-X139</f>
        <v>0</v>
      </c>
    </row>
    <row r="140" spans="1:29" ht="15" x14ac:dyDescent="0.25">
      <c r="A140" s="5">
        <v>441</v>
      </c>
      <c r="B140" s="5">
        <v>1</v>
      </c>
      <c r="C140" s="2" t="s">
        <v>137</v>
      </c>
      <c r="D140" s="3">
        <v>17164.88</v>
      </c>
      <c r="E140" s="3">
        <v>21270.98</v>
      </c>
      <c r="F140" s="171">
        <v>198513</v>
      </c>
      <c r="G140" s="171">
        <v>31014</v>
      </c>
      <c r="H140" s="171">
        <v>0</v>
      </c>
      <c r="I140" s="171">
        <v>183655</v>
      </c>
      <c r="J140" s="172">
        <v>32695</v>
      </c>
      <c r="K140" s="171">
        <v>0</v>
      </c>
      <c r="L140" s="171">
        <v>0</v>
      </c>
      <c r="M140" s="3">
        <v>0</v>
      </c>
      <c r="N140" s="173">
        <v>0</v>
      </c>
      <c r="O140" s="154">
        <f t="shared" si="16"/>
        <v>445877</v>
      </c>
      <c r="P140" s="3">
        <f t="shared" si="17"/>
        <v>216350</v>
      </c>
      <c r="Q140" s="3">
        <f t="shared" si="18"/>
        <v>183655</v>
      </c>
      <c r="R140" s="3">
        <f t="shared" si="19"/>
        <v>32695</v>
      </c>
      <c r="S140" s="3">
        <f t="shared" si="20"/>
        <v>0</v>
      </c>
      <c r="T140" s="3">
        <f t="shared" si="21"/>
        <v>0</v>
      </c>
      <c r="U140" s="3">
        <v>0</v>
      </c>
      <c r="V140" s="3">
        <v>0</v>
      </c>
      <c r="W140" s="175">
        <f t="shared" si="22"/>
        <v>0</v>
      </c>
      <c r="X140" s="175">
        <f t="shared" si="22"/>
        <v>0</v>
      </c>
      <c r="Z140" s="2">
        <f>[2]credits!$M140-U140</f>
        <v>18056.439999999999</v>
      </c>
      <c r="AA140" s="2">
        <f>[2]credits!$O140-V140</f>
        <v>3214.54</v>
      </c>
      <c r="AB140" s="2">
        <f>[2]credits!$Q140-W140</f>
        <v>0</v>
      </c>
      <c r="AC140" s="2">
        <f>[2]credits!$S140-X140</f>
        <v>0</v>
      </c>
    </row>
    <row r="141" spans="1:29" ht="15" x14ac:dyDescent="0.25">
      <c r="A141" s="5">
        <v>447</v>
      </c>
      <c r="B141" s="5">
        <v>1</v>
      </c>
      <c r="C141" s="2" t="s">
        <v>138</v>
      </c>
      <c r="D141" s="3">
        <v>34516.92</v>
      </c>
      <c r="E141" s="3">
        <v>35458.18</v>
      </c>
      <c r="F141" s="171">
        <v>7082</v>
      </c>
      <c r="G141" s="171">
        <v>9401</v>
      </c>
      <c r="H141" s="171">
        <v>0</v>
      </c>
      <c r="I141" s="171">
        <v>54286</v>
      </c>
      <c r="J141" s="172">
        <v>12403</v>
      </c>
      <c r="K141" s="171">
        <v>88133</v>
      </c>
      <c r="L141" s="171">
        <v>0</v>
      </c>
      <c r="M141" s="3">
        <v>0</v>
      </c>
      <c r="N141" s="173">
        <v>0</v>
      </c>
      <c r="O141" s="154">
        <f t="shared" si="16"/>
        <v>171305</v>
      </c>
      <c r="P141" s="3">
        <f t="shared" si="17"/>
        <v>154822</v>
      </c>
      <c r="Q141" s="3">
        <f t="shared" si="18"/>
        <v>54286</v>
      </c>
      <c r="R141" s="3">
        <f t="shared" si="19"/>
        <v>12403</v>
      </c>
      <c r="S141" s="3">
        <f t="shared" si="20"/>
        <v>88133</v>
      </c>
      <c r="T141" s="3">
        <f t="shared" si="21"/>
        <v>0</v>
      </c>
      <c r="U141" s="3">
        <v>0</v>
      </c>
      <c r="V141" s="3">
        <v>0</v>
      </c>
      <c r="W141" s="175">
        <f t="shared" si="22"/>
        <v>20184.7</v>
      </c>
      <c r="X141" s="175">
        <f t="shared" si="22"/>
        <v>0</v>
      </c>
      <c r="Z141" s="2">
        <f>[2]credits!$M141-U141</f>
        <v>12432.87</v>
      </c>
      <c r="AA141" s="2">
        <f>[2]credits!$O141-V141</f>
        <v>2840.67</v>
      </c>
      <c r="AB141" s="2">
        <f>[2]credits!$Q141-W141</f>
        <v>-6.0000000001309672E-2</v>
      </c>
      <c r="AC141" s="2">
        <f>[2]credits!$S141-X141</f>
        <v>0</v>
      </c>
    </row>
    <row r="142" spans="1:29" ht="15" x14ac:dyDescent="0.25">
      <c r="A142" s="5">
        <v>458</v>
      </c>
      <c r="B142" s="5">
        <v>1</v>
      </c>
      <c r="C142" s="2" t="s">
        <v>139</v>
      </c>
      <c r="D142" s="3">
        <v>39215.850000000006</v>
      </c>
      <c r="E142" s="3">
        <v>44895.119999999995</v>
      </c>
      <c r="F142" s="171">
        <v>414985.62</v>
      </c>
      <c r="G142" s="171">
        <v>6628.4</v>
      </c>
      <c r="H142" s="171">
        <v>0</v>
      </c>
      <c r="I142" s="171">
        <v>125765.62</v>
      </c>
      <c r="J142" s="172">
        <v>40478.730000000003</v>
      </c>
      <c r="K142" s="171">
        <v>98635</v>
      </c>
      <c r="L142" s="171">
        <v>0</v>
      </c>
      <c r="M142" s="3">
        <v>0</v>
      </c>
      <c r="N142" s="173">
        <v>0</v>
      </c>
      <c r="O142" s="154">
        <f t="shared" si="16"/>
        <v>686493.37</v>
      </c>
      <c r="P142" s="3">
        <f t="shared" si="17"/>
        <v>264879.34999999998</v>
      </c>
      <c r="Q142" s="3">
        <f t="shared" si="18"/>
        <v>125765.62</v>
      </c>
      <c r="R142" s="3">
        <f t="shared" si="19"/>
        <v>40478.730000000003</v>
      </c>
      <c r="S142" s="3">
        <f t="shared" si="20"/>
        <v>98635</v>
      </c>
      <c r="T142" s="3">
        <f t="shared" si="21"/>
        <v>0</v>
      </c>
      <c r="U142" s="3">
        <v>0</v>
      </c>
      <c r="V142" s="3">
        <v>0</v>
      </c>
      <c r="W142" s="175">
        <f t="shared" si="22"/>
        <v>16717.91</v>
      </c>
      <c r="X142" s="175">
        <f t="shared" si="22"/>
        <v>0</v>
      </c>
      <c r="Z142" s="2">
        <f>[2]credits!$M142-U142</f>
        <v>21316.36</v>
      </c>
      <c r="AA142" s="2">
        <f>[2]credits!$O142-V142</f>
        <v>6860.85</v>
      </c>
      <c r="AB142" s="2">
        <f>[2]credits!$Q142-W142</f>
        <v>0</v>
      </c>
      <c r="AC142" s="2">
        <f>[2]credits!$S142-X142</f>
        <v>0</v>
      </c>
    </row>
    <row r="143" spans="1:29" ht="15" x14ac:dyDescent="0.25">
      <c r="A143" s="5">
        <v>463</v>
      </c>
      <c r="B143" s="5">
        <v>1</v>
      </c>
      <c r="C143" s="2" t="s">
        <v>140</v>
      </c>
      <c r="D143" s="3">
        <v>73908.87</v>
      </c>
      <c r="E143" s="3">
        <v>74230.3</v>
      </c>
      <c r="F143" s="171">
        <v>481092</v>
      </c>
      <c r="G143" s="171">
        <v>111372</v>
      </c>
      <c r="H143" s="171">
        <v>0</v>
      </c>
      <c r="I143" s="171">
        <v>56526</v>
      </c>
      <c r="J143" s="172">
        <v>57732</v>
      </c>
      <c r="K143" s="171">
        <v>665961</v>
      </c>
      <c r="L143" s="171">
        <v>245643</v>
      </c>
      <c r="M143" s="3">
        <v>0</v>
      </c>
      <c r="N143" s="173">
        <v>0</v>
      </c>
      <c r="O143" s="154">
        <f t="shared" si="16"/>
        <v>1618326</v>
      </c>
      <c r="P143" s="3">
        <f t="shared" si="17"/>
        <v>1025862</v>
      </c>
      <c r="Q143" s="3">
        <f t="shared" si="18"/>
        <v>56526</v>
      </c>
      <c r="R143" s="3">
        <f t="shared" si="19"/>
        <v>57732</v>
      </c>
      <c r="S143" s="3">
        <f t="shared" si="20"/>
        <v>911604</v>
      </c>
      <c r="T143" s="3">
        <f t="shared" si="21"/>
        <v>0</v>
      </c>
      <c r="U143" s="3">
        <v>0</v>
      </c>
      <c r="V143" s="3">
        <v>0</v>
      </c>
      <c r="W143" s="175">
        <f t="shared" si="22"/>
        <v>65962.710000000006</v>
      </c>
      <c r="X143" s="175">
        <f t="shared" si="22"/>
        <v>0</v>
      </c>
      <c r="Z143" s="2">
        <f>[2]credits!$M143-U143</f>
        <v>4090.14</v>
      </c>
      <c r="AA143" s="2">
        <f>[2]credits!$O143-V143</f>
        <v>4177.43</v>
      </c>
      <c r="AB143" s="2">
        <f>[2]credits!$Q143-W143</f>
        <v>1.9999999989522621E-2</v>
      </c>
      <c r="AC143" s="2">
        <f>[2]credits!$S143-X143</f>
        <v>0</v>
      </c>
    </row>
    <row r="144" spans="1:29" ht="15" x14ac:dyDescent="0.25">
      <c r="A144" s="5">
        <v>465</v>
      </c>
      <c r="B144" s="5">
        <v>1</v>
      </c>
      <c r="C144" s="2" t="s">
        <v>141</v>
      </c>
      <c r="D144" s="3">
        <v>184545.95</v>
      </c>
      <c r="E144" s="3">
        <v>188764.19</v>
      </c>
      <c r="F144" s="171">
        <v>948419</v>
      </c>
      <c r="G144" s="171">
        <v>150441</v>
      </c>
      <c r="H144" s="171">
        <v>0</v>
      </c>
      <c r="I144" s="171">
        <v>923881</v>
      </c>
      <c r="J144" s="172">
        <v>137334</v>
      </c>
      <c r="K144" s="171">
        <v>1361517</v>
      </c>
      <c r="L144" s="171">
        <v>113880</v>
      </c>
      <c r="M144" s="3">
        <v>0</v>
      </c>
      <c r="N144" s="173">
        <v>0</v>
      </c>
      <c r="O144" s="154">
        <f t="shared" si="16"/>
        <v>3635472</v>
      </c>
      <c r="P144" s="3">
        <f t="shared" si="17"/>
        <v>2536612</v>
      </c>
      <c r="Q144" s="3">
        <f t="shared" si="18"/>
        <v>923881</v>
      </c>
      <c r="R144" s="3">
        <f t="shared" si="19"/>
        <v>137334</v>
      </c>
      <c r="S144" s="3">
        <f t="shared" si="20"/>
        <v>1475397</v>
      </c>
      <c r="T144" s="3">
        <f t="shared" si="21"/>
        <v>0</v>
      </c>
      <c r="U144" s="3">
        <v>0</v>
      </c>
      <c r="V144" s="3">
        <v>0</v>
      </c>
      <c r="W144" s="175">
        <f t="shared" si="22"/>
        <v>109792.95</v>
      </c>
      <c r="X144" s="175">
        <f t="shared" si="22"/>
        <v>0</v>
      </c>
      <c r="Z144" s="2">
        <f>[2]credits!$M144-U144</f>
        <v>68751.38</v>
      </c>
      <c r="AA144" s="2">
        <f>[2]credits!$O144-V144</f>
        <v>10219.86</v>
      </c>
      <c r="AB144" s="2">
        <f>[2]credits!$Q144-W144</f>
        <v>0</v>
      </c>
      <c r="AC144" s="2">
        <f>[2]credits!$S144-X144</f>
        <v>0</v>
      </c>
    </row>
    <row r="145" spans="1:29" ht="15" x14ac:dyDescent="0.25">
      <c r="A145" s="5">
        <v>466</v>
      </c>
      <c r="B145" s="5">
        <v>1</v>
      </c>
      <c r="C145" s="2" t="s">
        <v>142</v>
      </c>
      <c r="D145" s="3">
        <v>200901</v>
      </c>
      <c r="E145" s="3">
        <v>153509.10999999999</v>
      </c>
      <c r="F145" s="171">
        <v>670676</v>
      </c>
      <c r="G145" s="171">
        <v>209866</v>
      </c>
      <c r="H145" s="171">
        <v>0</v>
      </c>
      <c r="I145" s="171">
        <v>563374</v>
      </c>
      <c r="J145" s="172">
        <v>132461</v>
      </c>
      <c r="K145" s="171">
        <v>1132386</v>
      </c>
      <c r="L145" s="171">
        <v>0</v>
      </c>
      <c r="M145" s="3">
        <v>0</v>
      </c>
      <c r="N145" s="173">
        <v>0</v>
      </c>
      <c r="O145" s="154">
        <f t="shared" si="16"/>
        <v>2708763</v>
      </c>
      <c r="P145" s="3">
        <f t="shared" si="17"/>
        <v>1828221</v>
      </c>
      <c r="Q145" s="3">
        <f t="shared" si="18"/>
        <v>563374</v>
      </c>
      <c r="R145" s="3">
        <f t="shared" si="19"/>
        <v>132461</v>
      </c>
      <c r="S145" s="3">
        <f t="shared" si="20"/>
        <v>1132386</v>
      </c>
      <c r="T145" s="3">
        <f t="shared" si="21"/>
        <v>0</v>
      </c>
      <c r="U145" s="3">
        <v>0</v>
      </c>
      <c r="V145" s="3">
        <v>0</v>
      </c>
      <c r="W145" s="175">
        <f t="shared" si="22"/>
        <v>95082.36</v>
      </c>
      <c r="X145" s="175">
        <f t="shared" si="22"/>
        <v>0</v>
      </c>
      <c r="Z145" s="2">
        <f>[2]credits!$M145-U145</f>
        <v>47304.45</v>
      </c>
      <c r="AA145" s="2">
        <f>[2]credits!$O145-V145</f>
        <v>11122.31</v>
      </c>
      <c r="AB145" s="2">
        <f>[2]credits!$Q145-W145</f>
        <v>0</v>
      </c>
      <c r="AC145" s="2">
        <f>[2]credits!$S145-X145</f>
        <v>0</v>
      </c>
    </row>
    <row r="146" spans="1:29" ht="15" x14ac:dyDescent="0.25">
      <c r="A146" s="5">
        <v>473</v>
      </c>
      <c r="B146" s="5">
        <v>1</v>
      </c>
      <c r="C146" s="2" t="s">
        <v>143</v>
      </c>
      <c r="D146" s="3">
        <v>45145.83</v>
      </c>
      <c r="E146" s="3">
        <v>44531.289999999994</v>
      </c>
      <c r="F146" s="171">
        <v>0</v>
      </c>
      <c r="G146" s="171">
        <v>93172.53</v>
      </c>
      <c r="H146" s="171">
        <v>0</v>
      </c>
      <c r="I146" s="171">
        <v>220285.56</v>
      </c>
      <c r="J146" s="172">
        <v>38957.39</v>
      </c>
      <c r="K146" s="171">
        <v>604721.47</v>
      </c>
      <c r="L146" s="171">
        <v>0</v>
      </c>
      <c r="M146" s="3">
        <v>0</v>
      </c>
      <c r="N146" s="173">
        <v>0</v>
      </c>
      <c r="O146" s="154">
        <f t="shared" si="16"/>
        <v>957136.95</v>
      </c>
      <c r="P146" s="3">
        <f t="shared" si="17"/>
        <v>863964.41999999993</v>
      </c>
      <c r="Q146" s="3">
        <f t="shared" si="18"/>
        <v>220285.56</v>
      </c>
      <c r="R146" s="3">
        <f t="shared" si="19"/>
        <v>38957.39</v>
      </c>
      <c r="S146" s="3">
        <f t="shared" si="20"/>
        <v>604721.47</v>
      </c>
      <c r="T146" s="3">
        <f t="shared" si="21"/>
        <v>0</v>
      </c>
      <c r="U146" s="3">
        <v>0</v>
      </c>
      <c r="V146" s="3">
        <v>0</v>
      </c>
      <c r="W146" s="175">
        <f t="shared" si="22"/>
        <v>31169.14</v>
      </c>
      <c r="X146" s="175">
        <f t="shared" si="22"/>
        <v>0</v>
      </c>
      <c r="Z146" s="2">
        <f>[2]credits!$M146-U146</f>
        <v>11354.17</v>
      </c>
      <c r="AA146" s="2">
        <f>[2]credits!$O146-V146</f>
        <v>2007.98</v>
      </c>
      <c r="AB146" s="2">
        <f>[2]credits!$Q146-W146</f>
        <v>0</v>
      </c>
      <c r="AC146" s="2">
        <f>[2]credits!$S146-X146</f>
        <v>0</v>
      </c>
    </row>
    <row r="147" spans="1:29" ht="15" x14ac:dyDescent="0.25">
      <c r="A147" s="5">
        <v>477</v>
      </c>
      <c r="B147" s="5">
        <v>1</v>
      </c>
      <c r="C147" s="2" t="s">
        <v>144</v>
      </c>
      <c r="D147" s="3">
        <v>331812.84999999998</v>
      </c>
      <c r="E147" s="3">
        <v>351314.71</v>
      </c>
      <c r="F147" s="171">
        <v>975983.62</v>
      </c>
      <c r="G147" s="171">
        <v>352866.81</v>
      </c>
      <c r="H147" s="171">
        <v>0</v>
      </c>
      <c r="I147" s="171">
        <v>1147805.3899999999</v>
      </c>
      <c r="J147" s="172">
        <v>291397.33</v>
      </c>
      <c r="K147" s="171">
        <v>1472100.92</v>
      </c>
      <c r="L147" s="171">
        <v>613000.05000000005</v>
      </c>
      <c r="M147" s="3">
        <v>0</v>
      </c>
      <c r="N147" s="173">
        <v>0</v>
      </c>
      <c r="O147" s="154">
        <f t="shared" si="16"/>
        <v>4853154.12</v>
      </c>
      <c r="P147" s="3">
        <f t="shared" si="17"/>
        <v>3524303.6899999995</v>
      </c>
      <c r="Q147" s="3">
        <f t="shared" si="18"/>
        <v>1147805.3899999999</v>
      </c>
      <c r="R147" s="3">
        <f t="shared" si="19"/>
        <v>291397.33</v>
      </c>
      <c r="S147" s="3">
        <f t="shared" si="20"/>
        <v>2085100.97</v>
      </c>
      <c r="T147" s="3">
        <f t="shared" si="21"/>
        <v>0</v>
      </c>
      <c r="U147" s="3">
        <v>0</v>
      </c>
      <c r="V147" s="3">
        <v>0</v>
      </c>
      <c r="W147" s="175">
        <f t="shared" si="22"/>
        <v>207850.03</v>
      </c>
      <c r="X147" s="175">
        <f t="shared" si="22"/>
        <v>0</v>
      </c>
      <c r="Z147" s="2">
        <f>[2]credits!$M147-U147</f>
        <v>114417.19</v>
      </c>
      <c r="AA147" s="2">
        <f>[2]credits!$O147-V147</f>
        <v>29047.49</v>
      </c>
      <c r="AB147" s="2">
        <f>[2]credits!$Q147-W147</f>
        <v>0</v>
      </c>
      <c r="AC147" s="2">
        <f>[2]credits!$S147-X147</f>
        <v>0</v>
      </c>
    </row>
    <row r="148" spans="1:29" ht="15" x14ac:dyDescent="0.25">
      <c r="A148" s="5">
        <v>480</v>
      </c>
      <c r="B148" s="5">
        <v>1</v>
      </c>
      <c r="C148" s="2" t="s">
        <v>145</v>
      </c>
      <c r="D148" s="3">
        <v>61856.33</v>
      </c>
      <c r="E148" s="3">
        <v>59893.62</v>
      </c>
      <c r="F148" s="171">
        <v>488482.08</v>
      </c>
      <c r="G148" s="171">
        <v>95214.98</v>
      </c>
      <c r="H148" s="171">
        <v>0</v>
      </c>
      <c r="I148" s="171">
        <v>398843.61</v>
      </c>
      <c r="J148" s="172">
        <v>74239.17</v>
      </c>
      <c r="K148" s="171">
        <v>551719.85</v>
      </c>
      <c r="L148" s="171">
        <v>0</v>
      </c>
      <c r="M148" s="3">
        <v>0</v>
      </c>
      <c r="N148" s="173">
        <v>0</v>
      </c>
      <c r="O148" s="154">
        <f t="shared" si="16"/>
        <v>1608499.69</v>
      </c>
      <c r="P148" s="3">
        <f t="shared" si="17"/>
        <v>1024802.6299999999</v>
      </c>
      <c r="Q148" s="3">
        <f t="shared" si="18"/>
        <v>398843.61</v>
      </c>
      <c r="R148" s="3">
        <f t="shared" si="19"/>
        <v>74239.17</v>
      </c>
      <c r="S148" s="3">
        <f t="shared" si="20"/>
        <v>551719.85</v>
      </c>
      <c r="T148" s="3">
        <f t="shared" si="21"/>
        <v>0</v>
      </c>
      <c r="U148" s="3">
        <v>0</v>
      </c>
      <c r="V148" s="3">
        <v>0</v>
      </c>
      <c r="W148" s="175">
        <f t="shared" si="22"/>
        <v>32244.74</v>
      </c>
      <c r="X148" s="175">
        <f t="shared" si="22"/>
        <v>0</v>
      </c>
      <c r="Z148" s="2">
        <f>[2]credits!$M148-U148</f>
        <v>23310.04</v>
      </c>
      <c r="AA148" s="2">
        <f>[2]credits!$O148-V148</f>
        <v>4338.84</v>
      </c>
      <c r="AB148" s="2">
        <f>[2]credits!$Q148-W148</f>
        <v>0</v>
      </c>
      <c r="AC148" s="2">
        <f>[2]credits!$S148-X148</f>
        <v>0</v>
      </c>
    </row>
    <row r="149" spans="1:29" ht="15" x14ac:dyDescent="0.25">
      <c r="A149" s="5">
        <v>482</v>
      </c>
      <c r="B149" s="5">
        <v>1</v>
      </c>
      <c r="C149" s="2" t="s">
        <v>146</v>
      </c>
      <c r="D149" s="3">
        <v>289231.57</v>
      </c>
      <c r="E149" s="3">
        <v>235112.68</v>
      </c>
      <c r="F149" s="171">
        <v>1875819.97</v>
      </c>
      <c r="G149" s="171">
        <v>262407.53999999998</v>
      </c>
      <c r="H149" s="171">
        <v>0</v>
      </c>
      <c r="I149" s="171">
        <v>580320.51</v>
      </c>
      <c r="J149" s="172">
        <v>209180.83</v>
      </c>
      <c r="K149" s="171">
        <v>0</v>
      </c>
      <c r="L149" s="171">
        <v>501718.55</v>
      </c>
      <c r="M149" s="3">
        <v>0</v>
      </c>
      <c r="N149" s="173">
        <v>269129</v>
      </c>
      <c r="O149" s="154">
        <f t="shared" si="16"/>
        <v>3698576.3999999994</v>
      </c>
      <c r="P149" s="3">
        <f t="shared" si="17"/>
        <v>1560348.89</v>
      </c>
      <c r="Q149" s="3">
        <f t="shared" si="18"/>
        <v>580320.51</v>
      </c>
      <c r="R149" s="3">
        <f t="shared" si="19"/>
        <v>209180.83</v>
      </c>
      <c r="S149" s="3">
        <f t="shared" si="20"/>
        <v>501718.55</v>
      </c>
      <c r="T149" s="3">
        <f t="shared" si="21"/>
        <v>269129</v>
      </c>
      <c r="U149" s="3">
        <v>0</v>
      </c>
      <c r="V149" s="3">
        <v>0</v>
      </c>
      <c r="W149" s="175">
        <f t="shared" si="22"/>
        <v>75598.73</v>
      </c>
      <c r="X149" s="175">
        <f t="shared" si="22"/>
        <v>40552.239999999998</v>
      </c>
      <c r="Z149" s="2">
        <f>[2]credits!$M149-U149</f>
        <v>87442.44</v>
      </c>
      <c r="AA149" s="2">
        <f>[2]credits!$O149-V149</f>
        <v>31519.27</v>
      </c>
      <c r="AB149" s="2">
        <f>[2]credits!$Q149-W149</f>
        <v>0</v>
      </c>
      <c r="AC149" s="2">
        <f>[2]credits!$S149-X149</f>
        <v>0</v>
      </c>
    </row>
    <row r="150" spans="1:29" ht="15" x14ac:dyDescent="0.25">
      <c r="A150" s="5">
        <v>484</v>
      </c>
      <c r="B150" s="5">
        <v>1</v>
      </c>
      <c r="C150" s="2" t="s">
        <v>147</v>
      </c>
      <c r="D150" s="3">
        <v>103839.67</v>
      </c>
      <c r="E150" s="3">
        <v>97750</v>
      </c>
      <c r="F150" s="171">
        <v>393173.33</v>
      </c>
      <c r="G150" s="171">
        <v>82036.800000000003</v>
      </c>
      <c r="H150" s="171">
        <v>0</v>
      </c>
      <c r="I150" s="171">
        <v>245596.95</v>
      </c>
      <c r="J150" s="172">
        <v>50085.33</v>
      </c>
      <c r="K150" s="171">
        <v>402853.01</v>
      </c>
      <c r="L150" s="171">
        <v>0</v>
      </c>
      <c r="M150" s="3">
        <v>0</v>
      </c>
      <c r="N150" s="173">
        <v>0</v>
      </c>
      <c r="O150" s="154">
        <f t="shared" si="16"/>
        <v>1173745.42</v>
      </c>
      <c r="P150" s="3">
        <f t="shared" si="17"/>
        <v>698535.29</v>
      </c>
      <c r="Q150" s="3">
        <f t="shared" si="18"/>
        <v>245596.95</v>
      </c>
      <c r="R150" s="3">
        <f t="shared" si="19"/>
        <v>50085.33</v>
      </c>
      <c r="S150" s="3">
        <f t="shared" si="20"/>
        <v>402853.01</v>
      </c>
      <c r="T150" s="3">
        <f t="shared" si="21"/>
        <v>0</v>
      </c>
      <c r="U150" s="3">
        <v>0</v>
      </c>
      <c r="V150" s="3">
        <v>0</v>
      </c>
      <c r="W150" s="175">
        <f t="shared" si="22"/>
        <v>56373.5</v>
      </c>
      <c r="X150" s="175">
        <f t="shared" si="22"/>
        <v>0</v>
      </c>
      <c r="Z150" s="2">
        <f>[2]credits!$M150-U150</f>
        <v>34367.769999999997</v>
      </c>
      <c r="AA150" s="2">
        <f>[2]credits!$O150-V150</f>
        <v>7008.72</v>
      </c>
      <c r="AB150" s="2">
        <f>[2]credits!$Q150-W150</f>
        <v>0</v>
      </c>
      <c r="AC150" s="2">
        <f>[2]credits!$S150-X150</f>
        <v>0</v>
      </c>
    </row>
    <row r="151" spans="1:29" ht="15" x14ac:dyDescent="0.25">
      <c r="A151" s="5">
        <v>485</v>
      </c>
      <c r="B151" s="5">
        <v>1</v>
      </c>
      <c r="C151" s="2" t="s">
        <v>148</v>
      </c>
      <c r="D151" s="3">
        <v>96649.09</v>
      </c>
      <c r="E151" s="3">
        <v>96534.06</v>
      </c>
      <c r="F151" s="171">
        <v>0</v>
      </c>
      <c r="G151" s="171">
        <v>95885.32</v>
      </c>
      <c r="H151" s="171">
        <v>0</v>
      </c>
      <c r="I151" s="171">
        <v>180059.47</v>
      </c>
      <c r="J151" s="172">
        <v>39381.300000000003</v>
      </c>
      <c r="K151" s="171">
        <v>747317.13</v>
      </c>
      <c r="L151" s="171">
        <v>0</v>
      </c>
      <c r="M151" s="3">
        <v>0</v>
      </c>
      <c r="N151" s="173">
        <v>0</v>
      </c>
      <c r="O151" s="154">
        <f t="shared" si="16"/>
        <v>1062643.22</v>
      </c>
      <c r="P151" s="3">
        <f t="shared" si="17"/>
        <v>966757.9</v>
      </c>
      <c r="Q151" s="3">
        <f t="shared" si="18"/>
        <v>180059.47</v>
      </c>
      <c r="R151" s="3">
        <f t="shared" si="19"/>
        <v>39381.300000000003</v>
      </c>
      <c r="S151" s="3">
        <f t="shared" si="20"/>
        <v>747317.13</v>
      </c>
      <c r="T151" s="3">
        <f t="shared" si="21"/>
        <v>0</v>
      </c>
      <c r="U151" s="3">
        <v>0</v>
      </c>
      <c r="V151" s="3">
        <v>0</v>
      </c>
      <c r="W151" s="175">
        <f t="shared" si="22"/>
        <v>74622.149999999994</v>
      </c>
      <c r="X151" s="175">
        <f t="shared" si="22"/>
        <v>0</v>
      </c>
      <c r="Z151" s="2">
        <f>[2]credits!$M151-U151</f>
        <v>17979.55</v>
      </c>
      <c r="AA151" s="2">
        <f>[2]credits!$O151-V151</f>
        <v>3932.36</v>
      </c>
      <c r="AB151" s="2">
        <f>[2]credits!$Q151-W151</f>
        <v>0</v>
      </c>
      <c r="AC151" s="2">
        <f>[2]credits!$S151-X151</f>
        <v>0</v>
      </c>
    </row>
    <row r="152" spans="1:29" ht="15" x14ac:dyDescent="0.25">
      <c r="A152" s="5">
        <v>486</v>
      </c>
      <c r="B152" s="5">
        <v>1</v>
      </c>
      <c r="C152" s="2" t="s">
        <v>149</v>
      </c>
      <c r="D152" s="3">
        <v>53918.34</v>
      </c>
      <c r="E152" s="3">
        <v>52386.26</v>
      </c>
      <c r="F152" s="171">
        <v>184106.64</v>
      </c>
      <c r="G152" s="171">
        <v>22730.47</v>
      </c>
      <c r="H152" s="171">
        <v>0</v>
      </c>
      <c r="I152" s="171">
        <v>81498.100000000006</v>
      </c>
      <c r="J152" s="172">
        <v>20583.900000000001</v>
      </c>
      <c r="K152" s="171">
        <v>432264.97</v>
      </c>
      <c r="L152" s="171">
        <v>0</v>
      </c>
      <c r="M152" s="3">
        <v>0</v>
      </c>
      <c r="N152" s="173">
        <v>0</v>
      </c>
      <c r="O152" s="154">
        <f t="shared" si="16"/>
        <v>741184.08000000007</v>
      </c>
      <c r="P152" s="3">
        <f t="shared" si="17"/>
        <v>534346.97</v>
      </c>
      <c r="Q152" s="3">
        <f t="shared" si="18"/>
        <v>81498.100000000006</v>
      </c>
      <c r="R152" s="3">
        <f t="shared" si="19"/>
        <v>20583.900000000001</v>
      </c>
      <c r="S152" s="3">
        <f t="shared" si="20"/>
        <v>432264.97</v>
      </c>
      <c r="T152" s="3">
        <f t="shared" si="21"/>
        <v>0</v>
      </c>
      <c r="U152" s="3">
        <v>0</v>
      </c>
      <c r="V152" s="3">
        <v>0</v>
      </c>
      <c r="W152" s="175">
        <f t="shared" si="22"/>
        <v>42378.35</v>
      </c>
      <c r="X152" s="175">
        <f t="shared" si="22"/>
        <v>0</v>
      </c>
      <c r="Z152" s="2">
        <f>[2]credits!$M152-U152</f>
        <v>7989.9</v>
      </c>
      <c r="AA152" s="2">
        <f>[2]credits!$O152-V152</f>
        <v>2018</v>
      </c>
      <c r="AB152" s="2">
        <f>[2]credits!$Q152-W152</f>
        <v>0</v>
      </c>
      <c r="AC152" s="2">
        <f>[2]credits!$S152-X152</f>
        <v>0</v>
      </c>
    </row>
    <row r="153" spans="1:29" ht="15" x14ac:dyDescent="0.25">
      <c r="A153" s="5">
        <v>487</v>
      </c>
      <c r="B153" s="5">
        <v>1</v>
      </c>
      <c r="C153" s="2" t="s">
        <v>150</v>
      </c>
      <c r="D153" s="3">
        <v>100392.47</v>
      </c>
      <c r="E153" s="3">
        <v>75120.449999999983</v>
      </c>
      <c r="F153" s="171">
        <v>108835.4</v>
      </c>
      <c r="G153" s="171">
        <v>17901.509999999998</v>
      </c>
      <c r="H153" s="171">
        <v>0</v>
      </c>
      <c r="I153" s="171">
        <v>0</v>
      </c>
      <c r="J153" s="172">
        <v>12741.06</v>
      </c>
      <c r="K153" s="171">
        <v>546426.94999999995</v>
      </c>
      <c r="L153" s="171">
        <v>0</v>
      </c>
      <c r="M153" s="3">
        <v>0</v>
      </c>
      <c r="N153" s="173">
        <v>0</v>
      </c>
      <c r="O153" s="154">
        <f t="shared" si="16"/>
        <v>685904.91999999993</v>
      </c>
      <c r="P153" s="3">
        <f t="shared" si="17"/>
        <v>559168.01</v>
      </c>
      <c r="Q153" s="3">
        <f t="shared" si="18"/>
        <v>0</v>
      </c>
      <c r="R153" s="3">
        <f t="shared" si="19"/>
        <v>12741.06</v>
      </c>
      <c r="S153" s="3">
        <f t="shared" si="20"/>
        <v>546426.94999999995</v>
      </c>
      <c r="T153" s="3">
        <f t="shared" si="21"/>
        <v>0</v>
      </c>
      <c r="U153" s="3">
        <v>0</v>
      </c>
      <c r="V153" s="3">
        <v>0</v>
      </c>
      <c r="W153" s="175">
        <f t="shared" si="22"/>
        <v>73408.77</v>
      </c>
      <c r="X153" s="175">
        <f t="shared" si="22"/>
        <v>0</v>
      </c>
      <c r="Z153" s="2">
        <f>[2]credits!$M153-U153</f>
        <v>0</v>
      </c>
      <c r="AA153" s="2">
        <f>[2]credits!$O153-V153</f>
        <v>1711.68</v>
      </c>
      <c r="AB153" s="2">
        <f>[2]credits!$Q153-W153</f>
        <v>0</v>
      </c>
      <c r="AC153" s="2">
        <f>[2]credits!$S153-X153</f>
        <v>0</v>
      </c>
    </row>
    <row r="154" spans="1:29" ht="15" x14ac:dyDescent="0.25">
      <c r="A154" s="5">
        <v>492</v>
      </c>
      <c r="B154" s="5">
        <v>1</v>
      </c>
      <c r="C154" s="2" t="s">
        <v>151</v>
      </c>
      <c r="D154" s="3">
        <v>563641.42999999993</v>
      </c>
      <c r="E154" s="3">
        <v>546223.9</v>
      </c>
      <c r="F154" s="171">
        <v>1966879.58</v>
      </c>
      <c r="G154" s="171">
        <v>371396.55</v>
      </c>
      <c r="H154" s="171">
        <v>0</v>
      </c>
      <c r="I154" s="171">
        <v>1154943</v>
      </c>
      <c r="J154" s="172">
        <v>213076</v>
      </c>
      <c r="K154" s="171">
        <v>1283658</v>
      </c>
      <c r="L154" s="171">
        <v>928905</v>
      </c>
      <c r="M154" s="3">
        <v>0</v>
      </c>
      <c r="N154" s="173">
        <v>0</v>
      </c>
      <c r="O154" s="154">
        <f t="shared" si="16"/>
        <v>5918858.1299999999</v>
      </c>
      <c r="P154" s="3">
        <f t="shared" si="17"/>
        <v>3580582</v>
      </c>
      <c r="Q154" s="3">
        <f t="shared" si="18"/>
        <v>1154943</v>
      </c>
      <c r="R154" s="3">
        <f t="shared" si="19"/>
        <v>213076</v>
      </c>
      <c r="S154" s="3">
        <f t="shared" si="20"/>
        <v>2212563</v>
      </c>
      <c r="T154" s="3">
        <f t="shared" si="21"/>
        <v>0</v>
      </c>
      <c r="U154" s="3">
        <v>0</v>
      </c>
      <c r="V154" s="3">
        <v>0</v>
      </c>
      <c r="W154" s="175">
        <f t="shared" si="22"/>
        <v>337530.26</v>
      </c>
      <c r="X154" s="175">
        <f t="shared" si="22"/>
        <v>0</v>
      </c>
      <c r="Z154" s="2">
        <f>[2]credits!$M154-U154</f>
        <v>176188.52</v>
      </c>
      <c r="AA154" s="2">
        <f>[2]credits!$O154-V154</f>
        <v>32505.07</v>
      </c>
      <c r="AB154" s="2">
        <f>[2]credits!$Q154-W154</f>
        <v>3.9999999979045242E-2</v>
      </c>
      <c r="AC154" s="2">
        <f>[2]credits!$S154-X154</f>
        <v>0</v>
      </c>
    </row>
    <row r="155" spans="1:29" ht="15" x14ac:dyDescent="0.25">
      <c r="A155" s="5">
        <v>495</v>
      </c>
      <c r="B155" s="5">
        <v>1</v>
      </c>
      <c r="C155" s="2" t="s">
        <v>152</v>
      </c>
      <c r="D155" s="3">
        <v>54734.560000000005</v>
      </c>
      <c r="E155" s="3">
        <v>50823.8</v>
      </c>
      <c r="F155" s="171">
        <v>336814</v>
      </c>
      <c r="G155" s="171">
        <v>19774</v>
      </c>
      <c r="H155" s="171">
        <v>0</v>
      </c>
      <c r="I155" s="171">
        <v>129942</v>
      </c>
      <c r="J155" s="172">
        <v>32960</v>
      </c>
      <c r="K155" s="171">
        <v>572440</v>
      </c>
      <c r="L155" s="171">
        <v>0</v>
      </c>
      <c r="M155" s="3">
        <v>0</v>
      </c>
      <c r="N155" s="173">
        <v>0</v>
      </c>
      <c r="O155" s="154">
        <f t="shared" si="16"/>
        <v>1091930</v>
      </c>
      <c r="P155" s="3">
        <f t="shared" si="17"/>
        <v>735342</v>
      </c>
      <c r="Q155" s="3">
        <f t="shared" si="18"/>
        <v>129942</v>
      </c>
      <c r="R155" s="3">
        <f t="shared" si="19"/>
        <v>32960</v>
      </c>
      <c r="S155" s="3">
        <f t="shared" si="20"/>
        <v>572440</v>
      </c>
      <c r="T155" s="3">
        <f t="shared" si="21"/>
        <v>0</v>
      </c>
      <c r="U155" s="3">
        <v>0</v>
      </c>
      <c r="V155" s="3">
        <v>0</v>
      </c>
      <c r="W155" s="175">
        <f t="shared" si="22"/>
        <v>39564.69</v>
      </c>
      <c r="X155" s="175">
        <f t="shared" si="22"/>
        <v>0</v>
      </c>
      <c r="Z155" s="2">
        <f>[2]credits!$M155-U155</f>
        <v>8981.02</v>
      </c>
      <c r="AA155" s="2">
        <f>[2]credits!$O155-V155</f>
        <v>2278.04</v>
      </c>
      <c r="AB155" s="2">
        <f>[2]credits!$Q155-W155</f>
        <v>4.0000000000873115E-2</v>
      </c>
      <c r="AC155" s="2">
        <f>[2]credits!$S155-X155</f>
        <v>0</v>
      </c>
    </row>
    <row r="156" spans="1:29" ht="15" x14ac:dyDescent="0.25">
      <c r="A156" s="5">
        <v>497</v>
      </c>
      <c r="B156" s="5">
        <v>1</v>
      </c>
      <c r="C156" s="2" t="s">
        <v>153</v>
      </c>
      <c r="D156" s="3">
        <v>58974.6</v>
      </c>
      <c r="E156" s="3">
        <v>59846.39</v>
      </c>
      <c r="F156" s="171">
        <v>100686</v>
      </c>
      <c r="G156" s="171">
        <v>13992</v>
      </c>
      <c r="H156" s="171">
        <v>0</v>
      </c>
      <c r="I156" s="171">
        <v>57791</v>
      </c>
      <c r="J156" s="172">
        <v>13882</v>
      </c>
      <c r="K156" s="171">
        <v>514031</v>
      </c>
      <c r="L156" s="171">
        <v>0</v>
      </c>
      <c r="M156" s="3">
        <v>0</v>
      </c>
      <c r="N156" s="173">
        <v>0</v>
      </c>
      <c r="O156" s="154">
        <f t="shared" si="16"/>
        <v>700382</v>
      </c>
      <c r="P156" s="3">
        <f t="shared" si="17"/>
        <v>585704</v>
      </c>
      <c r="Q156" s="3">
        <f t="shared" si="18"/>
        <v>57791</v>
      </c>
      <c r="R156" s="3">
        <f t="shared" si="19"/>
        <v>13882</v>
      </c>
      <c r="S156" s="3">
        <f t="shared" si="20"/>
        <v>514031</v>
      </c>
      <c r="T156" s="3">
        <f t="shared" si="21"/>
        <v>0</v>
      </c>
      <c r="U156" s="3">
        <v>0</v>
      </c>
      <c r="V156" s="3">
        <v>0</v>
      </c>
      <c r="W156" s="175">
        <f t="shared" si="22"/>
        <v>52522.95</v>
      </c>
      <c r="X156" s="175">
        <f t="shared" si="22"/>
        <v>0</v>
      </c>
      <c r="Z156" s="2">
        <f>[2]credits!$M156-U156</f>
        <v>5905.01</v>
      </c>
      <c r="AA156" s="2">
        <f>[2]credits!$O156-V156</f>
        <v>1418.47</v>
      </c>
      <c r="AB156" s="2">
        <f>[2]credits!$Q156-W156</f>
        <v>-4.9999999995634425E-2</v>
      </c>
      <c r="AC156" s="2">
        <f>[2]credits!$S156-X156</f>
        <v>0</v>
      </c>
    </row>
    <row r="157" spans="1:29" ht="15" x14ac:dyDescent="0.25">
      <c r="A157" s="5">
        <v>499</v>
      </c>
      <c r="B157" s="5">
        <v>1</v>
      </c>
      <c r="C157" s="2" t="s">
        <v>154</v>
      </c>
      <c r="D157" s="3">
        <v>42213.3</v>
      </c>
      <c r="E157" s="3">
        <v>45081.87</v>
      </c>
      <c r="F157" s="171">
        <v>436370.79</v>
      </c>
      <c r="G157" s="171">
        <v>11527.5</v>
      </c>
      <c r="H157" s="171">
        <v>0</v>
      </c>
      <c r="I157" s="171">
        <v>246916.82</v>
      </c>
      <c r="J157" s="172">
        <v>48924.11</v>
      </c>
      <c r="K157" s="171">
        <v>210457.85</v>
      </c>
      <c r="L157" s="171">
        <v>0</v>
      </c>
      <c r="M157" s="3">
        <v>0</v>
      </c>
      <c r="N157" s="173">
        <v>120997</v>
      </c>
      <c r="O157" s="154">
        <f t="shared" si="16"/>
        <v>1075194.0699999998</v>
      </c>
      <c r="P157" s="3">
        <f t="shared" si="17"/>
        <v>627295.78</v>
      </c>
      <c r="Q157" s="3">
        <f t="shared" si="18"/>
        <v>246916.82</v>
      </c>
      <c r="R157" s="3">
        <f t="shared" si="19"/>
        <v>48924.11</v>
      </c>
      <c r="S157" s="3">
        <f t="shared" si="20"/>
        <v>210457.85</v>
      </c>
      <c r="T157" s="3">
        <f t="shared" si="21"/>
        <v>120997</v>
      </c>
      <c r="U157" s="3">
        <v>0</v>
      </c>
      <c r="V157" s="3">
        <v>0</v>
      </c>
      <c r="W157" s="175">
        <f t="shared" si="22"/>
        <v>15124.98</v>
      </c>
      <c r="X157" s="175">
        <f t="shared" si="22"/>
        <v>8695.69</v>
      </c>
      <c r="Z157" s="2">
        <f>[2]credits!$M157-U157</f>
        <v>17745.169999999998</v>
      </c>
      <c r="AA157" s="2">
        <f>[2]credits!$O157-V157</f>
        <v>3516.03</v>
      </c>
      <c r="AB157" s="2">
        <f>[2]credits!$Q157-W157</f>
        <v>0</v>
      </c>
      <c r="AC157" s="2">
        <f>[2]credits!$S157-X157</f>
        <v>0</v>
      </c>
    </row>
    <row r="158" spans="1:29" ht="15" x14ac:dyDescent="0.25">
      <c r="A158" s="5">
        <v>500</v>
      </c>
      <c r="B158" s="5">
        <v>1</v>
      </c>
      <c r="C158" s="2" t="s">
        <v>155</v>
      </c>
      <c r="D158" s="3">
        <v>48604.03</v>
      </c>
      <c r="E158" s="3">
        <v>47586.22</v>
      </c>
      <c r="F158" s="171">
        <v>715967.07</v>
      </c>
      <c r="G158" s="171">
        <v>22531.599999999999</v>
      </c>
      <c r="H158" s="171">
        <v>0</v>
      </c>
      <c r="I158" s="171">
        <v>229029</v>
      </c>
      <c r="J158" s="172">
        <v>49622</v>
      </c>
      <c r="K158" s="171">
        <v>148590</v>
      </c>
      <c r="L158" s="171">
        <v>0</v>
      </c>
      <c r="M158" s="3">
        <v>0</v>
      </c>
      <c r="N158" s="173">
        <v>0</v>
      </c>
      <c r="O158" s="154">
        <f t="shared" si="16"/>
        <v>1165739.67</v>
      </c>
      <c r="P158" s="3">
        <f t="shared" si="17"/>
        <v>427241</v>
      </c>
      <c r="Q158" s="3">
        <f t="shared" si="18"/>
        <v>229029</v>
      </c>
      <c r="R158" s="3">
        <f t="shared" si="19"/>
        <v>49622</v>
      </c>
      <c r="S158" s="3">
        <f t="shared" si="20"/>
        <v>148590</v>
      </c>
      <c r="T158" s="3">
        <f t="shared" si="21"/>
        <v>0</v>
      </c>
      <c r="U158" s="3">
        <v>0</v>
      </c>
      <c r="V158" s="3">
        <v>0</v>
      </c>
      <c r="W158" s="175">
        <f t="shared" si="22"/>
        <v>16550</v>
      </c>
      <c r="X158" s="175">
        <f t="shared" si="22"/>
        <v>0</v>
      </c>
      <c r="Z158" s="2">
        <f>[2]credits!$M158-U158</f>
        <v>25509.26</v>
      </c>
      <c r="AA158" s="2">
        <f>[2]credits!$O158-V158</f>
        <v>5526.94</v>
      </c>
      <c r="AB158" s="2">
        <f>[2]credits!$Q158-W158</f>
        <v>2.0000000000436557E-2</v>
      </c>
      <c r="AC158" s="2">
        <f>[2]credits!$S158-X158</f>
        <v>0</v>
      </c>
    </row>
    <row r="159" spans="1:29" ht="15" x14ac:dyDescent="0.25">
      <c r="A159" s="5">
        <v>505</v>
      </c>
      <c r="B159" s="5">
        <v>1</v>
      </c>
      <c r="C159" s="2" t="s">
        <v>156</v>
      </c>
      <c r="D159" s="3">
        <v>24178.37</v>
      </c>
      <c r="E159" s="3">
        <v>27257.75</v>
      </c>
      <c r="F159" s="171">
        <v>498534.68</v>
      </c>
      <c r="G159" s="171">
        <v>7782.64</v>
      </c>
      <c r="H159" s="171">
        <v>0</v>
      </c>
      <c r="I159" s="171">
        <v>162909.93</v>
      </c>
      <c r="J159" s="172">
        <v>41025.42</v>
      </c>
      <c r="K159" s="171">
        <v>0</v>
      </c>
      <c r="L159" s="171">
        <v>0</v>
      </c>
      <c r="M159" s="3">
        <v>0</v>
      </c>
      <c r="N159" s="173">
        <v>0</v>
      </c>
      <c r="O159" s="154">
        <f t="shared" si="16"/>
        <v>710252.67</v>
      </c>
      <c r="P159" s="3">
        <f t="shared" si="17"/>
        <v>203935.34999999998</v>
      </c>
      <c r="Q159" s="3">
        <f t="shared" si="18"/>
        <v>162909.93</v>
      </c>
      <c r="R159" s="3">
        <f t="shared" si="19"/>
        <v>41025.42</v>
      </c>
      <c r="S159" s="3">
        <f t="shared" si="20"/>
        <v>0</v>
      </c>
      <c r="T159" s="3">
        <f t="shared" si="21"/>
        <v>0</v>
      </c>
      <c r="U159" s="3">
        <v>0</v>
      </c>
      <c r="V159" s="3">
        <v>0</v>
      </c>
      <c r="W159" s="175">
        <f t="shared" si="22"/>
        <v>0</v>
      </c>
      <c r="X159" s="175">
        <f t="shared" si="22"/>
        <v>0</v>
      </c>
      <c r="Z159" s="2">
        <f>[2]credits!$M159-U159</f>
        <v>21774.34</v>
      </c>
      <c r="AA159" s="2">
        <f>[2]credits!$O159-V159</f>
        <v>5483.41</v>
      </c>
      <c r="AB159" s="2">
        <f>[2]credits!$Q159-W159</f>
        <v>0</v>
      </c>
      <c r="AC159" s="2">
        <f>[2]credits!$S159-X159</f>
        <v>0</v>
      </c>
    </row>
    <row r="160" spans="1:29" ht="15" x14ac:dyDescent="0.25">
      <c r="A160" s="5">
        <v>507</v>
      </c>
      <c r="B160" s="5">
        <v>1</v>
      </c>
      <c r="C160" s="2" t="s">
        <v>157</v>
      </c>
      <c r="D160" s="3">
        <v>53577.399999999994</v>
      </c>
      <c r="E160" s="3">
        <v>53956.3</v>
      </c>
      <c r="F160" s="171">
        <v>191245</v>
      </c>
      <c r="G160" s="171">
        <v>39758</v>
      </c>
      <c r="H160" s="171">
        <v>0</v>
      </c>
      <c r="I160" s="171">
        <v>176444</v>
      </c>
      <c r="J160" s="172">
        <v>35950</v>
      </c>
      <c r="K160" s="171">
        <v>572777</v>
      </c>
      <c r="L160" s="171">
        <v>0</v>
      </c>
      <c r="M160" s="3">
        <v>0</v>
      </c>
      <c r="N160" s="173">
        <v>0</v>
      </c>
      <c r="O160" s="154">
        <f t="shared" si="16"/>
        <v>1016174</v>
      </c>
      <c r="P160" s="3">
        <f t="shared" si="17"/>
        <v>785171</v>
      </c>
      <c r="Q160" s="3">
        <f t="shared" si="18"/>
        <v>176444</v>
      </c>
      <c r="R160" s="3">
        <f t="shared" si="19"/>
        <v>35950</v>
      </c>
      <c r="S160" s="3">
        <f t="shared" si="20"/>
        <v>572777</v>
      </c>
      <c r="T160" s="3">
        <f t="shared" si="21"/>
        <v>0</v>
      </c>
      <c r="U160" s="3">
        <v>0</v>
      </c>
      <c r="V160" s="3">
        <v>0</v>
      </c>
      <c r="W160" s="175">
        <f t="shared" si="22"/>
        <v>39360.76</v>
      </c>
      <c r="X160" s="175">
        <f t="shared" si="22"/>
        <v>0</v>
      </c>
      <c r="Z160" s="2">
        <f>[2]credits!$M160-U160</f>
        <v>12125.1</v>
      </c>
      <c r="AA160" s="2">
        <f>[2]credits!$O160-V160</f>
        <v>2470.4499999999998</v>
      </c>
      <c r="AB160" s="2">
        <f>[2]credits!$Q160-W160</f>
        <v>-1.0000000002037268E-2</v>
      </c>
      <c r="AC160" s="2">
        <f>[2]credits!$S160-X160</f>
        <v>0</v>
      </c>
    </row>
    <row r="161" spans="1:29" ht="15" x14ac:dyDescent="0.25">
      <c r="A161" s="5">
        <v>508</v>
      </c>
      <c r="B161" s="5">
        <v>1</v>
      </c>
      <c r="C161" s="2" t="s">
        <v>158</v>
      </c>
      <c r="D161" s="3">
        <v>114469.41000000002</v>
      </c>
      <c r="E161" s="3">
        <v>125325.97</v>
      </c>
      <c r="F161" s="171">
        <v>1000054</v>
      </c>
      <c r="G161" s="171">
        <v>204518</v>
      </c>
      <c r="H161" s="171">
        <v>440835</v>
      </c>
      <c r="I161" s="171">
        <v>846130</v>
      </c>
      <c r="J161" s="172">
        <v>137666</v>
      </c>
      <c r="K161" s="171">
        <v>0</v>
      </c>
      <c r="L161" s="171">
        <v>103282</v>
      </c>
      <c r="M161" s="3">
        <v>0</v>
      </c>
      <c r="N161" s="173">
        <v>0</v>
      </c>
      <c r="O161" s="154">
        <f t="shared" si="16"/>
        <v>2732485</v>
      </c>
      <c r="P161" s="3">
        <f t="shared" si="17"/>
        <v>1527913</v>
      </c>
      <c r="Q161" s="3">
        <f t="shared" si="18"/>
        <v>1286965</v>
      </c>
      <c r="R161" s="3">
        <f t="shared" si="19"/>
        <v>137666</v>
      </c>
      <c r="S161" s="3">
        <f t="shared" si="20"/>
        <v>103282</v>
      </c>
      <c r="T161" s="3">
        <f t="shared" si="21"/>
        <v>0</v>
      </c>
      <c r="U161" s="3">
        <v>0</v>
      </c>
      <c r="V161" s="3">
        <v>0</v>
      </c>
      <c r="W161" s="175">
        <f t="shared" si="22"/>
        <v>8471.6299999999992</v>
      </c>
      <c r="X161" s="175">
        <f t="shared" si="22"/>
        <v>0</v>
      </c>
      <c r="Z161" s="2">
        <f>[2]credits!$M161-U161</f>
        <v>105562.41</v>
      </c>
      <c r="AA161" s="2">
        <f>[2]credits!$O161-V161</f>
        <v>11291.93</v>
      </c>
      <c r="AB161" s="2">
        <f>[2]credits!$Q161-W161</f>
        <v>0</v>
      </c>
      <c r="AC161" s="2">
        <f>[2]credits!$S161-X161</f>
        <v>0</v>
      </c>
    </row>
    <row r="162" spans="1:29" ht="15" x14ac:dyDescent="0.25">
      <c r="A162" s="5">
        <v>511</v>
      </c>
      <c r="B162" s="5">
        <v>1</v>
      </c>
      <c r="C162" s="2" t="s">
        <v>159</v>
      </c>
      <c r="D162" s="3">
        <v>68879.53</v>
      </c>
      <c r="E162" s="3">
        <v>62152.12</v>
      </c>
      <c r="F162" s="171">
        <v>316531.69</v>
      </c>
      <c r="G162" s="171">
        <v>23122.78</v>
      </c>
      <c r="H162" s="171">
        <v>0</v>
      </c>
      <c r="I162" s="171">
        <v>240120.04</v>
      </c>
      <c r="J162" s="172">
        <v>12318.48</v>
      </c>
      <c r="K162" s="171">
        <v>570548.42000000004</v>
      </c>
      <c r="L162" s="171">
        <v>0</v>
      </c>
      <c r="M162" s="3">
        <v>0</v>
      </c>
      <c r="N162" s="173">
        <v>0</v>
      </c>
      <c r="O162" s="154">
        <f t="shared" si="16"/>
        <v>1162641.4100000001</v>
      </c>
      <c r="P162" s="3">
        <f t="shared" si="17"/>
        <v>822986.94000000006</v>
      </c>
      <c r="Q162" s="3">
        <f t="shared" si="18"/>
        <v>240120.04</v>
      </c>
      <c r="R162" s="3">
        <f t="shared" si="19"/>
        <v>12318.48</v>
      </c>
      <c r="S162" s="3">
        <f t="shared" si="20"/>
        <v>570548.42000000004</v>
      </c>
      <c r="T162" s="3">
        <f t="shared" si="21"/>
        <v>0</v>
      </c>
      <c r="U162" s="3">
        <v>0</v>
      </c>
      <c r="V162" s="3">
        <v>0</v>
      </c>
      <c r="W162" s="175">
        <f t="shared" si="22"/>
        <v>43087.92</v>
      </c>
      <c r="X162" s="175">
        <f t="shared" si="22"/>
        <v>0</v>
      </c>
      <c r="Z162" s="2">
        <f>[2]credits!$M162-U162</f>
        <v>18133.91</v>
      </c>
      <c r="AA162" s="2">
        <f>[2]credits!$O162-V162</f>
        <v>930.29</v>
      </c>
      <c r="AB162" s="2">
        <f>[2]credits!$Q162-W162</f>
        <v>0</v>
      </c>
      <c r="AC162" s="2">
        <f>[2]credits!$S162-X162</f>
        <v>0</v>
      </c>
    </row>
    <row r="163" spans="1:29" ht="15" x14ac:dyDescent="0.25">
      <c r="A163" s="5">
        <v>513</v>
      </c>
      <c r="B163" s="5">
        <v>1</v>
      </c>
      <c r="C163" s="2" t="s">
        <v>160</v>
      </c>
      <c r="D163" s="3">
        <v>6825.5300000000007</v>
      </c>
      <c r="E163" s="3">
        <v>9838.43</v>
      </c>
      <c r="F163" s="171">
        <v>191793.76</v>
      </c>
      <c r="G163" s="171">
        <v>16376.58</v>
      </c>
      <c r="H163" s="171">
        <v>0</v>
      </c>
      <c r="I163" s="171">
        <v>88802.23</v>
      </c>
      <c r="J163" s="172">
        <v>14881.16</v>
      </c>
      <c r="K163" s="171">
        <v>0</v>
      </c>
      <c r="L163" s="171">
        <v>0</v>
      </c>
      <c r="M163" s="3">
        <v>0</v>
      </c>
      <c r="N163" s="173">
        <v>0</v>
      </c>
      <c r="O163" s="154">
        <f t="shared" si="16"/>
        <v>311853.73</v>
      </c>
      <c r="P163" s="3">
        <f t="shared" si="17"/>
        <v>103683.39</v>
      </c>
      <c r="Q163" s="3">
        <f t="shared" si="18"/>
        <v>88802.23</v>
      </c>
      <c r="R163" s="3">
        <f t="shared" si="19"/>
        <v>14881.16</v>
      </c>
      <c r="S163" s="3">
        <f t="shared" si="20"/>
        <v>0</v>
      </c>
      <c r="T163" s="3">
        <f t="shared" si="21"/>
        <v>0</v>
      </c>
      <c r="U163" s="3">
        <v>0</v>
      </c>
      <c r="V163" s="3">
        <v>0</v>
      </c>
      <c r="W163" s="175">
        <f t="shared" si="22"/>
        <v>0</v>
      </c>
      <c r="X163" s="175">
        <f t="shared" si="22"/>
        <v>0</v>
      </c>
      <c r="Z163" s="2">
        <f>[2]credits!$M163-U163</f>
        <v>8426.3700000000008</v>
      </c>
      <c r="AA163" s="2">
        <f>[2]credits!$O163-V163</f>
        <v>1412.06</v>
      </c>
      <c r="AB163" s="2">
        <f>[2]credits!$Q163-W163</f>
        <v>0</v>
      </c>
      <c r="AC163" s="2">
        <f>[2]credits!$S163-X163</f>
        <v>0</v>
      </c>
    </row>
    <row r="164" spans="1:29" ht="15" x14ac:dyDescent="0.25">
      <c r="A164" s="5">
        <v>514</v>
      </c>
      <c r="B164" s="5">
        <v>1</v>
      </c>
      <c r="C164" s="2" t="s">
        <v>161</v>
      </c>
      <c r="D164" s="3">
        <v>9898.8499999999985</v>
      </c>
      <c r="E164" s="3">
        <v>11013.11</v>
      </c>
      <c r="F164" s="171">
        <v>109462.87</v>
      </c>
      <c r="G164" s="171">
        <v>4213.96</v>
      </c>
      <c r="H164" s="171">
        <v>0</v>
      </c>
      <c r="I164" s="171">
        <v>106750.43</v>
      </c>
      <c r="J164" s="172">
        <v>13280.86</v>
      </c>
      <c r="K164" s="171">
        <v>0</v>
      </c>
      <c r="L164" s="171">
        <v>0</v>
      </c>
      <c r="M164" s="3">
        <v>0</v>
      </c>
      <c r="N164" s="173">
        <v>0</v>
      </c>
      <c r="O164" s="154">
        <f t="shared" si="16"/>
        <v>233708.12</v>
      </c>
      <c r="P164" s="3">
        <f t="shared" si="17"/>
        <v>120031.29</v>
      </c>
      <c r="Q164" s="3">
        <f t="shared" si="18"/>
        <v>106750.43</v>
      </c>
      <c r="R164" s="3">
        <f t="shared" si="19"/>
        <v>13280.86</v>
      </c>
      <c r="S164" s="3">
        <f t="shared" si="20"/>
        <v>0</v>
      </c>
      <c r="T164" s="3">
        <f t="shared" si="21"/>
        <v>0</v>
      </c>
      <c r="U164" s="3">
        <v>0</v>
      </c>
      <c r="V164" s="3">
        <v>0</v>
      </c>
      <c r="W164" s="175">
        <f t="shared" si="22"/>
        <v>0</v>
      </c>
      <c r="X164" s="175">
        <f t="shared" si="22"/>
        <v>0</v>
      </c>
      <c r="Z164" s="2">
        <f>[2]credits!$M164-U164</f>
        <v>9794.56</v>
      </c>
      <c r="AA164" s="2">
        <f>[2]credits!$O164-V164</f>
        <v>1218.55</v>
      </c>
      <c r="AB164" s="2">
        <f>[2]credits!$Q164-W164</f>
        <v>0</v>
      </c>
      <c r="AC164" s="2">
        <f>[2]credits!$S164-X164</f>
        <v>0</v>
      </c>
    </row>
    <row r="165" spans="1:29" ht="15" x14ac:dyDescent="0.25">
      <c r="A165" s="5">
        <v>516</v>
      </c>
      <c r="B165" s="5">
        <v>1</v>
      </c>
      <c r="C165" s="2" t="s">
        <v>162</v>
      </c>
      <c r="D165" s="3">
        <v>9057.33</v>
      </c>
      <c r="E165" s="3">
        <v>4217.34</v>
      </c>
      <c r="F165" s="171">
        <v>115039.57</v>
      </c>
      <c r="G165" s="171">
        <v>10554.7</v>
      </c>
      <c r="H165" s="171">
        <v>0</v>
      </c>
      <c r="I165" s="171">
        <v>25395.53</v>
      </c>
      <c r="J165" s="172">
        <v>16213.44</v>
      </c>
      <c r="K165" s="171">
        <v>0</v>
      </c>
      <c r="L165" s="171">
        <v>0</v>
      </c>
      <c r="M165" s="3">
        <v>0</v>
      </c>
      <c r="N165" s="173">
        <v>0</v>
      </c>
      <c r="O165" s="154">
        <f t="shared" si="16"/>
        <v>167203.24</v>
      </c>
      <c r="P165" s="3">
        <f t="shared" si="17"/>
        <v>41608.97</v>
      </c>
      <c r="Q165" s="3">
        <f t="shared" si="18"/>
        <v>25395.53</v>
      </c>
      <c r="R165" s="3">
        <f t="shared" si="19"/>
        <v>16213.44</v>
      </c>
      <c r="S165" s="3">
        <f t="shared" si="20"/>
        <v>0</v>
      </c>
      <c r="T165" s="3">
        <f t="shared" si="21"/>
        <v>0</v>
      </c>
      <c r="U165" s="3">
        <v>0</v>
      </c>
      <c r="V165" s="3">
        <v>0</v>
      </c>
      <c r="W165" s="175">
        <f t="shared" si="22"/>
        <v>0</v>
      </c>
      <c r="X165" s="175">
        <f t="shared" si="22"/>
        <v>0</v>
      </c>
      <c r="Z165" s="2">
        <f>[2]credits!$M165-U165</f>
        <v>2574</v>
      </c>
      <c r="AA165" s="2">
        <f>[2]credits!$O165-V165</f>
        <v>1643.34</v>
      </c>
      <c r="AB165" s="2">
        <f>[2]credits!$Q165-W165</f>
        <v>0</v>
      </c>
      <c r="AC165" s="2">
        <f>[2]credits!$S165-X165</f>
        <v>0</v>
      </c>
    </row>
    <row r="166" spans="1:29" ht="15" x14ac:dyDescent="0.25">
      <c r="A166" s="5">
        <v>518</v>
      </c>
      <c r="B166" s="5">
        <v>1</v>
      </c>
      <c r="C166" s="2" t="s">
        <v>163</v>
      </c>
      <c r="D166" s="3">
        <v>303626.06</v>
      </c>
      <c r="E166" s="3">
        <v>254530.04</v>
      </c>
      <c r="F166" s="171">
        <v>1623793.07</v>
      </c>
      <c r="G166" s="171">
        <v>116152.34</v>
      </c>
      <c r="H166" s="171">
        <v>0</v>
      </c>
      <c r="I166" s="171">
        <v>385461.76000000001</v>
      </c>
      <c r="J166" s="172">
        <v>161599.26999999999</v>
      </c>
      <c r="K166" s="171">
        <v>1185852.51</v>
      </c>
      <c r="L166" s="171">
        <v>586156.18000000005</v>
      </c>
      <c r="M166" s="3">
        <v>0</v>
      </c>
      <c r="N166" s="173">
        <v>0</v>
      </c>
      <c r="O166" s="154">
        <f t="shared" si="16"/>
        <v>4059015.1300000004</v>
      </c>
      <c r="P166" s="3">
        <f t="shared" si="17"/>
        <v>2319069.7200000002</v>
      </c>
      <c r="Q166" s="3">
        <f t="shared" si="18"/>
        <v>385461.76000000001</v>
      </c>
      <c r="R166" s="3">
        <f t="shared" si="19"/>
        <v>161599.26999999999</v>
      </c>
      <c r="S166" s="3">
        <f t="shared" si="20"/>
        <v>1772008.69</v>
      </c>
      <c r="T166" s="3">
        <f t="shared" si="21"/>
        <v>0</v>
      </c>
      <c r="U166" s="3">
        <v>0</v>
      </c>
      <c r="V166" s="3">
        <v>0</v>
      </c>
      <c r="W166" s="175">
        <f t="shared" si="22"/>
        <v>194487.23</v>
      </c>
      <c r="X166" s="175">
        <f t="shared" si="22"/>
        <v>0</v>
      </c>
      <c r="Z166" s="2">
        <f>[2]credits!$M166-U166</f>
        <v>34802.83</v>
      </c>
      <c r="AA166" s="2">
        <f>[2]credits!$O166-V166</f>
        <v>14590.58</v>
      </c>
      <c r="AB166" s="2">
        <f>[2]credits!$Q166-W166</f>
        <v>10649.399999999994</v>
      </c>
      <c r="AC166" s="2">
        <f>[2]credits!$S166-X166</f>
        <v>0</v>
      </c>
    </row>
    <row r="167" spans="1:29" ht="15" x14ac:dyDescent="0.25">
      <c r="A167" s="5">
        <v>531</v>
      </c>
      <c r="B167" s="5">
        <v>1</v>
      </c>
      <c r="C167" s="2" t="s">
        <v>164</v>
      </c>
      <c r="D167" s="3">
        <v>150440.69</v>
      </c>
      <c r="E167" s="3">
        <v>152343.28</v>
      </c>
      <c r="F167" s="171">
        <v>159061</v>
      </c>
      <c r="G167" s="171">
        <v>191183</v>
      </c>
      <c r="H167" s="171">
        <v>0</v>
      </c>
      <c r="I167" s="171">
        <v>354840</v>
      </c>
      <c r="J167" s="172">
        <v>87399</v>
      </c>
      <c r="K167" s="171">
        <v>2404394</v>
      </c>
      <c r="L167" s="171">
        <v>0</v>
      </c>
      <c r="M167" s="3">
        <v>0</v>
      </c>
      <c r="N167" s="173">
        <v>0</v>
      </c>
      <c r="O167" s="154">
        <f t="shared" si="16"/>
        <v>3196877</v>
      </c>
      <c r="P167" s="3">
        <f t="shared" si="17"/>
        <v>2846633</v>
      </c>
      <c r="Q167" s="3">
        <f t="shared" si="18"/>
        <v>354840</v>
      </c>
      <c r="R167" s="3">
        <f t="shared" si="19"/>
        <v>87399</v>
      </c>
      <c r="S167" s="3">
        <f t="shared" si="20"/>
        <v>2404394</v>
      </c>
      <c r="T167" s="3">
        <f t="shared" si="21"/>
        <v>0</v>
      </c>
      <c r="U167" s="3">
        <v>0</v>
      </c>
      <c r="V167" s="3">
        <v>0</v>
      </c>
      <c r="W167" s="175">
        <f t="shared" si="22"/>
        <v>128675.97</v>
      </c>
      <c r="X167" s="175">
        <f t="shared" si="22"/>
        <v>0</v>
      </c>
      <c r="Z167" s="2">
        <f>[2]credits!$M167-U167</f>
        <v>18989.97</v>
      </c>
      <c r="AA167" s="2">
        <f>[2]credits!$O167-V167</f>
        <v>4677.3100000000004</v>
      </c>
      <c r="AB167" s="2">
        <f>[2]credits!$Q167-W167</f>
        <v>2.9999999998835847E-2</v>
      </c>
      <c r="AC167" s="2">
        <f>[2]credits!$S167-X167</f>
        <v>0</v>
      </c>
    </row>
    <row r="168" spans="1:29" ht="15" x14ac:dyDescent="0.25">
      <c r="A168" s="5">
        <v>533</v>
      </c>
      <c r="B168" s="5">
        <v>1</v>
      </c>
      <c r="C168" s="2" t="s">
        <v>165</v>
      </c>
      <c r="D168" s="3">
        <v>112835.15</v>
      </c>
      <c r="E168" s="3">
        <v>103566.83</v>
      </c>
      <c r="F168" s="171">
        <v>69563</v>
      </c>
      <c r="G168" s="171">
        <v>119059</v>
      </c>
      <c r="H168" s="171">
        <v>0</v>
      </c>
      <c r="I168" s="171">
        <v>265839</v>
      </c>
      <c r="J168" s="172">
        <v>19559</v>
      </c>
      <c r="K168" s="171">
        <v>1076562</v>
      </c>
      <c r="L168" s="171">
        <v>150680</v>
      </c>
      <c r="M168" s="3">
        <v>0</v>
      </c>
      <c r="N168" s="173">
        <v>0</v>
      </c>
      <c r="O168" s="154">
        <f t="shared" si="16"/>
        <v>1701262</v>
      </c>
      <c r="P168" s="3">
        <f t="shared" si="17"/>
        <v>1512640</v>
      </c>
      <c r="Q168" s="3">
        <f t="shared" si="18"/>
        <v>265839</v>
      </c>
      <c r="R168" s="3">
        <f t="shared" si="19"/>
        <v>19559</v>
      </c>
      <c r="S168" s="3">
        <f t="shared" si="20"/>
        <v>1227242</v>
      </c>
      <c r="T168" s="3">
        <f t="shared" si="21"/>
        <v>0</v>
      </c>
      <c r="U168" s="3">
        <v>0</v>
      </c>
      <c r="V168" s="3">
        <v>0</v>
      </c>
      <c r="W168" s="175">
        <f t="shared" si="22"/>
        <v>84026.31</v>
      </c>
      <c r="X168" s="175">
        <f t="shared" si="22"/>
        <v>0</v>
      </c>
      <c r="Z168" s="2">
        <f>[2]credits!$M168-U168</f>
        <v>17940.84</v>
      </c>
      <c r="AA168" s="2">
        <f>[2]credits!$O168-V168</f>
        <v>1319.97</v>
      </c>
      <c r="AB168" s="2">
        <f>[2]credits!$Q168-W168</f>
        <v>279.69999999999709</v>
      </c>
      <c r="AC168" s="2">
        <f>[2]credits!$S168-X168</f>
        <v>0</v>
      </c>
    </row>
    <row r="169" spans="1:29" ht="15" x14ac:dyDescent="0.25">
      <c r="A169" s="5">
        <v>534</v>
      </c>
      <c r="B169" s="5">
        <v>1</v>
      </c>
      <c r="C169" s="2" t="s">
        <v>166</v>
      </c>
      <c r="D169" s="3">
        <v>155749.57</v>
      </c>
      <c r="E169" s="3">
        <v>164201.64000000001</v>
      </c>
      <c r="F169" s="171">
        <v>1072773</v>
      </c>
      <c r="G169" s="171">
        <v>158006</v>
      </c>
      <c r="H169" s="171">
        <v>0</v>
      </c>
      <c r="I169" s="171">
        <v>778090</v>
      </c>
      <c r="J169" s="172">
        <v>111524</v>
      </c>
      <c r="K169" s="171">
        <v>1154311</v>
      </c>
      <c r="L169" s="171">
        <v>360930</v>
      </c>
      <c r="M169" s="3">
        <v>0</v>
      </c>
      <c r="N169" s="173">
        <v>0</v>
      </c>
      <c r="O169" s="154">
        <f t="shared" si="16"/>
        <v>3635634</v>
      </c>
      <c r="P169" s="3">
        <f t="shared" si="17"/>
        <v>2404855</v>
      </c>
      <c r="Q169" s="3">
        <f t="shared" si="18"/>
        <v>778090</v>
      </c>
      <c r="R169" s="3">
        <f t="shared" si="19"/>
        <v>111524</v>
      </c>
      <c r="S169" s="3">
        <f t="shared" si="20"/>
        <v>1515241</v>
      </c>
      <c r="T169" s="3">
        <f t="shared" si="21"/>
        <v>0</v>
      </c>
      <c r="U169" s="3">
        <v>0</v>
      </c>
      <c r="V169" s="3">
        <v>0</v>
      </c>
      <c r="W169" s="175">
        <f t="shared" si="22"/>
        <v>103459.48</v>
      </c>
      <c r="X169" s="175">
        <f t="shared" si="22"/>
        <v>0</v>
      </c>
      <c r="Z169" s="2">
        <f>[2]credits!$M169-U169</f>
        <v>51006.39</v>
      </c>
      <c r="AA169" s="2">
        <f>[2]credits!$O169-V169</f>
        <v>7310.78</v>
      </c>
      <c r="AB169" s="2">
        <f>[2]credits!$Q169-W169</f>
        <v>2424.9900000000052</v>
      </c>
      <c r="AC169" s="2">
        <f>[2]credits!$S169-X169</f>
        <v>0</v>
      </c>
    </row>
    <row r="170" spans="1:29" ht="15" x14ac:dyDescent="0.25">
      <c r="A170" s="5">
        <v>535</v>
      </c>
      <c r="B170" s="5">
        <v>1</v>
      </c>
      <c r="C170" s="2" t="s">
        <v>167</v>
      </c>
      <c r="D170" s="3">
        <v>1256839.6100000001</v>
      </c>
      <c r="E170" s="3">
        <v>1316229.21</v>
      </c>
      <c r="F170" s="171">
        <v>8437595</v>
      </c>
      <c r="G170" s="171">
        <v>2513948</v>
      </c>
      <c r="H170" s="171">
        <v>0</v>
      </c>
      <c r="I170" s="171">
        <v>15314150</v>
      </c>
      <c r="J170" s="172">
        <v>1673782</v>
      </c>
      <c r="K170" s="171">
        <v>5615236</v>
      </c>
      <c r="L170" s="171">
        <v>4021127</v>
      </c>
      <c r="M170" s="3">
        <v>0</v>
      </c>
      <c r="N170" s="173">
        <v>0</v>
      </c>
      <c r="O170" s="154">
        <f t="shared" si="16"/>
        <v>37575838</v>
      </c>
      <c r="P170" s="3">
        <f t="shared" si="17"/>
        <v>26624295</v>
      </c>
      <c r="Q170" s="3">
        <f t="shared" si="18"/>
        <v>15314150</v>
      </c>
      <c r="R170" s="3">
        <f t="shared" si="19"/>
        <v>1673782</v>
      </c>
      <c r="S170" s="3">
        <f t="shared" si="20"/>
        <v>9636363</v>
      </c>
      <c r="T170" s="3">
        <f t="shared" si="21"/>
        <v>0</v>
      </c>
      <c r="U170" s="3">
        <v>0</v>
      </c>
      <c r="V170" s="3">
        <v>0</v>
      </c>
      <c r="W170" s="175">
        <f t="shared" si="22"/>
        <v>476394.3</v>
      </c>
      <c r="X170" s="175">
        <f t="shared" si="22"/>
        <v>0</v>
      </c>
      <c r="Z170" s="2">
        <f>[2]credits!$M170-U170</f>
        <v>755805.95</v>
      </c>
      <c r="AA170" s="2">
        <f>[2]credits!$O170-V170</f>
        <v>82606.899999999994</v>
      </c>
      <c r="AB170" s="2">
        <f>[2]credits!$Q170-W170</f>
        <v>1422.070000000007</v>
      </c>
      <c r="AC170" s="2">
        <f>[2]credits!$S170-X170</f>
        <v>0</v>
      </c>
    </row>
    <row r="171" spans="1:29" ht="15" x14ac:dyDescent="0.25">
      <c r="A171" s="5">
        <v>542</v>
      </c>
      <c r="B171" s="5">
        <v>1</v>
      </c>
      <c r="C171" s="2" t="s">
        <v>168</v>
      </c>
      <c r="D171" s="3">
        <v>37818.239999999998</v>
      </c>
      <c r="E171" s="3">
        <v>37060.800000000003</v>
      </c>
      <c r="F171" s="171">
        <v>0</v>
      </c>
      <c r="G171" s="171">
        <v>99445.66</v>
      </c>
      <c r="H171" s="171">
        <v>0</v>
      </c>
      <c r="I171" s="171">
        <v>251070.36</v>
      </c>
      <c r="J171" s="172">
        <v>61069.65</v>
      </c>
      <c r="K171" s="171">
        <v>588801.59</v>
      </c>
      <c r="L171" s="171">
        <v>0</v>
      </c>
      <c r="M171" s="3">
        <v>0</v>
      </c>
      <c r="N171" s="173">
        <v>0</v>
      </c>
      <c r="O171" s="154">
        <f t="shared" si="16"/>
        <v>1000387.26</v>
      </c>
      <c r="P171" s="3">
        <f t="shared" si="17"/>
        <v>900941.6</v>
      </c>
      <c r="Q171" s="3">
        <f t="shared" si="18"/>
        <v>251070.36</v>
      </c>
      <c r="R171" s="3">
        <f t="shared" si="19"/>
        <v>61069.65</v>
      </c>
      <c r="S171" s="3">
        <f t="shared" si="20"/>
        <v>588801.59</v>
      </c>
      <c r="T171" s="3">
        <f t="shared" si="21"/>
        <v>0</v>
      </c>
      <c r="U171" s="3">
        <v>0</v>
      </c>
      <c r="V171" s="3">
        <v>0</v>
      </c>
      <c r="W171" s="175">
        <f t="shared" si="22"/>
        <v>24220.720000000001</v>
      </c>
      <c r="X171" s="175">
        <f t="shared" si="22"/>
        <v>0</v>
      </c>
      <c r="Z171" s="2">
        <f>[2]credits!$M171-U171</f>
        <v>10327.94</v>
      </c>
      <c r="AA171" s="2">
        <f>[2]credits!$O171-V171</f>
        <v>2512.14</v>
      </c>
      <c r="AB171" s="2">
        <f>[2]credits!$Q171-W171</f>
        <v>0</v>
      </c>
      <c r="AC171" s="2">
        <f>[2]credits!$S171-X171</f>
        <v>0</v>
      </c>
    </row>
    <row r="172" spans="1:29" ht="15" x14ac:dyDescent="0.25">
      <c r="A172" s="5">
        <v>544</v>
      </c>
      <c r="B172" s="5">
        <v>1</v>
      </c>
      <c r="C172" s="2" t="s">
        <v>169</v>
      </c>
      <c r="D172" s="3">
        <v>403719.71000000008</v>
      </c>
      <c r="E172" s="3">
        <v>405392.49</v>
      </c>
      <c r="F172" s="171">
        <v>1075444.6000000001</v>
      </c>
      <c r="G172" s="171">
        <v>431913.46</v>
      </c>
      <c r="H172" s="171">
        <v>0</v>
      </c>
      <c r="I172" s="171">
        <v>1415984.86</v>
      </c>
      <c r="J172" s="172">
        <v>219813.71</v>
      </c>
      <c r="K172" s="171">
        <v>2830089.85</v>
      </c>
      <c r="L172" s="171">
        <v>182669.13</v>
      </c>
      <c r="M172" s="3">
        <v>0</v>
      </c>
      <c r="N172" s="173">
        <v>0</v>
      </c>
      <c r="O172" s="154">
        <f t="shared" si="16"/>
        <v>6155915.6100000003</v>
      </c>
      <c r="P172" s="3">
        <f t="shared" si="17"/>
        <v>4648557.55</v>
      </c>
      <c r="Q172" s="3">
        <f t="shared" si="18"/>
        <v>1415984.86</v>
      </c>
      <c r="R172" s="3">
        <f t="shared" si="19"/>
        <v>219813.71</v>
      </c>
      <c r="S172" s="3">
        <f t="shared" si="20"/>
        <v>3012758.98</v>
      </c>
      <c r="T172" s="3">
        <f t="shared" si="21"/>
        <v>0</v>
      </c>
      <c r="U172" s="3">
        <v>0</v>
      </c>
      <c r="V172" s="3">
        <v>0</v>
      </c>
      <c r="W172" s="175">
        <f t="shared" si="22"/>
        <v>262737.39</v>
      </c>
      <c r="X172" s="175">
        <f t="shared" si="22"/>
        <v>0</v>
      </c>
      <c r="Z172" s="2">
        <f>[2]credits!$M172-U172</f>
        <v>123485.54</v>
      </c>
      <c r="AA172" s="2">
        <f>[2]credits!$O172-V172</f>
        <v>19169.57</v>
      </c>
      <c r="AB172" s="2">
        <f>[2]credits!$Q172-W172</f>
        <v>0</v>
      </c>
      <c r="AC172" s="2">
        <f>[2]credits!$S172-X172</f>
        <v>0</v>
      </c>
    </row>
    <row r="173" spans="1:29" ht="15" x14ac:dyDescent="0.25">
      <c r="A173" s="5">
        <v>545</v>
      </c>
      <c r="B173" s="5">
        <v>1</v>
      </c>
      <c r="C173" s="2" t="s">
        <v>170</v>
      </c>
      <c r="D173" s="3">
        <v>56905.5</v>
      </c>
      <c r="E173" s="3">
        <v>57192.27</v>
      </c>
      <c r="F173" s="171">
        <v>448578.04</v>
      </c>
      <c r="G173" s="171">
        <v>32644.23</v>
      </c>
      <c r="H173" s="171">
        <v>0</v>
      </c>
      <c r="I173" s="171">
        <v>181973.43</v>
      </c>
      <c r="J173" s="172">
        <v>41715.39</v>
      </c>
      <c r="K173" s="171">
        <v>401539.38</v>
      </c>
      <c r="L173" s="171">
        <v>0</v>
      </c>
      <c r="M173" s="3">
        <v>0</v>
      </c>
      <c r="N173" s="173">
        <v>0</v>
      </c>
      <c r="O173" s="154">
        <f t="shared" si="16"/>
        <v>1106450.47</v>
      </c>
      <c r="P173" s="3">
        <f t="shared" si="17"/>
        <v>625228.19999999995</v>
      </c>
      <c r="Q173" s="3">
        <f t="shared" si="18"/>
        <v>181973.43</v>
      </c>
      <c r="R173" s="3">
        <f t="shared" si="19"/>
        <v>41715.39</v>
      </c>
      <c r="S173" s="3">
        <f t="shared" si="20"/>
        <v>401539.38</v>
      </c>
      <c r="T173" s="3">
        <f t="shared" si="21"/>
        <v>0</v>
      </c>
      <c r="U173" s="3">
        <v>0</v>
      </c>
      <c r="V173" s="3">
        <v>0</v>
      </c>
      <c r="W173" s="175">
        <f t="shared" si="22"/>
        <v>36730.51</v>
      </c>
      <c r="X173" s="175">
        <f t="shared" si="22"/>
        <v>0</v>
      </c>
      <c r="Z173" s="2">
        <f>[2]credits!$M173-U173</f>
        <v>16645.88</v>
      </c>
      <c r="AA173" s="2">
        <f>[2]credits!$O173-V173</f>
        <v>3815.88</v>
      </c>
      <c r="AB173" s="2">
        <f>[2]credits!$Q173-W173</f>
        <v>0</v>
      </c>
      <c r="AC173" s="2">
        <f>[2]credits!$S173-X173</f>
        <v>0</v>
      </c>
    </row>
    <row r="174" spans="1:29" ht="15" x14ac:dyDescent="0.25">
      <c r="A174" s="5">
        <v>547</v>
      </c>
      <c r="B174" s="5">
        <v>1</v>
      </c>
      <c r="C174" s="2" t="s">
        <v>171</v>
      </c>
      <c r="D174" s="3">
        <v>62478.03</v>
      </c>
      <c r="E174" s="3">
        <v>58325.21</v>
      </c>
      <c r="F174" s="171">
        <v>537547.69999999995</v>
      </c>
      <c r="G174" s="171">
        <v>38681.79</v>
      </c>
      <c r="H174" s="171">
        <v>0</v>
      </c>
      <c r="I174" s="171">
        <v>115586</v>
      </c>
      <c r="J174" s="172">
        <v>56889.37</v>
      </c>
      <c r="K174" s="171">
        <v>306661.90000000002</v>
      </c>
      <c r="L174" s="171">
        <v>88098.4</v>
      </c>
      <c r="M174" s="3">
        <v>0</v>
      </c>
      <c r="N174" s="173">
        <v>0</v>
      </c>
      <c r="O174" s="154">
        <f t="shared" si="16"/>
        <v>1143465.1599999999</v>
      </c>
      <c r="P174" s="3">
        <f t="shared" si="17"/>
        <v>567235.67000000004</v>
      </c>
      <c r="Q174" s="3">
        <f t="shared" si="18"/>
        <v>115586</v>
      </c>
      <c r="R174" s="3">
        <f t="shared" si="19"/>
        <v>56889.37</v>
      </c>
      <c r="S174" s="3">
        <f t="shared" si="20"/>
        <v>394760.30000000005</v>
      </c>
      <c r="T174" s="3">
        <f t="shared" si="21"/>
        <v>0</v>
      </c>
      <c r="U174" s="3">
        <v>0</v>
      </c>
      <c r="V174" s="3">
        <v>0</v>
      </c>
      <c r="W174" s="175">
        <f t="shared" si="22"/>
        <v>40590.67</v>
      </c>
      <c r="X174" s="175">
        <f t="shared" si="22"/>
        <v>0</v>
      </c>
      <c r="Z174" s="2">
        <f>[2]credits!$M174-U174</f>
        <v>11884.97</v>
      </c>
      <c r="AA174" s="2">
        <f>[2]credits!$O174-V174</f>
        <v>5849.57</v>
      </c>
      <c r="AB174" s="2">
        <f>[2]credits!$Q174-W174</f>
        <v>0</v>
      </c>
      <c r="AC174" s="2">
        <f>[2]credits!$S174-X174</f>
        <v>0</v>
      </c>
    </row>
    <row r="175" spans="1:29" ht="15" x14ac:dyDescent="0.25">
      <c r="A175" s="5">
        <v>548</v>
      </c>
      <c r="B175" s="5">
        <v>1</v>
      </c>
      <c r="C175" s="2" t="s">
        <v>172</v>
      </c>
      <c r="D175" s="3">
        <v>43968.57</v>
      </c>
      <c r="E175" s="3">
        <v>44951.160000000011</v>
      </c>
      <c r="F175" s="171">
        <v>0</v>
      </c>
      <c r="G175" s="171">
        <v>186859.97</v>
      </c>
      <c r="H175" s="171">
        <v>0</v>
      </c>
      <c r="I175" s="171">
        <v>323314.96999999997</v>
      </c>
      <c r="J175" s="172">
        <v>105509.15</v>
      </c>
      <c r="K175" s="171">
        <v>0</v>
      </c>
      <c r="L175" s="171">
        <v>276990</v>
      </c>
      <c r="M175" s="3">
        <v>0</v>
      </c>
      <c r="N175" s="173">
        <v>137617</v>
      </c>
      <c r="O175" s="154">
        <f t="shared" si="16"/>
        <v>1030291.09</v>
      </c>
      <c r="P175" s="3">
        <f t="shared" si="17"/>
        <v>843431.12</v>
      </c>
      <c r="Q175" s="3">
        <f t="shared" si="18"/>
        <v>323314.96999999997</v>
      </c>
      <c r="R175" s="3">
        <f t="shared" si="19"/>
        <v>105509.15</v>
      </c>
      <c r="S175" s="3">
        <f t="shared" si="20"/>
        <v>276990</v>
      </c>
      <c r="T175" s="3">
        <f t="shared" si="21"/>
        <v>137617</v>
      </c>
      <c r="U175" s="3">
        <v>0</v>
      </c>
      <c r="V175" s="3">
        <v>0</v>
      </c>
      <c r="W175" s="175">
        <f t="shared" si="22"/>
        <v>14762.35</v>
      </c>
      <c r="X175" s="175">
        <f t="shared" si="22"/>
        <v>7334.38</v>
      </c>
      <c r="Z175" s="2">
        <f>[2]credits!$M175-U175</f>
        <v>17231.259999999998</v>
      </c>
      <c r="AA175" s="2">
        <f>[2]credits!$O175-V175</f>
        <v>5623.17</v>
      </c>
      <c r="AB175" s="2">
        <f>[2]credits!$Q175-W175</f>
        <v>0</v>
      </c>
      <c r="AC175" s="2">
        <f>[2]credits!$S175-X175</f>
        <v>0</v>
      </c>
    </row>
    <row r="176" spans="1:29" ht="15" x14ac:dyDescent="0.25">
      <c r="A176" s="5">
        <v>549</v>
      </c>
      <c r="B176" s="5">
        <v>1</v>
      </c>
      <c r="C176" s="2" t="s">
        <v>173</v>
      </c>
      <c r="D176" s="3">
        <v>133871.97999999998</v>
      </c>
      <c r="E176" s="3">
        <v>131184.09</v>
      </c>
      <c r="F176" s="171">
        <v>0</v>
      </c>
      <c r="G176" s="171">
        <v>257858.01</v>
      </c>
      <c r="H176" s="171">
        <v>0</v>
      </c>
      <c r="I176" s="171">
        <v>781152.94</v>
      </c>
      <c r="J176" s="172">
        <v>136138.28</v>
      </c>
      <c r="K176" s="171">
        <v>965609.21</v>
      </c>
      <c r="L176" s="171">
        <v>213576.87</v>
      </c>
      <c r="M176" s="3">
        <v>0</v>
      </c>
      <c r="N176" s="173">
        <v>98438</v>
      </c>
      <c r="O176" s="154">
        <f t="shared" si="16"/>
        <v>2452773.31</v>
      </c>
      <c r="P176" s="3">
        <f t="shared" si="17"/>
        <v>2194915.2999999998</v>
      </c>
      <c r="Q176" s="3">
        <f t="shared" si="18"/>
        <v>781152.94</v>
      </c>
      <c r="R176" s="3">
        <f t="shared" si="19"/>
        <v>136138.28</v>
      </c>
      <c r="S176" s="3">
        <f t="shared" si="20"/>
        <v>1179186.08</v>
      </c>
      <c r="T176" s="3">
        <f t="shared" si="21"/>
        <v>98438</v>
      </c>
      <c r="U176" s="3">
        <v>0</v>
      </c>
      <c r="V176" s="3">
        <v>0</v>
      </c>
      <c r="W176" s="175">
        <f t="shared" si="22"/>
        <v>70476.73</v>
      </c>
      <c r="X176" s="175">
        <f t="shared" si="22"/>
        <v>5883.37</v>
      </c>
      <c r="Z176" s="2">
        <f>[2]credits!$M176-U176</f>
        <v>46687.38</v>
      </c>
      <c r="AA176" s="2">
        <f>[2]credits!$O176-V176</f>
        <v>8136.61</v>
      </c>
      <c r="AB176" s="2">
        <f>[2]credits!$Q176-W176</f>
        <v>0</v>
      </c>
      <c r="AC176" s="2">
        <f>[2]credits!$S176-X176</f>
        <v>0</v>
      </c>
    </row>
    <row r="177" spans="1:29" ht="15" x14ac:dyDescent="0.25">
      <c r="A177" s="5">
        <v>550</v>
      </c>
      <c r="B177" s="5">
        <v>1</v>
      </c>
      <c r="C177" s="2" t="s">
        <v>174</v>
      </c>
      <c r="D177" s="3">
        <v>78856.33</v>
      </c>
      <c r="E177" s="3">
        <v>73417.52</v>
      </c>
      <c r="F177" s="171">
        <v>0</v>
      </c>
      <c r="G177" s="171">
        <v>60687.07</v>
      </c>
      <c r="H177" s="171">
        <v>0</v>
      </c>
      <c r="I177" s="171">
        <v>55961.01</v>
      </c>
      <c r="J177" s="172">
        <v>30785.06</v>
      </c>
      <c r="K177" s="171">
        <v>541634.35</v>
      </c>
      <c r="L177" s="171">
        <v>101519.66</v>
      </c>
      <c r="M177" s="3">
        <v>0</v>
      </c>
      <c r="N177" s="173">
        <v>0</v>
      </c>
      <c r="O177" s="154">
        <f t="shared" si="16"/>
        <v>790587.15</v>
      </c>
      <c r="P177" s="3">
        <f t="shared" si="17"/>
        <v>729900.08</v>
      </c>
      <c r="Q177" s="3">
        <f t="shared" si="18"/>
        <v>55961.01</v>
      </c>
      <c r="R177" s="3">
        <f t="shared" si="19"/>
        <v>30785.06</v>
      </c>
      <c r="S177" s="3">
        <f t="shared" si="20"/>
        <v>643154.01</v>
      </c>
      <c r="T177" s="3">
        <f t="shared" si="21"/>
        <v>0</v>
      </c>
      <c r="U177" s="3">
        <v>0</v>
      </c>
      <c r="V177" s="3">
        <v>0</v>
      </c>
      <c r="W177" s="175">
        <f t="shared" si="22"/>
        <v>64692.1</v>
      </c>
      <c r="X177" s="175">
        <f t="shared" si="22"/>
        <v>0</v>
      </c>
      <c r="Z177" s="2">
        <f>[2]credits!$M177-U177</f>
        <v>5628.88</v>
      </c>
      <c r="AA177" s="2">
        <f>[2]credits!$O177-V177</f>
        <v>3096.54</v>
      </c>
      <c r="AB177" s="2">
        <f>[2]credits!$Q177-W177</f>
        <v>0</v>
      </c>
      <c r="AC177" s="2">
        <f>[2]credits!$S177-X177</f>
        <v>0</v>
      </c>
    </row>
    <row r="178" spans="1:29" ht="15" x14ac:dyDescent="0.25">
      <c r="A178" s="5">
        <v>553</v>
      </c>
      <c r="B178" s="5">
        <v>1</v>
      </c>
      <c r="C178" s="2" t="s">
        <v>175</v>
      </c>
      <c r="D178" s="3">
        <v>118347.02000000002</v>
      </c>
      <c r="E178" s="3">
        <v>122585.01</v>
      </c>
      <c r="F178" s="171">
        <v>161210.74</v>
      </c>
      <c r="G178" s="171">
        <v>59067.05</v>
      </c>
      <c r="H178" s="171">
        <v>0</v>
      </c>
      <c r="I178" s="171">
        <v>82217.69</v>
      </c>
      <c r="J178" s="172">
        <v>39392.53</v>
      </c>
      <c r="K178" s="171">
        <v>609137.72</v>
      </c>
      <c r="L178" s="171">
        <v>71311.61</v>
      </c>
      <c r="M178" s="3">
        <v>0</v>
      </c>
      <c r="N178" s="173">
        <v>0</v>
      </c>
      <c r="O178" s="154">
        <f t="shared" si="16"/>
        <v>1022337.34</v>
      </c>
      <c r="P178" s="3">
        <f t="shared" si="17"/>
        <v>802059.54999999993</v>
      </c>
      <c r="Q178" s="3">
        <f t="shared" si="18"/>
        <v>82217.69</v>
      </c>
      <c r="R178" s="3">
        <f t="shared" si="19"/>
        <v>39392.53</v>
      </c>
      <c r="S178" s="3">
        <f t="shared" si="20"/>
        <v>680449.33</v>
      </c>
      <c r="T178" s="3">
        <f t="shared" si="21"/>
        <v>0</v>
      </c>
      <c r="U178" s="3">
        <v>0</v>
      </c>
      <c r="V178" s="3">
        <v>0</v>
      </c>
      <c r="W178" s="175">
        <f t="shared" si="22"/>
        <v>103998.37</v>
      </c>
      <c r="X178" s="175">
        <f t="shared" si="22"/>
        <v>0</v>
      </c>
      <c r="Z178" s="2">
        <f>[2]credits!$M178-U178</f>
        <v>12565.97</v>
      </c>
      <c r="AA178" s="2">
        <f>[2]credits!$O178-V178</f>
        <v>6020.67</v>
      </c>
      <c r="AB178" s="2">
        <f>[2]credits!$Q178-W178</f>
        <v>0</v>
      </c>
      <c r="AC178" s="2">
        <f>[2]credits!$S178-X178</f>
        <v>0</v>
      </c>
    </row>
    <row r="179" spans="1:29" ht="15" x14ac:dyDescent="0.25">
      <c r="A179" s="5">
        <v>561</v>
      </c>
      <c r="B179" s="5">
        <v>1</v>
      </c>
      <c r="C179" s="2" t="s">
        <v>176</v>
      </c>
      <c r="D179" s="3">
        <v>19379.36</v>
      </c>
      <c r="E179" s="3">
        <v>18918.7</v>
      </c>
      <c r="F179" s="171">
        <v>115690.67</v>
      </c>
      <c r="G179" s="171">
        <v>3155.31</v>
      </c>
      <c r="H179" s="171">
        <v>0</v>
      </c>
      <c r="I179" s="171">
        <v>42722.37</v>
      </c>
      <c r="J179" s="172">
        <v>12365.41</v>
      </c>
      <c r="K179" s="171">
        <v>0</v>
      </c>
      <c r="L179" s="171">
        <v>0</v>
      </c>
      <c r="M179" s="3">
        <v>0</v>
      </c>
      <c r="N179" s="173">
        <v>0</v>
      </c>
      <c r="O179" s="154">
        <f t="shared" si="16"/>
        <v>173933.76</v>
      </c>
      <c r="P179" s="3">
        <f t="shared" si="17"/>
        <v>55087.78</v>
      </c>
      <c r="Q179" s="3">
        <f t="shared" si="18"/>
        <v>42722.37</v>
      </c>
      <c r="R179" s="3">
        <f t="shared" si="19"/>
        <v>12365.41</v>
      </c>
      <c r="S179" s="3">
        <f t="shared" si="20"/>
        <v>0</v>
      </c>
      <c r="T179" s="3">
        <f t="shared" si="21"/>
        <v>0</v>
      </c>
      <c r="U179" s="3">
        <v>0</v>
      </c>
      <c r="V179" s="3">
        <v>0</v>
      </c>
      <c r="W179" s="175">
        <f t="shared" si="22"/>
        <v>0</v>
      </c>
      <c r="X179" s="175">
        <f t="shared" si="22"/>
        <v>0</v>
      </c>
      <c r="Z179" s="2">
        <f>[2]credits!$M179-U179</f>
        <v>14672.07</v>
      </c>
      <c r="AA179" s="2">
        <f>[2]credits!$O179-V179</f>
        <v>4246.63</v>
      </c>
      <c r="AB179" s="2">
        <f>[2]credits!$Q179-W179</f>
        <v>0</v>
      </c>
      <c r="AC179" s="2">
        <f>[2]credits!$S179-X179</f>
        <v>0</v>
      </c>
    </row>
    <row r="180" spans="1:29" ht="15" x14ac:dyDescent="0.25">
      <c r="A180" s="5">
        <v>564</v>
      </c>
      <c r="B180" s="5">
        <v>1</v>
      </c>
      <c r="C180" s="2" t="s">
        <v>177</v>
      </c>
      <c r="D180" s="3">
        <v>309881.53999999998</v>
      </c>
      <c r="E180" s="3">
        <v>316545.39</v>
      </c>
      <c r="F180" s="171">
        <v>913328.56</v>
      </c>
      <c r="G180" s="171">
        <v>145958.14000000001</v>
      </c>
      <c r="H180" s="171">
        <v>0</v>
      </c>
      <c r="I180" s="171">
        <v>812476.25</v>
      </c>
      <c r="J180" s="172">
        <v>114851.4</v>
      </c>
      <c r="K180" s="171">
        <v>1566287.01</v>
      </c>
      <c r="L180" s="171">
        <v>0</v>
      </c>
      <c r="M180" s="3">
        <v>0</v>
      </c>
      <c r="N180" s="173">
        <v>247027</v>
      </c>
      <c r="O180" s="154">
        <f t="shared" si="16"/>
        <v>3799928.3600000003</v>
      </c>
      <c r="P180" s="3">
        <f t="shared" si="17"/>
        <v>2740641.66</v>
      </c>
      <c r="Q180" s="3">
        <f t="shared" si="18"/>
        <v>812476.25</v>
      </c>
      <c r="R180" s="3">
        <f t="shared" si="19"/>
        <v>114851.4</v>
      </c>
      <c r="S180" s="3">
        <f t="shared" si="20"/>
        <v>1566287.01</v>
      </c>
      <c r="T180" s="3">
        <f t="shared" si="21"/>
        <v>247027</v>
      </c>
      <c r="U180" s="3">
        <v>0</v>
      </c>
      <c r="V180" s="3">
        <v>0</v>
      </c>
      <c r="W180" s="175">
        <f t="shared" si="22"/>
        <v>180906.88</v>
      </c>
      <c r="X180" s="175">
        <f t="shared" si="22"/>
        <v>28531.73</v>
      </c>
      <c r="Z180" s="2">
        <f>[2]credits!$M180-U180</f>
        <v>93841.39</v>
      </c>
      <c r="AA180" s="2">
        <f>[2]credits!$O180-V180</f>
        <v>13265.39</v>
      </c>
      <c r="AB180" s="2">
        <f>[2]credits!$Q180-W180</f>
        <v>0</v>
      </c>
      <c r="AC180" s="2">
        <f>[2]credits!$S180-X180</f>
        <v>0</v>
      </c>
    </row>
    <row r="181" spans="1:29" ht="15" x14ac:dyDescent="0.25">
      <c r="A181" s="5">
        <v>577</v>
      </c>
      <c r="B181" s="5">
        <v>1</v>
      </c>
      <c r="C181" s="2" t="s">
        <v>178</v>
      </c>
      <c r="D181" s="3">
        <v>44817.65</v>
      </c>
      <c r="E181" s="3">
        <v>51398.600000000006</v>
      </c>
      <c r="F181" s="171">
        <v>52905.25</v>
      </c>
      <c r="G181" s="171">
        <v>64473.64</v>
      </c>
      <c r="H181" s="171">
        <v>0</v>
      </c>
      <c r="I181" s="171">
        <v>222694.96</v>
      </c>
      <c r="J181" s="172">
        <v>38869.620000000003</v>
      </c>
      <c r="K181" s="171">
        <v>292325.56</v>
      </c>
      <c r="L181" s="171">
        <v>0</v>
      </c>
      <c r="M181" s="3">
        <v>0</v>
      </c>
      <c r="N181" s="173">
        <v>0</v>
      </c>
      <c r="O181" s="154">
        <f t="shared" si="16"/>
        <v>671269.03</v>
      </c>
      <c r="P181" s="3">
        <f t="shared" si="17"/>
        <v>553890.14</v>
      </c>
      <c r="Q181" s="3">
        <f t="shared" si="18"/>
        <v>222694.96</v>
      </c>
      <c r="R181" s="3">
        <f t="shared" si="19"/>
        <v>38869.620000000003</v>
      </c>
      <c r="S181" s="3">
        <f t="shared" si="20"/>
        <v>292325.56</v>
      </c>
      <c r="T181" s="3">
        <f t="shared" si="21"/>
        <v>0</v>
      </c>
      <c r="U181" s="3">
        <v>0</v>
      </c>
      <c r="V181" s="3">
        <v>0</v>
      </c>
      <c r="W181" s="175">
        <f t="shared" si="22"/>
        <v>27126.54</v>
      </c>
      <c r="X181" s="175">
        <f t="shared" si="22"/>
        <v>0</v>
      </c>
      <c r="Z181" s="2">
        <f>[2]credits!$M181-U181</f>
        <v>20665.13</v>
      </c>
      <c r="AA181" s="2">
        <f>[2]credits!$O181-V181</f>
        <v>3606.93</v>
      </c>
      <c r="AB181" s="2">
        <f>[2]credits!$Q181-W181</f>
        <v>0</v>
      </c>
      <c r="AC181" s="2">
        <f>[2]credits!$S181-X181</f>
        <v>0</v>
      </c>
    </row>
    <row r="182" spans="1:29" ht="15" x14ac:dyDescent="0.25">
      <c r="A182" s="5">
        <v>578</v>
      </c>
      <c r="B182" s="5">
        <v>1</v>
      </c>
      <c r="C182" s="2" t="s">
        <v>179</v>
      </c>
      <c r="D182" s="3">
        <v>170439.38999999998</v>
      </c>
      <c r="E182" s="3">
        <v>180205.96000000002</v>
      </c>
      <c r="F182" s="171">
        <v>1336632.54</v>
      </c>
      <c r="G182" s="171">
        <v>153481.04999999999</v>
      </c>
      <c r="H182" s="171">
        <v>0</v>
      </c>
      <c r="I182" s="171">
        <v>604051.01</v>
      </c>
      <c r="J182" s="172">
        <v>132328.85</v>
      </c>
      <c r="K182" s="171">
        <v>614360.46</v>
      </c>
      <c r="L182" s="171">
        <v>405750.78</v>
      </c>
      <c r="M182" s="3">
        <v>0</v>
      </c>
      <c r="N182" s="173">
        <v>0</v>
      </c>
      <c r="O182" s="154">
        <f t="shared" si="16"/>
        <v>3246604.6900000004</v>
      </c>
      <c r="P182" s="3">
        <f t="shared" si="17"/>
        <v>1756491.0999999999</v>
      </c>
      <c r="Q182" s="3">
        <f t="shared" si="18"/>
        <v>604051.01</v>
      </c>
      <c r="R182" s="3">
        <f t="shared" si="19"/>
        <v>132328.85</v>
      </c>
      <c r="S182" s="3">
        <f t="shared" si="20"/>
        <v>1020111.24</v>
      </c>
      <c r="T182" s="3">
        <f t="shared" si="21"/>
        <v>0</v>
      </c>
      <c r="U182" s="3">
        <v>0</v>
      </c>
      <c r="V182" s="3">
        <v>0</v>
      </c>
      <c r="W182" s="175">
        <f t="shared" si="22"/>
        <v>104657.59</v>
      </c>
      <c r="X182" s="175">
        <f t="shared" si="22"/>
        <v>0</v>
      </c>
      <c r="Z182" s="2">
        <f>[2]credits!$M182-U182</f>
        <v>61972.19</v>
      </c>
      <c r="AA182" s="2">
        <f>[2]credits!$O182-V182</f>
        <v>13576.18</v>
      </c>
      <c r="AB182" s="2">
        <f>[2]credits!$Q182-W182</f>
        <v>0</v>
      </c>
      <c r="AC182" s="2">
        <f>[2]credits!$S182-X182</f>
        <v>0</v>
      </c>
    </row>
    <row r="183" spans="1:29" ht="15" x14ac:dyDescent="0.25">
      <c r="A183" s="5">
        <v>581</v>
      </c>
      <c r="B183" s="5">
        <v>1</v>
      </c>
      <c r="C183" s="2" t="s">
        <v>180</v>
      </c>
      <c r="D183" s="3">
        <v>40425.42</v>
      </c>
      <c r="E183" s="3">
        <v>40836.910000000003</v>
      </c>
      <c r="F183" s="171">
        <v>259854.75</v>
      </c>
      <c r="G183" s="171">
        <v>31849.72</v>
      </c>
      <c r="H183" s="171">
        <v>0</v>
      </c>
      <c r="I183" s="171">
        <v>134393.66</v>
      </c>
      <c r="J183" s="172">
        <v>32001.07</v>
      </c>
      <c r="K183" s="171">
        <v>53555.94</v>
      </c>
      <c r="L183" s="171">
        <v>0</v>
      </c>
      <c r="M183" s="3">
        <v>0</v>
      </c>
      <c r="N183" s="173">
        <v>0</v>
      </c>
      <c r="O183" s="154">
        <f t="shared" si="16"/>
        <v>511655.14</v>
      </c>
      <c r="P183" s="3">
        <f t="shared" si="17"/>
        <v>219950.67</v>
      </c>
      <c r="Q183" s="3">
        <f t="shared" si="18"/>
        <v>134393.66</v>
      </c>
      <c r="R183" s="3">
        <f t="shared" si="19"/>
        <v>32001.07</v>
      </c>
      <c r="S183" s="3">
        <f t="shared" si="20"/>
        <v>53555.94</v>
      </c>
      <c r="T183" s="3">
        <f t="shared" si="21"/>
        <v>0</v>
      </c>
      <c r="U183" s="3">
        <v>0</v>
      </c>
      <c r="V183" s="3">
        <v>0</v>
      </c>
      <c r="W183" s="175">
        <f t="shared" si="22"/>
        <v>9943.41</v>
      </c>
      <c r="X183" s="175">
        <f t="shared" si="22"/>
        <v>0</v>
      </c>
      <c r="Z183" s="2">
        <f>[2]credits!$M183-U183</f>
        <v>24952.06</v>
      </c>
      <c r="AA183" s="2">
        <f>[2]credits!$O183-V183</f>
        <v>5941.45</v>
      </c>
      <c r="AB183" s="2">
        <f>[2]credits!$Q183-W183</f>
        <v>0</v>
      </c>
      <c r="AC183" s="2">
        <f>[2]credits!$S183-X183</f>
        <v>0</v>
      </c>
    </row>
    <row r="184" spans="1:29" ht="15" x14ac:dyDescent="0.25">
      <c r="A184" s="5">
        <v>592</v>
      </c>
      <c r="B184" s="5">
        <v>1</v>
      </c>
      <c r="C184" s="2" t="s">
        <v>181</v>
      </c>
      <c r="D184" s="3">
        <v>8751.75</v>
      </c>
      <c r="E184" s="3">
        <v>6519.37</v>
      </c>
      <c r="F184" s="171">
        <v>137408.88</v>
      </c>
      <c r="G184" s="171">
        <v>6633.55</v>
      </c>
      <c r="H184" s="171">
        <v>0</v>
      </c>
      <c r="I184" s="171">
        <v>67275.25</v>
      </c>
      <c r="J184" s="172">
        <v>11907.86</v>
      </c>
      <c r="K184" s="171">
        <v>0</v>
      </c>
      <c r="L184" s="171">
        <v>0</v>
      </c>
      <c r="M184" s="3">
        <v>0</v>
      </c>
      <c r="N184" s="173">
        <v>0</v>
      </c>
      <c r="O184" s="154">
        <f t="shared" si="16"/>
        <v>223225.53999999998</v>
      </c>
      <c r="P184" s="3">
        <f t="shared" si="17"/>
        <v>79183.11</v>
      </c>
      <c r="Q184" s="3">
        <f t="shared" si="18"/>
        <v>67275.25</v>
      </c>
      <c r="R184" s="3">
        <f t="shared" si="19"/>
        <v>11907.86</v>
      </c>
      <c r="S184" s="3">
        <f t="shared" si="20"/>
        <v>0</v>
      </c>
      <c r="T184" s="3">
        <f t="shared" si="21"/>
        <v>0</v>
      </c>
      <c r="U184" s="3">
        <v>0</v>
      </c>
      <c r="V184" s="3">
        <v>0</v>
      </c>
      <c r="W184" s="175">
        <f t="shared" si="22"/>
        <v>0</v>
      </c>
      <c r="X184" s="175">
        <f t="shared" si="22"/>
        <v>0</v>
      </c>
      <c r="Z184" s="2">
        <f>[2]credits!$M184-U184</f>
        <v>5538.96</v>
      </c>
      <c r="AA184" s="2">
        <f>[2]credits!$O184-V184</f>
        <v>980.41</v>
      </c>
      <c r="AB184" s="2">
        <f>[2]credits!$Q184-W184</f>
        <v>0</v>
      </c>
      <c r="AC184" s="2">
        <f>[2]credits!$S184-X184</f>
        <v>0</v>
      </c>
    </row>
    <row r="185" spans="1:29" ht="15" x14ac:dyDescent="0.25">
      <c r="A185" s="5">
        <v>593</v>
      </c>
      <c r="B185" s="5">
        <v>1</v>
      </c>
      <c r="C185" s="2" t="s">
        <v>182</v>
      </c>
      <c r="D185" s="3">
        <v>115632.11000000002</v>
      </c>
      <c r="E185" s="3">
        <v>211843.47999999998</v>
      </c>
      <c r="F185" s="171">
        <v>443144.27</v>
      </c>
      <c r="G185" s="171">
        <v>100240.85</v>
      </c>
      <c r="H185" s="171">
        <v>0</v>
      </c>
      <c r="I185" s="171">
        <v>558838.41</v>
      </c>
      <c r="J185" s="172">
        <v>127567.48</v>
      </c>
      <c r="K185" s="171">
        <v>984705.76</v>
      </c>
      <c r="L185" s="171">
        <v>0</v>
      </c>
      <c r="M185" s="3">
        <v>0</v>
      </c>
      <c r="N185" s="173">
        <v>0</v>
      </c>
      <c r="O185" s="154">
        <f t="shared" si="16"/>
        <v>2214496.77</v>
      </c>
      <c r="P185" s="3">
        <f t="shared" si="17"/>
        <v>1671111.65</v>
      </c>
      <c r="Q185" s="3">
        <f t="shared" si="18"/>
        <v>558838.41</v>
      </c>
      <c r="R185" s="3">
        <f t="shared" si="19"/>
        <v>127567.48</v>
      </c>
      <c r="S185" s="3">
        <f t="shared" si="20"/>
        <v>984705.76</v>
      </c>
      <c r="T185" s="3">
        <f t="shared" si="21"/>
        <v>0</v>
      </c>
      <c r="U185" s="3">
        <v>0</v>
      </c>
      <c r="V185" s="3">
        <v>0</v>
      </c>
      <c r="W185" s="175">
        <f t="shared" si="22"/>
        <v>124829.18</v>
      </c>
      <c r="X185" s="175">
        <f t="shared" si="22"/>
        <v>0</v>
      </c>
      <c r="Z185" s="2">
        <f>[2]credits!$M185-U185</f>
        <v>70842.83</v>
      </c>
      <c r="AA185" s="2">
        <f>[2]credits!$O185-V185</f>
        <v>16171.47</v>
      </c>
      <c r="AB185" s="2">
        <f>[2]credits!$Q185-W185</f>
        <v>0</v>
      </c>
      <c r="AC185" s="2">
        <f>[2]credits!$S185-X185</f>
        <v>0</v>
      </c>
    </row>
    <row r="186" spans="1:29" ht="15" x14ac:dyDescent="0.25">
      <c r="A186" s="5">
        <v>595</v>
      </c>
      <c r="B186" s="5">
        <v>1</v>
      </c>
      <c r="C186" s="2" t="s">
        <v>183</v>
      </c>
      <c r="D186" s="3">
        <v>213537.83</v>
      </c>
      <c r="E186" s="3">
        <v>193328.4</v>
      </c>
      <c r="F186" s="171">
        <v>711191.11</v>
      </c>
      <c r="G186" s="171">
        <v>132695.16</v>
      </c>
      <c r="H186" s="171">
        <v>0</v>
      </c>
      <c r="I186" s="171">
        <v>518466.92</v>
      </c>
      <c r="J186" s="172">
        <v>109627.31</v>
      </c>
      <c r="K186" s="171">
        <v>0</v>
      </c>
      <c r="L186" s="171">
        <v>549081</v>
      </c>
      <c r="M186" s="3">
        <v>0</v>
      </c>
      <c r="N186" s="173">
        <v>0</v>
      </c>
      <c r="O186" s="154">
        <f t="shared" si="16"/>
        <v>2021061.5</v>
      </c>
      <c r="P186" s="3">
        <f t="shared" si="17"/>
        <v>1177175.23</v>
      </c>
      <c r="Q186" s="3">
        <f t="shared" si="18"/>
        <v>518466.92</v>
      </c>
      <c r="R186" s="3">
        <f t="shared" si="19"/>
        <v>109627.31</v>
      </c>
      <c r="S186" s="3">
        <f t="shared" si="20"/>
        <v>549081</v>
      </c>
      <c r="T186" s="3">
        <f t="shared" si="21"/>
        <v>0</v>
      </c>
      <c r="U186" s="3">
        <v>0</v>
      </c>
      <c r="V186" s="3">
        <v>0</v>
      </c>
      <c r="W186" s="175">
        <f t="shared" si="22"/>
        <v>90176</v>
      </c>
      <c r="X186" s="175">
        <f t="shared" si="22"/>
        <v>0</v>
      </c>
      <c r="Z186" s="2">
        <f>[2]credits!$M186-U186</f>
        <v>85148.22</v>
      </c>
      <c r="AA186" s="2">
        <f>[2]credits!$O186-V186</f>
        <v>18004.18</v>
      </c>
      <c r="AB186" s="2">
        <f>[2]credits!$Q186-W186</f>
        <v>0</v>
      </c>
      <c r="AC186" s="2">
        <f>[2]credits!$S186-X186</f>
        <v>0</v>
      </c>
    </row>
    <row r="187" spans="1:29" ht="15" x14ac:dyDescent="0.25">
      <c r="A187" s="5">
        <v>599</v>
      </c>
      <c r="B187" s="5">
        <v>1</v>
      </c>
      <c r="C187" s="2" t="s">
        <v>184</v>
      </c>
      <c r="D187" s="3">
        <v>21400.18</v>
      </c>
      <c r="E187" s="3">
        <v>22405.79</v>
      </c>
      <c r="F187" s="171">
        <v>432552.95</v>
      </c>
      <c r="G187" s="171">
        <v>35512.68</v>
      </c>
      <c r="H187" s="171">
        <v>0</v>
      </c>
      <c r="I187" s="171">
        <v>219901.7</v>
      </c>
      <c r="J187" s="172">
        <v>39382.949999999997</v>
      </c>
      <c r="K187" s="171">
        <v>0</v>
      </c>
      <c r="L187" s="171">
        <v>0</v>
      </c>
      <c r="M187" s="3">
        <v>0</v>
      </c>
      <c r="N187" s="173">
        <v>0</v>
      </c>
      <c r="O187" s="154">
        <f t="shared" si="16"/>
        <v>727350.28</v>
      </c>
      <c r="P187" s="3">
        <f t="shared" si="17"/>
        <v>259284.65000000002</v>
      </c>
      <c r="Q187" s="3">
        <f t="shared" si="18"/>
        <v>219901.7</v>
      </c>
      <c r="R187" s="3">
        <f t="shared" si="19"/>
        <v>39382.949999999997</v>
      </c>
      <c r="S187" s="3">
        <f t="shared" si="20"/>
        <v>0</v>
      </c>
      <c r="T187" s="3">
        <f t="shared" si="21"/>
        <v>0</v>
      </c>
      <c r="U187" s="3">
        <v>0</v>
      </c>
      <c r="V187" s="3">
        <v>0</v>
      </c>
      <c r="W187" s="175">
        <f t="shared" si="22"/>
        <v>0</v>
      </c>
      <c r="X187" s="175">
        <f t="shared" si="22"/>
        <v>0</v>
      </c>
      <c r="Z187" s="2">
        <f>[2]credits!$M187-U187</f>
        <v>19002.560000000001</v>
      </c>
      <c r="AA187" s="2">
        <f>[2]credits!$O187-V187</f>
        <v>3403.23</v>
      </c>
      <c r="AB187" s="2">
        <f>[2]credits!$Q187-W187</f>
        <v>0</v>
      </c>
      <c r="AC187" s="2">
        <f>[2]credits!$S187-X187</f>
        <v>0</v>
      </c>
    </row>
    <row r="188" spans="1:29" ht="15" x14ac:dyDescent="0.25">
      <c r="A188" s="5">
        <v>600</v>
      </c>
      <c r="B188" s="5">
        <v>1</v>
      </c>
      <c r="C188" s="2" t="s">
        <v>185</v>
      </c>
      <c r="D188" s="3">
        <v>17207.97</v>
      </c>
      <c r="E188" s="3">
        <v>16336.05</v>
      </c>
      <c r="F188" s="171">
        <v>71392.83</v>
      </c>
      <c r="G188" s="171">
        <v>17681.07</v>
      </c>
      <c r="H188" s="171">
        <v>0</v>
      </c>
      <c r="I188" s="171">
        <v>94461.51</v>
      </c>
      <c r="J188" s="172">
        <v>19012.080000000002</v>
      </c>
      <c r="K188" s="171">
        <v>252181.4</v>
      </c>
      <c r="L188" s="171">
        <v>0</v>
      </c>
      <c r="M188" s="3">
        <v>0</v>
      </c>
      <c r="N188" s="173">
        <v>0</v>
      </c>
      <c r="O188" s="154">
        <f t="shared" si="16"/>
        <v>454728.89</v>
      </c>
      <c r="P188" s="3">
        <f t="shared" si="17"/>
        <v>365654.99</v>
      </c>
      <c r="Q188" s="3">
        <f t="shared" si="18"/>
        <v>94461.51</v>
      </c>
      <c r="R188" s="3">
        <f t="shared" si="19"/>
        <v>19012.080000000002</v>
      </c>
      <c r="S188" s="3">
        <f t="shared" si="20"/>
        <v>252181.4</v>
      </c>
      <c r="T188" s="3">
        <f t="shared" si="21"/>
        <v>0</v>
      </c>
      <c r="U188" s="3">
        <v>0</v>
      </c>
      <c r="V188" s="3">
        <v>0</v>
      </c>
      <c r="W188" s="175">
        <f t="shared" si="22"/>
        <v>11266.49</v>
      </c>
      <c r="X188" s="175">
        <f t="shared" si="22"/>
        <v>0</v>
      </c>
      <c r="Z188" s="2">
        <f>[2]credits!$M188-U188</f>
        <v>4220.17</v>
      </c>
      <c r="AA188" s="2">
        <f>[2]credits!$O188-V188</f>
        <v>849.39</v>
      </c>
      <c r="AB188" s="2">
        <f>[2]credits!$Q188-W188</f>
        <v>0</v>
      </c>
      <c r="AC188" s="2">
        <f>[2]credits!$S188-X188</f>
        <v>0</v>
      </c>
    </row>
    <row r="189" spans="1:29" ht="15" x14ac:dyDescent="0.25">
      <c r="A189" s="5">
        <v>601</v>
      </c>
      <c r="B189" s="5">
        <v>1</v>
      </c>
      <c r="C189" s="2" t="s">
        <v>186</v>
      </c>
      <c r="D189" s="3">
        <v>84597.989999999991</v>
      </c>
      <c r="E189" s="3">
        <v>77923.320000000007</v>
      </c>
      <c r="F189" s="171">
        <v>233058.43</v>
      </c>
      <c r="G189" s="171">
        <v>28659.9</v>
      </c>
      <c r="H189" s="171">
        <v>0</v>
      </c>
      <c r="I189" s="171">
        <v>262114.85</v>
      </c>
      <c r="J189" s="172">
        <v>43230.400000000001</v>
      </c>
      <c r="K189" s="171">
        <v>370500.24</v>
      </c>
      <c r="L189" s="171">
        <v>0</v>
      </c>
      <c r="M189" s="3">
        <v>0</v>
      </c>
      <c r="N189" s="173">
        <v>0</v>
      </c>
      <c r="O189" s="154">
        <f t="shared" si="16"/>
        <v>937563.82</v>
      </c>
      <c r="P189" s="3">
        <f t="shared" si="17"/>
        <v>675845.49</v>
      </c>
      <c r="Q189" s="3">
        <f t="shared" si="18"/>
        <v>262114.85</v>
      </c>
      <c r="R189" s="3">
        <f t="shared" si="19"/>
        <v>43230.400000000001</v>
      </c>
      <c r="S189" s="3">
        <f t="shared" si="20"/>
        <v>370500.24</v>
      </c>
      <c r="T189" s="3">
        <f t="shared" si="21"/>
        <v>0</v>
      </c>
      <c r="U189" s="3">
        <v>0</v>
      </c>
      <c r="V189" s="3">
        <v>0</v>
      </c>
      <c r="W189" s="175">
        <f t="shared" si="22"/>
        <v>42717.760000000002</v>
      </c>
      <c r="X189" s="175">
        <f t="shared" si="22"/>
        <v>0</v>
      </c>
      <c r="Z189" s="2">
        <f>[2]credits!$M189-U189</f>
        <v>30005.59</v>
      </c>
      <c r="AA189" s="2">
        <f>[2]credits!$O189-V189</f>
        <v>4948.8</v>
      </c>
      <c r="AB189" s="2">
        <f>[2]credits!$Q189-W189</f>
        <v>251.16999999999825</v>
      </c>
      <c r="AC189" s="2">
        <f>[2]credits!$S189-X189</f>
        <v>0</v>
      </c>
    </row>
    <row r="190" spans="1:29" ht="15" x14ac:dyDescent="0.25">
      <c r="A190" s="5">
        <v>611</v>
      </c>
      <c r="B190" s="5">
        <v>1</v>
      </c>
      <c r="C190" s="2" t="s">
        <v>187</v>
      </c>
      <c r="D190" s="3">
        <v>9912.33</v>
      </c>
      <c r="E190" s="3">
        <v>5555.04</v>
      </c>
      <c r="F190" s="171">
        <v>32608</v>
      </c>
      <c r="G190" s="171">
        <v>3691</v>
      </c>
      <c r="H190" s="171">
        <v>0</v>
      </c>
      <c r="I190" s="171">
        <v>21180</v>
      </c>
      <c r="J190" s="172">
        <v>17245</v>
      </c>
      <c r="K190" s="171">
        <v>0</v>
      </c>
      <c r="L190" s="171">
        <v>0</v>
      </c>
      <c r="M190" s="3">
        <v>0</v>
      </c>
      <c r="N190" s="173">
        <v>0</v>
      </c>
      <c r="O190" s="154">
        <f t="shared" si="16"/>
        <v>74724</v>
      </c>
      <c r="P190" s="3">
        <f t="shared" si="17"/>
        <v>38425</v>
      </c>
      <c r="Q190" s="3">
        <f t="shared" si="18"/>
        <v>21180</v>
      </c>
      <c r="R190" s="3">
        <f t="shared" si="19"/>
        <v>17245</v>
      </c>
      <c r="S190" s="3">
        <f t="shared" si="20"/>
        <v>0</v>
      </c>
      <c r="T190" s="3">
        <f t="shared" si="21"/>
        <v>0</v>
      </c>
      <c r="U190" s="3">
        <v>0</v>
      </c>
      <c r="V190" s="3">
        <v>0</v>
      </c>
      <c r="W190" s="175">
        <f t="shared" si="22"/>
        <v>0</v>
      </c>
      <c r="X190" s="175">
        <f t="shared" si="22"/>
        <v>0</v>
      </c>
      <c r="Z190" s="2">
        <f>[2]credits!$M190-U190</f>
        <v>3061.91</v>
      </c>
      <c r="AA190" s="2">
        <f>[2]credits!$O190-V190</f>
        <v>2493.13</v>
      </c>
      <c r="AB190" s="2">
        <f>[2]credits!$Q190-W190</f>
        <v>0</v>
      </c>
      <c r="AC190" s="2">
        <f>[2]credits!$S190-X190</f>
        <v>0</v>
      </c>
    </row>
    <row r="191" spans="1:29" ht="15" x14ac:dyDescent="0.25">
      <c r="A191" s="5">
        <v>621</v>
      </c>
      <c r="B191" s="5">
        <v>1</v>
      </c>
      <c r="C191" s="2" t="s">
        <v>188</v>
      </c>
      <c r="D191" s="3">
        <v>674175.54</v>
      </c>
      <c r="E191" s="3">
        <v>691777.4800000001</v>
      </c>
      <c r="F191" s="171">
        <v>17363998</v>
      </c>
      <c r="G191" s="171">
        <v>863432</v>
      </c>
      <c r="H191" s="171">
        <v>0</v>
      </c>
      <c r="I191" s="171">
        <v>7360372</v>
      </c>
      <c r="J191" s="172">
        <v>1068214</v>
      </c>
      <c r="K191" s="171">
        <v>7617889</v>
      </c>
      <c r="L191" s="171">
        <v>3561987</v>
      </c>
      <c r="M191" s="3">
        <v>0</v>
      </c>
      <c r="N191" s="173">
        <v>2678853</v>
      </c>
      <c r="O191" s="154">
        <f t="shared" si="16"/>
        <v>40514745</v>
      </c>
      <c r="P191" s="3">
        <f t="shared" si="17"/>
        <v>22287315</v>
      </c>
      <c r="Q191" s="3">
        <f t="shared" si="18"/>
        <v>7360372</v>
      </c>
      <c r="R191" s="3">
        <f t="shared" si="19"/>
        <v>1068214</v>
      </c>
      <c r="S191" s="3">
        <f t="shared" si="20"/>
        <v>11179876</v>
      </c>
      <c r="T191" s="3">
        <f t="shared" si="21"/>
        <v>2678853</v>
      </c>
      <c r="U191" s="3">
        <v>0</v>
      </c>
      <c r="V191" s="3">
        <v>0</v>
      </c>
      <c r="W191" s="175">
        <f t="shared" si="22"/>
        <v>347012.93</v>
      </c>
      <c r="X191" s="175">
        <f t="shared" si="22"/>
        <v>83149.100000000006</v>
      </c>
      <c r="Z191" s="2">
        <f>[2]credits!$M191-U191</f>
        <v>228459.07</v>
      </c>
      <c r="AA191" s="2">
        <f>[2]credits!$O191-V191</f>
        <v>33156.379999999997</v>
      </c>
      <c r="AB191" s="2">
        <f>[2]credits!$Q191-W191</f>
        <v>1.0000000009313226E-2</v>
      </c>
      <c r="AC191" s="2">
        <f>[2]credits!$S191-X191</f>
        <v>0</v>
      </c>
    </row>
    <row r="192" spans="1:29" ht="15" x14ac:dyDescent="0.25">
      <c r="A192" s="5">
        <v>622</v>
      </c>
      <c r="B192" s="5">
        <v>1</v>
      </c>
      <c r="C192" s="2" t="s">
        <v>189</v>
      </c>
      <c r="D192" s="3">
        <v>990085.16999999993</v>
      </c>
      <c r="E192" s="3">
        <v>1070756.47</v>
      </c>
      <c r="F192" s="171">
        <v>10589391</v>
      </c>
      <c r="G192" s="171">
        <v>1823123</v>
      </c>
      <c r="H192" s="171">
        <v>0</v>
      </c>
      <c r="I192" s="171">
        <v>6589632</v>
      </c>
      <c r="J192" s="172">
        <v>1533337</v>
      </c>
      <c r="K192" s="171">
        <v>4933551</v>
      </c>
      <c r="L192" s="171">
        <v>7874281</v>
      </c>
      <c r="M192" s="3">
        <v>0</v>
      </c>
      <c r="N192" s="173">
        <v>3130190</v>
      </c>
      <c r="O192" s="154">
        <f t="shared" si="16"/>
        <v>36473505</v>
      </c>
      <c r="P192" s="3">
        <f t="shared" si="17"/>
        <v>24060991</v>
      </c>
      <c r="Q192" s="3">
        <f t="shared" si="18"/>
        <v>6589632</v>
      </c>
      <c r="R192" s="3">
        <f t="shared" si="19"/>
        <v>1533337</v>
      </c>
      <c r="S192" s="3">
        <f t="shared" si="20"/>
        <v>12807832</v>
      </c>
      <c r="T192" s="3">
        <f t="shared" si="21"/>
        <v>3130190</v>
      </c>
      <c r="U192" s="3">
        <v>0</v>
      </c>
      <c r="V192" s="3">
        <v>0</v>
      </c>
      <c r="W192" s="175">
        <f t="shared" si="22"/>
        <v>569971.07999999996</v>
      </c>
      <c r="X192" s="175">
        <f t="shared" si="22"/>
        <v>139298.97</v>
      </c>
      <c r="Z192" s="2">
        <f>[2]credits!$M192-U192</f>
        <v>293250.23</v>
      </c>
      <c r="AA192" s="2">
        <f>[2]credits!$O192-V192</f>
        <v>68236.179999999993</v>
      </c>
      <c r="AB192" s="2">
        <f>[2]credits!$Q192-W192</f>
        <v>2.0000000018626451E-2</v>
      </c>
      <c r="AC192" s="2">
        <f>[2]credits!$S192-X192</f>
        <v>0</v>
      </c>
    </row>
    <row r="193" spans="1:29" ht="15" x14ac:dyDescent="0.25">
      <c r="A193" s="5">
        <v>623</v>
      </c>
      <c r="B193" s="5">
        <v>1</v>
      </c>
      <c r="C193" s="2" t="s">
        <v>190</v>
      </c>
      <c r="D193" s="3">
        <v>335894.04</v>
      </c>
      <c r="E193" s="3">
        <v>357790.84</v>
      </c>
      <c r="F193" s="171">
        <v>11340470</v>
      </c>
      <c r="G193" s="171">
        <v>901093</v>
      </c>
      <c r="H193" s="171">
        <v>0</v>
      </c>
      <c r="I193" s="171">
        <v>4164378</v>
      </c>
      <c r="J193" s="172">
        <v>859259</v>
      </c>
      <c r="K193" s="171">
        <v>2906300</v>
      </c>
      <c r="L193" s="171">
        <v>0</v>
      </c>
      <c r="M193" s="3">
        <v>0</v>
      </c>
      <c r="N193" s="173">
        <v>1343654</v>
      </c>
      <c r="O193" s="154">
        <f t="shared" si="16"/>
        <v>21515154</v>
      </c>
      <c r="P193" s="3">
        <f t="shared" si="17"/>
        <v>9273591</v>
      </c>
      <c r="Q193" s="3">
        <f t="shared" si="18"/>
        <v>4164378</v>
      </c>
      <c r="R193" s="3">
        <f t="shared" si="19"/>
        <v>859259</v>
      </c>
      <c r="S193" s="3">
        <f t="shared" si="20"/>
        <v>2906300</v>
      </c>
      <c r="T193" s="3">
        <f t="shared" si="21"/>
        <v>1343654</v>
      </c>
      <c r="U193" s="3">
        <v>0</v>
      </c>
      <c r="V193" s="3">
        <v>0</v>
      </c>
      <c r="W193" s="175">
        <f t="shared" si="22"/>
        <v>112129.97</v>
      </c>
      <c r="X193" s="175">
        <f t="shared" si="22"/>
        <v>51840.45</v>
      </c>
      <c r="Z193" s="2">
        <f>[2]credits!$M193-U193</f>
        <v>154886.99</v>
      </c>
      <c r="AA193" s="2">
        <f>[2]credits!$O193-V193</f>
        <v>31958.68</v>
      </c>
      <c r="AB193" s="2">
        <f>[2]credits!$Q193-W193</f>
        <v>8840.2700000000041</v>
      </c>
      <c r="AC193" s="2">
        <f>[2]credits!$S193-X193</f>
        <v>-1865.5199999999968</v>
      </c>
    </row>
    <row r="194" spans="1:29" ht="15" x14ac:dyDescent="0.25">
      <c r="A194" s="5">
        <v>624</v>
      </c>
      <c r="B194" s="5">
        <v>1</v>
      </c>
      <c r="C194" s="2" t="s">
        <v>191</v>
      </c>
      <c r="D194" s="3">
        <v>735141.43</v>
      </c>
      <c r="E194" s="3">
        <v>773764.73999999987</v>
      </c>
      <c r="F194" s="171">
        <v>16679637</v>
      </c>
      <c r="G194" s="171">
        <v>576881</v>
      </c>
      <c r="H194" s="171">
        <v>875497</v>
      </c>
      <c r="I194" s="171">
        <v>3528312</v>
      </c>
      <c r="J194" s="172">
        <v>849309</v>
      </c>
      <c r="K194" s="171">
        <v>5462552</v>
      </c>
      <c r="L194" s="171">
        <v>3382180</v>
      </c>
      <c r="M194" s="3">
        <v>0</v>
      </c>
      <c r="N194" s="173">
        <v>2351200</v>
      </c>
      <c r="O194" s="154">
        <f t="shared" si="16"/>
        <v>33705568</v>
      </c>
      <c r="P194" s="3">
        <f t="shared" si="17"/>
        <v>16449050</v>
      </c>
      <c r="Q194" s="3">
        <f t="shared" si="18"/>
        <v>4403809</v>
      </c>
      <c r="R194" s="3">
        <f t="shared" si="19"/>
        <v>849309</v>
      </c>
      <c r="S194" s="3">
        <f t="shared" si="20"/>
        <v>8844732</v>
      </c>
      <c r="T194" s="3">
        <f t="shared" si="21"/>
        <v>2351200</v>
      </c>
      <c r="U194" s="3">
        <v>0</v>
      </c>
      <c r="V194" s="3">
        <v>0</v>
      </c>
      <c r="W194" s="175">
        <f t="shared" si="22"/>
        <v>416056.96</v>
      </c>
      <c r="X194" s="175">
        <f t="shared" si="22"/>
        <v>110600.65</v>
      </c>
      <c r="Z194" s="2">
        <f>[2]credits!$M194-U194</f>
        <v>207155.53</v>
      </c>
      <c r="AA194" s="2">
        <f>[2]credits!$O194-V194</f>
        <v>39951.58</v>
      </c>
      <c r="AB194" s="2">
        <f>[2]credits!$Q194-W194</f>
        <v>1.9999999960418791E-2</v>
      </c>
      <c r="AC194" s="2">
        <f>[2]credits!$S194-X194</f>
        <v>0</v>
      </c>
    </row>
    <row r="195" spans="1:29" ht="15" x14ac:dyDescent="0.25">
      <c r="A195" s="5">
        <v>625</v>
      </c>
      <c r="B195" s="5">
        <v>1</v>
      </c>
      <c r="C195" s="2" t="s">
        <v>192</v>
      </c>
      <c r="D195" s="3">
        <v>2925866.45</v>
      </c>
      <c r="E195" s="3">
        <v>3385011.26</v>
      </c>
      <c r="F195" s="171">
        <v>26824047</v>
      </c>
      <c r="G195" s="171">
        <v>10284637</v>
      </c>
      <c r="H195" s="171">
        <v>0</v>
      </c>
      <c r="I195" s="171">
        <v>39093857</v>
      </c>
      <c r="J195" s="172">
        <v>3571570</v>
      </c>
      <c r="K195" s="171">
        <v>0</v>
      </c>
      <c r="L195" s="171">
        <v>41970427</v>
      </c>
      <c r="M195" s="3">
        <v>0</v>
      </c>
      <c r="N195" s="173">
        <v>0</v>
      </c>
      <c r="O195" s="154">
        <f t="shared" si="16"/>
        <v>121744538</v>
      </c>
      <c r="P195" s="3">
        <f t="shared" si="17"/>
        <v>84635854</v>
      </c>
      <c r="Q195" s="3">
        <f t="shared" si="18"/>
        <v>39093857</v>
      </c>
      <c r="R195" s="3">
        <f t="shared" si="19"/>
        <v>3571570</v>
      </c>
      <c r="S195" s="3">
        <f t="shared" si="20"/>
        <v>41970427</v>
      </c>
      <c r="T195" s="3">
        <f t="shared" si="21"/>
        <v>0</v>
      </c>
      <c r="U195" s="3">
        <v>0</v>
      </c>
      <c r="V195" s="3">
        <v>0</v>
      </c>
      <c r="W195" s="175">
        <f t="shared" si="22"/>
        <v>1678607.37</v>
      </c>
      <c r="X195" s="175">
        <f t="shared" si="22"/>
        <v>0</v>
      </c>
      <c r="Z195" s="2">
        <f>[2]credits!$M195-U195</f>
        <v>1563558.93</v>
      </c>
      <c r="AA195" s="2">
        <f>[2]credits!$O195-V195</f>
        <v>142844.96</v>
      </c>
      <c r="AB195" s="2">
        <f>[2]credits!$Q195-W195</f>
        <v>0</v>
      </c>
      <c r="AC195" s="2">
        <f>[2]credits!$S195-X195</f>
        <v>0</v>
      </c>
    </row>
    <row r="196" spans="1:29" ht="15" x14ac:dyDescent="0.25">
      <c r="A196" s="5">
        <v>627</v>
      </c>
      <c r="B196" s="5">
        <v>1</v>
      </c>
      <c r="C196" s="2" t="s">
        <v>193</v>
      </c>
      <c r="D196" s="3">
        <v>16983.099999999999</v>
      </c>
      <c r="E196" s="3">
        <v>19388.55</v>
      </c>
      <c r="F196" s="171">
        <v>126972</v>
      </c>
      <c r="G196" s="171">
        <v>14002</v>
      </c>
      <c r="H196" s="171">
        <v>0</v>
      </c>
      <c r="I196" s="171">
        <v>134012</v>
      </c>
      <c r="J196" s="172">
        <v>16844</v>
      </c>
      <c r="K196" s="171">
        <v>0</v>
      </c>
      <c r="L196" s="171">
        <v>0</v>
      </c>
      <c r="M196" s="3">
        <v>0</v>
      </c>
      <c r="N196" s="173">
        <v>0</v>
      </c>
      <c r="O196" s="154">
        <f t="shared" si="16"/>
        <v>291830</v>
      </c>
      <c r="P196" s="3">
        <f t="shared" si="17"/>
        <v>150856</v>
      </c>
      <c r="Q196" s="3">
        <f t="shared" si="18"/>
        <v>134012</v>
      </c>
      <c r="R196" s="3">
        <f t="shared" si="19"/>
        <v>16844</v>
      </c>
      <c r="S196" s="3">
        <f t="shared" si="20"/>
        <v>0</v>
      </c>
      <c r="T196" s="3">
        <f t="shared" si="21"/>
        <v>0</v>
      </c>
      <c r="U196" s="3">
        <v>0</v>
      </c>
      <c r="V196" s="3">
        <v>0</v>
      </c>
      <c r="W196" s="175">
        <f t="shared" si="22"/>
        <v>0</v>
      </c>
      <c r="X196" s="175">
        <f t="shared" si="22"/>
        <v>0</v>
      </c>
      <c r="Z196" s="2">
        <f>[2]credits!$M196-U196</f>
        <v>17223.75</v>
      </c>
      <c r="AA196" s="2">
        <f>[2]credits!$O196-V196</f>
        <v>2164.8000000000002</v>
      </c>
      <c r="AB196" s="2">
        <f>[2]credits!$Q196-W196</f>
        <v>0</v>
      </c>
      <c r="AC196" s="2">
        <f>[2]credits!$S196-X196</f>
        <v>0</v>
      </c>
    </row>
    <row r="197" spans="1:29" ht="15" x14ac:dyDescent="0.25">
      <c r="A197" s="5">
        <v>628</v>
      </c>
      <c r="B197" s="5">
        <v>1</v>
      </c>
      <c r="C197" s="2" t="s">
        <v>194</v>
      </c>
      <c r="D197" s="3">
        <v>11817.37</v>
      </c>
      <c r="E197" s="3">
        <v>10565.119999999999</v>
      </c>
      <c r="F197" s="171">
        <v>163850</v>
      </c>
      <c r="G197" s="171">
        <v>7571</v>
      </c>
      <c r="H197" s="171">
        <v>0</v>
      </c>
      <c r="I197" s="171">
        <v>73705</v>
      </c>
      <c r="J197" s="172">
        <v>34387</v>
      </c>
      <c r="K197" s="171">
        <v>0</v>
      </c>
      <c r="L197" s="171">
        <v>0</v>
      </c>
      <c r="M197" s="3">
        <v>0</v>
      </c>
      <c r="N197" s="173">
        <v>0</v>
      </c>
      <c r="O197" s="154">
        <f t="shared" si="16"/>
        <v>279513</v>
      </c>
      <c r="P197" s="3">
        <f t="shared" si="17"/>
        <v>108092</v>
      </c>
      <c r="Q197" s="3">
        <f t="shared" si="18"/>
        <v>73705</v>
      </c>
      <c r="R197" s="3">
        <f t="shared" si="19"/>
        <v>34387</v>
      </c>
      <c r="S197" s="3">
        <f t="shared" si="20"/>
        <v>0</v>
      </c>
      <c r="T197" s="3">
        <f t="shared" si="21"/>
        <v>0</v>
      </c>
      <c r="U197" s="3">
        <v>0</v>
      </c>
      <c r="V197" s="3">
        <v>0</v>
      </c>
      <c r="W197" s="175">
        <f t="shared" si="22"/>
        <v>0</v>
      </c>
      <c r="X197" s="175">
        <f t="shared" si="22"/>
        <v>0</v>
      </c>
      <c r="Z197" s="2">
        <f>[2]credits!$M197-U197</f>
        <v>7204.11</v>
      </c>
      <c r="AA197" s="2">
        <f>[2]credits!$O197-V197</f>
        <v>3361.01</v>
      </c>
      <c r="AB197" s="2">
        <f>[2]credits!$Q197-W197</f>
        <v>0</v>
      </c>
      <c r="AC197" s="2">
        <f>[2]credits!$S197-X197</f>
        <v>0</v>
      </c>
    </row>
    <row r="198" spans="1:29" ht="15" x14ac:dyDescent="0.25">
      <c r="A198" s="5">
        <v>630</v>
      </c>
      <c r="B198" s="5">
        <v>1</v>
      </c>
      <c r="C198" s="2" t="s">
        <v>195</v>
      </c>
      <c r="D198" s="3">
        <v>98752.48</v>
      </c>
      <c r="E198" s="3">
        <v>100522.6</v>
      </c>
      <c r="F198" s="171">
        <v>305168</v>
      </c>
      <c r="G198" s="171">
        <v>9617</v>
      </c>
      <c r="H198" s="171">
        <v>0</v>
      </c>
      <c r="I198" s="171">
        <v>110936</v>
      </c>
      <c r="J198" s="172">
        <v>19348</v>
      </c>
      <c r="K198" s="171">
        <v>415352</v>
      </c>
      <c r="L198" s="171">
        <v>0</v>
      </c>
      <c r="M198" s="3">
        <v>0</v>
      </c>
      <c r="N198" s="173">
        <v>0</v>
      </c>
      <c r="O198" s="154">
        <f t="shared" si="16"/>
        <v>860421</v>
      </c>
      <c r="P198" s="3">
        <f t="shared" si="17"/>
        <v>545636</v>
      </c>
      <c r="Q198" s="3">
        <f t="shared" si="18"/>
        <v>110936</v>
      </c>
      <c r="R198" s="3">
        <f t="shared" si="19"/>
        <v>19348</v>
      </c>
      <c r="S198" s="3">
        <f t="shared" si="20"/>
        <v>415352</v>
      </c>
      <c r="T198" s="3">
        <f t="shared" si="21"/>
        <v>0</v>
      </c>
      <c r="U198" s="3">
        <v>0</v>
      </c>
      <c r="V198" s="3">
        <v>0</v>
      </c>
      <c r="W198" s="175">
        <f t="shared" si="22"/>
        <v>76520.36</v>
      </c>
      <c r="X198" s="175">
        <f t="shared" si="22"/>
        <v>0</v>
      </c>
      <c r="Z198" s="2">
        <f>[2]credits!$M198-U198</f>
        <v>20437.669999999998</v>
      </c>
      <c r="AA198" s="2">
        <f>[2]credits!$O198-V198</f>
        <v>3564.57</v>
      </c>
      <c r="AB198" s="2">
        <f>[2]credits!$Q198-W198</f>
        <v>0</v>
      </c>
      <c r="AC198" s="2">
        <f>[2]credits!$S198-X198</f>
        <v>0</v>
      </c>
    </row>
    <row r="199" spans="1:29" ht="15" x14ac:dyDescent="0.25">
      <c r="A199" s="5">
        <v>635</v>
      </c>
      <c r="B199" s="5">
        <v>1</v>
      </c>
      <c r="C199" s="2" t="s">
        <v>196</v>
      </c>
      <c r="D199" s="3">
        <v>7804.09</v>
      </c>
      <c r="E199" s="3">
        <v>7277.04</v>
      </c>
      <c r="F199" s="171">
        <v>99728</v>
      </c>
      <c r="G199" s="171">
        <v>2229</v>
      </c>
      <c r="H199" s="171">
        <v>0</v>
      </c>
      <c r="I199" s="171">
        <v>53206</v>
      </c>
      <c r="J199" s="172">
        <v>12794</v>
      </c>
      <c r="K199" s="171">
        <v>0</v>
      </c>
      <c r="L199" s="171">
        <v>0</v>
      </c>
      <c r="M199" s="3">
        <v>0</v>
      </c>
      <c r="N199" s="173">
        <v>0</v>
      </c>
      <c r="O199" s="154">
        <f t="shared" si="16"/>
        <v>167957</v>
      </c>
      <c r="P199" s="3">
        <f t="shared" si="17"/>
        <v>66000</v>
      </c>
      <c r="Q199" s="3">
        <f t="shared" si="18"/>
        <v>53206</v>
      </c>
      <c r="R199" s="3">
        <f t="shared" si="19"/>
        <v>12794</v>
      </c>
      <c r="S199" s="3">
        <f t="shared" si="20"/>
        <v>0</v>
      </c>
      <c r="T199" s="3">
        <f t="shared" si="21"/>
        <v>0</v>
      </c>
      <c r="U199" s="3">
        <v>0</v>
      </c>
      <c r="V199" s="3">
        <v>0</v>
      </c>
      <c r="W199" s="175">
        <f t="shared" si="22"/>
        <v>0</v>
      </c>
      <c r="X199" s="175">
        <f t="shared" si="22"/>
        <v>0</v>
      </c>
      <c r="Z199" s="2">
        <f>[2]credits!$M199-U199</f>
        <v>5866.44</v>
      </c>
      <c r="AA199" s="2">
        <f>[2]credits!$O199-V199</f>
        <v>1410.6</v>
      </c>
      <c r="AB199" s="2">
        <f>[2]credits!$Q199-W199</f>
        <v>0</v>
      </c>
      <c r="AC199" s="2">
        <f>[2]credits!$S199-X199</f>
        <v>0</v>
      </c>
    </row>
    <row r="200" spans="1:29" ht="15" x14ac:dyDescent="0.25">
      <c r="A200" s="5">
        <v>640</v>
      </c>
      <c r="B200" s="5">
        <v>1</v>
      </c>
      <c r="C200" s="2" t="s">
        <v>197</v>
      </c>
      <c r="D200" s="3">
        <v>43995.490000000005</v>
      </c>
      <c r="E200" s="3">
        <v>45772.7</v>
      </c>
      <c r="F200" s="171">
        <v>216121</v>
      </c>
      <c r="G200" s="171">
        <v>21143</v>
      </c>
      <c r="H200" s="171">
        <v>0</v>
      </c>
      <c r="I200" s="171">
        <v>227717</v>
      </c>
      <c r="J200" s="172">
        <v>41929</v>
      </c>
      <c r="K200" s="171">
        <v>325360</v>
      </c>
      <c r="L200" s="171">
        <v>0</v>
      </c>
      <c r="M200" s="3">
        <v>0</v>
      </c>
      <c r="N200" s="173">
        <v>0</v>
      </c>
      <c r="O200" s="154">
        <f t="shared" si="16"/>
        <v>832270</v>
      </c>
      <c r="P200" s="3">
        <f t="shared" si="17"/>
        <v>595006</v>
      </c>
      <c r="Q200" s="3">
        <f t="shared" si="18"/>
        <v>227717</v>
      </c>
      <c r="R200" s="3">
        <f t="shared" si="19"/>
        <v>41929</v>
      </c>
      <c r="S200" s="3">
        <f t="shared" si="20"/>
        <v>325360</v>
      </c>
      <c r="T200" s="3">
        <f t="shared" si="21"/>
        <v>0</v>
      </c>
      <c r="U200" s="3">
        <v>0</v>
      </c>
      <c r="V200" s="3">
        <v>0</v>
      </c>
      <c r="W200" s="175">
        <f t="shared" si="22"/>
        <v>25029.34</v>
      </c>
      <c r="X200" s="175">
        <f t="shared" si="22"/>
        <v>0</v>
      </c>
      <c r="Z200" s="2">
        <f>[2]credits!$M200-U200</f>
        <v>17517.84</v>
      </c>
      <c r="AA200" s="2">
        <f>[2]credits!$O200-V200</f>
        <v>3225.52</v>
      </c>
      <c r="AB200" s="2">
        <f>[2]credits!$Q200-W200</f>
        <v>0</v>
      </c>
      <c r="AC200" s="2">
        <f>[2]credits!$S200-X200</f>
        <v>0</v>
      </c>
    </row>
    <row r="201" spans="1:29" ht="15" x14ac:dyDescent="0.25">
      <c r="A201" s="5">
        <v>656</v>
      </c>
      <c r="B201" s="5">
        <v>1</v>
      </c>
      <c r="C201" s="2" t="s">
        <v>198</v>
      </c>
      <c r="D201" s="3">
        <v>473133.8</v>
      </c>
      <c r="E201" s="3">
        <v>538653.26</v>
      </c>
      <c r="F201" s="171">
        <v>1763027.78</v>
      </c>
      <c r="G201" s="171">
        <v>527838.22</v>
      </c>
      <c r="H201" s="171">
        <v>0</v>
      </c>
      <c r="I201" s="171">
        <v>1423376.14</v>
      </c>
      <c r="J201" s="172">
        <v>351983</v>
      </c>
      <c r="K201" s="171">
        <v>3709582.01</v>
      </c>
      <c r="L201" s="171">
        <v>1339701.93</v>
      </c>
      <c r="M201" s="3">
        <v>0</v>
      </c>
      <c r="N201" s="173">
        <v>0</v>
      </c>
      <c r="O201" s="154">
        <f t="shared" ref="O201:O264" si="23">SUM(F201:N201)</f>
        <v>9115509.0800000001</v>
      </c>
      <c r="P201" s="3">
        <f t="shared" ref="P201:P264" si="24">SUM(H201:N201)</f>
        <v>6824643.0799999991</v>
      </c>
      <c r="Q201" s="3">
        <f t="shared" ref="Q201:Q264" si="25">SUM(H201:I201)</f>
        <v>1423376.14</v>
      </c>
      <c r="R201" s="3">
        <f t="shared" ref="R201:R264" si="26">J201</f>
        <v>351983</v>
      </c>
      <c r="S201" s="3">
        <f t="shared" ref="S201:S264" si="27">K201+L201</f>
        <v>5049283.9399999995</v>
      </c>
      <c r="T201" s="3">
        <f t="shared" ref="T201:T264" si="28">N201+M201</f>
        <v>0</v>
      </c>
      <c r="U201" s="3">
        <v>0</v>
      </c>
      <c r="V201" s="3">
        <v>0</v>
      </c>
      <c r="W201" s="175">
        <f t="shared" si="22"/>
        <v>398528.28</v>
      </c>
      <c r="X201" s="175">
        <f t="shared" si="22"/>
        <v>0</v>
      </c>
      <c r="Z201" s="2">
        <f>[2]credits!$M201-U201</f>
        <v>112343.78</v>
      </c>
      <c r="AA201" s="2">
        <f>[2]credits!$O201-V201</f>
        <v>27781.200000000001</v>
      </c>
      <c r="AB201" s="2">
        <f>[2]credits!$Q201-W201</f>
        <v>0</v>
      </c>
      <c r="AC201" s="2">
        <f>[2]credits!$S201-X201</f>
        <v>0</v>
      </c>
    </row>
    <row r="202" spans="1:29" ht="15" x14ac:dyDescent="0.25">
      <c r="A202" s="5">
        <v>659</v>
      </c>
      <c r="B202" s="5">
        <v>1</v>
      </c>
      <c r="C202" s="2" t="s">
        <v>199</v>
      </c>
      <c r="D202" s="3">
        <v>432480.66000000003</v>
      </c>
      <c r="E202" s="3">
        <v>481951.48</v>
      </c>
      <c r="F202" s="171">
        <v>5182962.16</v>
      </c>
      <c r="G202" s="171">
        <v>436763.82</v>
      </c>
      <c r="H202" s="171">
        <v>752447.22</v>
      </c>
      <c r="I202" s="171">
        <v>1796060.94</v>
      </c>
      <c r="J202" s="172">
        <v>436395.38</v>
      </c>
      <c r="K202" s="171">
        <v>4472672.08</v>
      </c>
      <c r="L202" s="171">
        <v>1271892.08</v>
      </c>
      <c r="M202" s="3">
        <v>0</v>
      </c>
      <c r="N202" s="173">
        <v>0</v>
      </c>
      <c r="O202" s="154">
        <f t="shared" si="23"/>
        <v>14349193.680000002</v>
      </c>
      <c r="P202" s="3">
        <f t="shared" si="24"/>
        <v>8729467.6999999993</v>
      </c>
      <c r="Q202" s="3">
        <f t="shared" si="25"/>
        <v>2548508.16</v>
      </c>
      <c r="R202" s="3">
        <f t="shared" si="26"/>
        <v>436395.38</v>
      </c>
      <c r="S202" s="3">
        <f t="shared" si="27"/>
        <v>5744564.1600000001</v>
      </c>
      <c r="T202" s="3">
        <f t="shared" si="28"/>
        <v>0</v>
      </c>
      <c r="U202" s="3">
        <v>0</v>
      </c>
      <c r="V202" s="3">
        <v>0</v>
      </c>
      <c r="W202" s="175">
        <f t="shared" ref="W202:X265" si="29">IF($P202=0,0,ROUND(S202/$P202*$E202,2))</f>
        <v>317155.78999999998</v>
      </c>
      <c r="X202" s="175">
        <f t="shared" si="29"/>
        <v>0</v>
      </c>
      <c r="Z202" s="2">
        <f>[2]credits!$M202-U202</f>
        <v>140768.67000000001</v>
      </c>
      <c r="AA202" s="2">
        <f>[2]credits!$O202-V202</f>
        <v>24093.62</v>
      </c>
      <c r="AB202" s="2">
        <f>[2]credits!$Q202-W202</f>
        <v>-66.599999999976717</v>
      </c>
      <c r="AC202" s="2">
        <f>[2]credits!$S202-X202</f>
        <v>0</v>
      </c>
    </row>
    <row r="203" spans="1:29" ht="15" x14ac:dyDescent="0.25">
      <c r="A203" s="5">
        <v>671</v>
      </c>
      <c r="B203" s="5">
        <v>1</v>
      </c>
      <c r="C203" s="2" t="s">
        <v>200</v>
      </c>
      <c r="D203" s="3">
        <v>34988.1</v>
      </c>
      <c r="E203" s="3">
        <v>69076.62</v>
      </c>
      <c r="F203" s="171">
        <v>170321.05</v>
      </c>
      <c r="G203" s="171">
        <v>19587.810000000001</v>
      </c>
      <c r="H203" s="171">
        <v>0</v>
      </c>
      <c r="I203" s="171">
        <v>143966.17000000001</v>
      </c>
      <c r="J203" s="172">
        <v>26545.15</v>
      </c>
      <c r="K203" s="171">
        <v>700668</v>
      </c>
      <c r="L203" s="171">
        <v>0</v>
      </c>
      <c r="M203" s="3">
        <v>0</v>
      </c>
      <c r="N203" s="173">
        <v>0</v>
      </c>
      <c r="O203" s="154">
        <f t="shared" si="23"/>
        <v>1061088.1800000002</v>
      </c>
      <c r="P203" s="3">
        <f t="shared" si="24"/>
        <v>871179.32000000007</v>
      </c>
      <c r="Q203" s="3">
        <f t="shared" si="25"/>
        <v>143966.17000000001</v>
      </c>
      <c r="R203" s="3">
        <f t="shared" si="26"/>
        <v>26545.15</v>
      </c>
      <c r="S203" s="3">
        <f t="shared" si="27"/>
        <v>700668</v>
      </c>
      <c r="T203" s="3">
        <f t="shared" si="28"/>
        <v>0</v>
      </c>
      <c r="U203" s="3">
        <v>0</v>
      </c>
      <c r="V203" s="3">
        <v>0</v>
      </c>
      <c r="W203" s="175">
        <f t="shared" si="29"/>
        <v>55556.62</v>
      </c>
      <c r="X203" s="175">
        <f t="shared" si="29"/>
        <v>0</v>
      </c>
      <c r="Z203" s="2">
        <f>[2]credits!$M203-U203</f>
        <v>11415.21</v>
      </c>
      <c r="AA203" s="2">
        <f>[2]credits!$O203-V203</f>
        <v>2104.79</v>
      </c>
      <c r="AB203" s="2">
        <f>[2]credits!$Q203-W203</f>
        <v>0</v>
      </c>
      <c r="AC203" s="2">
        <f>[2]credits!$S203-X203</f>
        <v>0</v>
      </c>
    </row>
    <row r="204" spans="1:29" ht="15" x14ac:dyDescent="0.25">
      <c r="A204" s="5">
        <v>676</v>
      </c>
      <c r="B204" s="5">
        <v>1</v>
      </c>
      <c r="C204" s="2" t="s">
        <v>201</v>
      </c>
      <c r="D204" s="3">
        <v>15295.259999999998</v>
      </c>
      <c r="E204" s="3">
        <v>24417.040000000001</v>
      </c>
      <c r="F204" s="171">
        <v>150636</v>
      </c>
      <c r="G204" s="171">
        <v>8855</v>
      </c>
      <c r="H204" s="171">
        <v>40397</v>
      </c>
      <c r="I204" s="171">
        <v>61392</v>
      </c>
      <c r="J204" s="172">
        <v>11117</v>
      </c>
      <c r="K204" s="171">
        <v>0</v>
      </c>
      <c r="L204" s="171">
        <v>0</v>
      </c>
      <c r="M204" s="3">
        <v>0</v>
      </c>
      <c r="N204" s="173">
        <v>0</v>
      </c>
      <c r="O204" s="154">
        <f t="shared" si="23"/>
        <v>272397</v>
      </c>
      <c r="P204" s="3">
        <f t="shared" si="24"/>
        <v>112906</v>
      </c>
      <c r="Q204" s="3">
        <f t="shared" si="25"/>
        <v>101789</v>
      </c>
      <c r="R204" s="3">
        <f t="shared" si="26"/>
        <v>11117</v>
      </c>
      <c r="S204" s="3">
        <f t="shared" si="27"/>
        <v>0</v>
      </c>
      <c r="T204" s="3">
        <f t="shared" si="28"/>
        <v>0</v>
      </c>
      <c r="U204" s="3">
        <v>0</v>
      </c>
      <c r="V204" s="3">
        <v>0</v>
      </c>
      <c r="W204" s="175">
        <f t="shared" si="29"/>
        <v>0</v>
      </c>
      <c r="X204" s="175">
        <f t="shared" si="29"/>
        <v>0</v>
      </c>
      <c r="Z204" s="2">
        <f>[2]credits!$M204-U204</f>
        <v>22012.84</v>
      </c>
      <c r="AA204" s="2">
        <f>[2]credits!$O204-V204</f>
        <v>2404.1999999999998</v>
      </c>
      <c r="AB204" s="2">
        <f>[2]credits!$Q204-W204</f>
        <v>0</v>
      </c>
      <c r="AC204" s="2">
        <f>[2]credits!$S204-X204</f>
        <v>0</v>
      </c>
    </row>
    <row r="205" spans="1:29" ht="15" x14ac:dyDescent="0.25">
      <c r="A205" s="5">
        <v>682</v>
      </c>
      <c r="B205" s="5">
        <v>1</v>
      </c>
      <c r="C205" s="2" t="s">
        <v>202</v>
      </c>
      <c r="D205" s="3">
        <v>201082.10000000003</v>
      </c>
      <c r="E205" s="3">
        <v>240145.77</v>
      </c>
      <c r="F205" s="171">
        <v>303954</v>
      </c>
      <c r="G205" s="171">
        <v>66352</v>
      </c>
      <c r="H205" s="171">
        <v>0</v>
      </c>
      <c r="I205" s="171">
        <v>407280</v>
      </c>
      <c r="J205" s="172">
        <v>87814</v>
      </c>
      <c r="K205" s="171">
        <v>1430441</v>
      </c>
      <c r="L205" s="171">
        <v>0</v>
      </c>
      <c r="M205" s="3">
        <v>0</v>
      </c>
      <c r="N205" s="173">
        <v>0</v>
      </c>
      <c r="O205" s="154">
        <f t="shared" si="23"/>
        <v>2295841</v>
      </c>
      <c r="P205" s="3">
        <f t="shared" si="24"/>
        <v>1925535</v>
      </c>
      <c r="Q205" s="3">
        <f t="shared" si="25"/>
        <v>407280</v>
      </c>
      <c r="R205" s="3">
        <f t="shared" si="26"/>
        <v>87814</v>
      </c>
      <c r="S205" s="3">
        <f t="shared" si="27"/>
        <v>1430441</v>
      </c>
      <c r="T205" s="3">
        <f t="shared" si="28"/>
        <v>0</v>
      </c>
      <c r="U205" s="3">
        <v>0</v>
      </c>
      <c r="V205" s="3">
        <v>0</v>
      </c>
      <c r="W205" s="175">
        <f t="shared" si="29"/>
        <v>178399.43</v>
      </c>
      <c r="X205" s="175">
        <f t="shared" si="29"/>
        <v>0</v>
      </c>
      <c r="Z205" s="2">
        <f>[2]credits!$M205-U205</f>
        <v>50794.51</v>
      </c>
      <c r="AA205" s="2">
        <f>[2]credits!$O205-V205</f>
        <v>10951.81</v>
      </c>
      <c r="AB205" s="2">
        <f>[2]credits!$Q205-W205</f>
        <v>2.0000000018626451E-2</v>
      </c>
      <c r="AC205" s="2">
        <f>[2]credits!$S205-X205</f>
        <v>0</v>
      </c>
    </row>
    <row r="206" spans="1:29" ht="15" x14ac:dyDescent="0.25">
      <c r="A206" s="5">
        <v>690</v>
      </c>
      <c r="B206" s="5">
        <v>1</v>
      </c>
      <c r="C206" s="2" t="s">
        <v>203</v>
      </c>
      <c r="D206" s="3">
        <v>166339.52000000002</v>
      </c>
      <c r="E206" s="3">
        <v>180618.58000000002</v>
      </c>
      <c r="F206" s="171">
        <v>325571</v>
      </c>
      <c r="G206" s="171">
        <v>64323</v>
      </c>
      <c r="H206" s="171">
        <v>0</v>
      </c>
      <c r="I206" s="171">
        <v>509119</v>
      </c>
      <c r="J206" s="172">
        <v>79043</v>
      </c>
      <c r="K206" s="171">
        <v>1172049</v>
      </c>
      <c r="L206" s="171">
        <v>0</v>
      </c>
      <c r="M206" s="3">
        <v>0</v>
      </c>
      <c r="N206" s="173">
        <v>134131</v>
      </c>
      <c r="O206" s="154">
        <f t="shared" si="23"/>
        <v>2284236</v>
      </c>
      <c r="P206" s="3">
        <f t="shared" si="24"/>
        <v>1894342</v>
      </c>
      <c r="Q206" s="3">
        <f t="shared" si="25"/>
        <v>509119</v>
      </c>
      <c r="R206" s="3">
        <f t="shared" si="26"/>
        <v>79043</v>
      </c>
      <c r="S206" s="3">
        <f t="shared" si="27"/>
        <v>1172049</v>
      </c>
      <c r="T206" s="3">
        <f t="shared" si="28"/>
        <v>134131</v>
      </c>
      <c r="U206" s="3">
        <v>0</v>
      </c>
      <c r="V206" s="3">
        <v>0</v>
      </c>
      <c r="W206" s="175">
        <f t="shared" si="29"/>
        <v>111750.58</v>
      </c>
      <c r="X206" s="175">
        <f t="shared" si="29"/>
        <v>12788.9</v>
      </c>
      <c r="Z206" s="2">
        <f>[2]credits!$M206-U206</f>
        <v>48542.6</v>
      </c>
      <c r="AA206" s="2">
        <f>[2]credits!$O206-V206</f>
        <v>7536.52</v>
      </c>
      <c r="AB206" s="2">
        <f>[2]credits!$Q206-W206</f>
        <v>-2.9999999998835847E-2</v>
      </c>
      <c r="AC206" s="2">
        <f>[2]credits!$S206-X206</f>
        <v>0</v>
      </c>
    </row>
    <row r="207" spans="1:29" ht="15" x14ac:dyDescent="0.25">
      <c r="A207" s="5">
        <v>695</v>
      </c>
      <c r="B207" s="5">
        <v>1</v>
      </c>
      <c r="C207" s="2" t="s">
        <v>204</v>
      </c>
      <c r="D207" s="3">
        <v>271053.32</v>
      </c>
      <c r="E207" s="3">
        <v>208790.94</v>
      </c>
      <c r="F207" s="171">
        <v>388713.11</v>
      </c>
      <c r="G207" s="171">
        <v>33318.480000000003</v>
      </c>
      <c r="H207" s="171">
        <v>0</v>
      </c>
      <c r="I207" s="171">
        <v>4666.6400000000003</v>
      </c>
      <c r="J207" s="172">
        <v>0</v>
      </c>
      <c r="K207" s="171">
        <v>238592.27</v>
      </c>
      <c r="L207" s="171">
        <v>0</v>
      </c>
      <c r="M207" s="3">
        <v>0</v>
      </c>
      <c r="N207" s="173">
        <v>554010</v>
      </c>
      <c r="O207" s="154">
        <f t="shared" si="23"/>
        <v>1219300.5</v>
      </c>
      <c r="P207" s="3">
        <f t="shared" si="24"/>
        <v>797268.91</v>
      </c>
      <c r="Q207" s="3">
        <f t="shared" si="25"/>
        <v>4666.6400000000003</v>
      </c>
      <c r="R207" s="3">
        <f t="shared" si="26"/>
        <v>0</v>
      </c>
      <c r="S207" s="3">
        <f t="shared" si="27"/>
        <v>238592.27</v>
      </c>
      <c r="T207" s="3">
        <f t="shared" si="28"/>
        <v>554010</v>
      </c>
      <c r="U207" s="3">
        <v>0</v>
      </c>
      <c r="V207" s="3">
        <v>0</v>
      </c>
      <c r="W207" s="175">
        <f>IF($P207=0,0,ROUND(S207/$P207*$E207,2))+31189.64</f>
        <v>93672.83</v>
      </c>
      <c r="X207" s="175">
        <f>IF($P207=0,0,ROUND(T207/$P207*$E207,2))+72425.82</f>
        <v>217511.46000000002</v>
      </c>
      <c r="Z207" s="2">
        <f>[2]credits!$M207-U207</f>
        <v>1835.5299999999997</v>
      </c>
      <c r="AA207" s="2">
        <f>[2]credits!$O207-V207</f>
        <v>0</v>
      </c>
      <c r="AB207" s="2">
        <f>[2]credits!$Q207-W207</f>
        <v>0</v>
      </c>
      <c r="AC207" s="2">
        <f>[2]credits!$S207-X207</f>
        <v>0</v>
      </c>
    </row>
    <row r="208" spans="1:29" ht="15" x14ac:dyDescent="0.25">
      <c r="A208" s="5">
        <v>696</v>
      </c>
      <c r="B208" s="5">
        <v>1</v>
      </c>
      <c r="C208" s="2" t="s">
        <v>205</v>
      </c>
      <c r="D208" s="3">
        <v>132692.77000000002</v>
      </c>
      <c r="E208" s="3">
        <v>114041.22</v>
      </c>
      <c r="F208" s="171">
        <v>351805.89</v>
      </c>
      <c r="G208" s="171">
        <v>61732.32</v>
      </c>
      <c r="H208" s="171">
        <v>0</v>
      </c>
      <c r="I208" s="171">
        <v>946962.81</v>
      </c>
      <c r="J208" s="172">
        <v>22585.17</v>
      </c>
      <c r="K208" s="171">
        <v>21482.560000000001</v>
      </c>
      <c r="L208" s="171">
        <v>28075</v>
      </c>
      <c r="M208" s="3">
        <v>0</v>
      </c>
      <c r="N208" s="173">
        <v>0</v>
      </c>
      <c r="O208" s="154">
        <f t="shared" si="23"/>
        <v>1432643.75</v>
      </c>
      <c r="P208" s="3">
        <f t="shared" si="24"/>
        <v>1019105.5400000002</v>
      </c>
      <c r="Q208" s="3">
        <f t="shared" si="25"/>
        <v>946962.81</v>
      </c>
      <c r="R208" s="3">
        <f t="shared" si="26"/>
        <v>22585.17</v>
      </c>
      <c r="S208" s="3">
        <f t="shared" si="27"/>
        <v>49557.56</v>
      </c>
      <c r="T208" s="3">
        <f t="shared" si="28"/>
        <v>0</v>
      </c>
      <c r="U208" s="3">
        <v>0</v>
      </c>
      <c r="V208" s="3">
        <v>0</v>
      </c>
      <c r="W208" s="175">
        <f>IF($P208=0,0,ROUND(S208/$P208*$E208,2))+2597.78</f>
        <v>8143.43</v>
      </c>
      <c r="X208" s="175">
        <f t="shared" si="29"/>
        <v>0</v>
      </c>
      <c r="Z208" s="2">
        <f>[2]credits!$M208-U208</f>
        <v>155639.04000000001</v>
      </c>
      <c r="AA208" s="2">
        <f>[2]credits!$O208-V208</f>
        <v>3710.48</v>
      </c>
      <c r="AB208" s="2">
        <f>[2]credits!$Q208-W208</f>
        <v>0</v>
      </c>
      <c r="AC208" s="2">
        <f>[2]credits!$S208-X208</f>
        <v>0</v>
      </c>
    </row>
    <row r="209" spans="1:29" ht="15" x14ac:dyDescent="0.25">
      <c r="A209" s="5">
        <v>698</v>
      </c>
      <c r="B209" s="5">
        <v>1</v>
      </c>
      <c r="C209" s="2" t="s">
        <v>206</v>
      </c>
      <c r="D209" s="3">
        <v>115973.70000000001</v>
      </c>
      <c r="E209" s="3">
        <v>62913.06</v>
      </c>
      <c r="F209" s="171">
        <v>0</v>
      </c>
      <c r="G209" s="171">
        <v>40050.769999999997</v>
      </c>
      <c r="H209" s="171">
        <v>0</v>
      </c>
      <c r="I209" s="171">
        <v>174998.66</v>
      </c>
      <c r="J209" s="172">
        <v>22365.62</v>
      </c>
      <c r="K209" s="171">
        <v>883166.08</v>
      </c>
      <c r="L209" s="171">
        <v>0</v>
      </c>
      <c r="M209" s="3">
        <v>0</v>
      </c>
      <c r="N209" s="173">
        <v>0</v>
      </c>
      <c r="O209" s="154">
        <f t="shared" si="23"/>
        <v>1120581.1299999999</v>
      </c>
      <c r="P209" s="3">
        <f t="shared" si="24"/>
        <v>1080530.3599999999</v>
      </c>
      <c r="Q209" s="3">
        <f t="shared" si="25"/>
        <v>174998.66</v>
      </c>
      <c r="R209" s="3">
        <f t="shared" si="26"/>
        <v>22365.62</v>
      </c>
      <c r="S209" s="3">
        <f t="shared" si="27"/>
        <v>883166.08</v>
      </c>
      <c r="T209" s="3">
        <f t="shared" si="28"/>
        <v>0</v>
      </c>
      <c r="U209" s="3">
        <v>0</v>
      </c>
      <c r="V209" s="3">
        <v>0</v>
      </c>
      <c r="W209" s="175">
        <f>IF($P209=0,0,ROUND(S209/$P209*$E209,2))+40222.94</f>
        <v>91644.61</v>
      </c>
      <c r="X209" s="175">
        <f t="shared" si="29"/>
        <v>0</v>
      </c>
      <c r="Z209" s="2">
        <f>[2]credits!$M209-U209</f>
        <v>18159.760000000002</v>
      </c>
      <c r="AA209" s="2">
        <f>[2]credits!$O209-V209</f>
        <v>2320.36</v>
      </c>
      <c r="AB209" s="2">
        <f>[2]credits!$Q209-W209</f>
        <v>0</v>
      </c>
      <c r="AC209" s="2">
        <f>[2]credits!$S209-X209</f>
        <v>0</v>
      </c>
    </row>
    <row r="210" spans="1:29" ht="15" x14ac:dyDescent="0.25">
      <c r="A210" s="5">
        <v>700</v>
      </c>
      <c r="B210" s="5">
        <v>1</v>
      </c>
      <c r="C210" s="2" t="s">
        <v>207</v>
      </c>
      <c r="D210" s="3">
        <v>136246.44</v>
      </c>
      <c r="E210" s="3">
        <v>144864.28999999998</v>
      </c>
      <c r="F210" s="171">
        <v>2006.8</v>
      </c>
      <c r="G210" s="171">
        <v>414331.79</v>
      </c>
      <c r="H210" s="171">
        <v>0</v>
      </c>
      <c r="I210" s="171">
        <v>877648.45</v>
      </c>
      <c r="J210" s="172">
        <v>136086.60999999999</v>
      </c>
      <c r="K210" s="171">
        <v>666381.01</v>
      </c>
      <c r="L210" s="171">
        <v>0</v>
      </c>
      <c r="M210" s="3">
        <v>0</v>
      </c>
      <c r="N210" s="173">
        <v>0</v>
      </c>
      <c r="O210" s="154">
        <f t="shared" si="23"/>
        <v>2096454.66</v>
      </c>
      <c r="P210" s="3">
        <f t="shared" si="24"/>
        <v>1680116.0699999998</v>
      </c>
      <c r="Q210" s="3">
        <f t="shared" si="25"/>
        <v>877648.45</v>
      </c>
      <c r="R210" s="3">
        <f t="shared" si="26"/>
        <v>136086.60999999999</v>
      </c>
      <c r="S210" s="3">
        <f t="shared" si="27"/>
        <v>666381.01</v>
      </c>
      <c r="T210" s="3">
        <f t="shared" si="28"/>
        <v>0</v>
      </c>
      <c r="U210" s="3">
        <v>0</v>
      </c>
      <c r="V210" s="3">
        <v>0</v>
      </c>
      <c r="W210" s="175">
        <f t="shared" si="29"/>
        <v>57457.23</v>
      </c>
      <c r="X210" s="175">
        <f t="shared" si="29"/>
        <v>0</v>
      </c>
      <c r="Z210" s="2">
        <f>[2]credits!$M210-U210</f>
        <v>75673.3</v>
      </c>
      <c r="AA210" s="2">
        <f>[2]credits!$O210-V210</f>
        <v>11733.77</v>
      </c>
      <c r="AB210" s="2">
        <f>[2]credits!$Q210-W210</f>
        <v>0</v>
      </c>
      <c r="AC210" s="2">
        <f>[2]credits!$S210-X210</f>
        <v>0</v>
      </c>
    </row>
    <row r="211" spans="1:29" ht="15" x14ac:dyDescent="0.25">
      <c r="A211" s="5">
        <v>701</v>
      </c>
      <c r="B211" s="5">
        <v>1</v>
      </c>
      <c r="C211" s="2" t="s">
        <v>208</v>
      </c>
      <c r="D211" s="3">
        <v>446933.54</v>
      </c>
      <c r="E211" s="3">
        <v>456823.77</v>
      </c>
      <c r="F211" s="171">
        <v>1261439.58</v>
      </c>
      <c r="G211" s="171">
        <v>193614.1</v>
      </c>
      <c r="H211" s="171">
        <v>0</v>
      </c>
      <c r="I211" s="171">
        <v>390153.3</v>
      </c>
      <c r="J211" s="172">
        <v>0</v>
      </c>
      <c r="K211" s="171">
        <v>67289.119999999995</v>
      </c>
      <c r="L211" s="171">
        <v>668688</v>
      </c>
      <c r="M211" s="3">
        <v>0</v>
      </c>
      <c r="N211" s="173">
        <v>0</v>
      </c>
      <c r="O211" s="154">
        <f t="shared" si="23"/>
        <v>2581184.1</v>
      </c>
      <c r="P211" s="3">
        <f t="shared" si="24"/>
        <v>1126130.42</v>
      </c>
      <c r="Q211" s="3">
        <f t="shared" si="25"/>
        <v>390153.3</v>
      </c>
      <c r="R211" s="3">
        <f t="shared" si="26"/>
        <v>0</v>
      </c>
      <c r="S211" s="3">
        <f t="shared" si="27"/>
        <v>735977.12</v>
      </c>
      <c r="T211" s="3">
        <f t="shared" si="28"/>
        <v>0</v>
      </c>
      <c r="U211" s="3">
        <v>0</v>
      </c>
      <c r="V211" s="3">
        <v>0</v>
      </c>
      <c r="W211" s="175">
        <f>IF($P211=0,0,ROUND(S211/$P211*$E211,2))+51492.66</f>
        <v>350047.64</v>
      </c>
      <c r="X211" s="175">
        <f t="shared" si="29"/>
        <v>0</v>
      </c>
      <c r="Z211" s="2">
        <f>[2]credits!$M211-U211</f>
        <v>185621.29</v>
      </c>
      <c r="AA211" s="2">
        <f>[2]credits!$O211-V211</f>
        <v>0</v>
      </c>
      <c r="AB211" s="2">
        <f>[2]credits!$Q211-W211</f>
        <v>0</v>
      </c>
      <c r="AC211" s="2">
        <f>[2]credits!$S211-X211</f>
        <v>0</v>
      </c>
    </row>
    <row r="212" spans="1:29" ht="15" x14ac:dyDescent="0.25">
      <c r="A212" s="5">
        <v>704</v>
      </c>
      <c r="B212" s="5">
        <v>1</v>
      </c>
      <c r="C212" s="2" t="s">
        <v>209</v>
      </c>
      <c r="D212" s="3">
        <v>282374.68</v>
      </c>
      <c r="E212" s="3">
        <v>273033.15000000002</v>
      </c>
      <c r="F212" s="171">
        <v>1918.46</v>
      </c>
      <c r="G212" s="171">
        <v>359177.97</v>
      </c>
      <c r="H212" s="171">
        <v>0</v>
      </c>
      <c r="I212" s="171">
        <v>820956.87</v>
      </c>
      <c r="J212" s="172">
        <v>143306.4</v>
      </c>
      <c r="K212" s="171">
        <v>1037924.14</v>
      </c>
      <c r="L212" s="171">
        <v>0</v>
      </c>
      <c r="M212" s="3">
        <v>0</v>
      </c>
      <c r="N212" s="173">
        <v>456855</v>
      </c>
      <c r="O212" s="154">
        <f t="shared" si="23"/>
        <v>2820138.84</v>
      </c>
      <c r="P212" s="3">
        <f t="shared" si="24"/>
        <v>2459042.41</v>
      </c>
      <c r="Q212" s="3">
        <f t="shared" si="25"/>
        <v>820956.87</v>
      </c>
      <c r="R212" s="3">
        <f t="shared" si="26"/>
        <v>143306.4</v>
      </c>
      <c r="S212" s="3">
        <f t="shared" si="27"/>
        <v>1037924.14</v>
      </c>
      <c r="T212" s="3">
        <f t="shared" si="28"/>
        <v>456855</v>
      </c>
      <c r="U212" s="3">
        <v>0</v>
      </c>
      <c r="V212" s="3">
        <v>0</v>
      </c>
      <c r="W212" s="175">
        <f t="shared" si="29"/>
        <v>115243.11</v>
      </c>
      <c r="X212" s="175">
        <f t="shared" si="29"/>
        <v>50725.66</v>
      </c>
      <c r="Z212" s="2">
        <f>[2]credits!$M212-U212</f>
        <v>91152.73</v>
      </c>
      <c r="AA212" s="2">
        <f>[2]credits!$O212-V212</f>
        <v>15911.64</v>
      </c>
      <c r="AB212" s="2">
        <f>[2]credits!$Q212-W212</f>
        <v>0</v>
      </c>
      <c r="AC212" s="2">
        <f>[2]credits!$S212-X212</f>
        <v>0</v>
      </c>
    </row>
    <row r="213" spans="1:29" ht="15" x14ac:dyDescent="0.25">
      <c r="A213" s="5">
        <v>706</v>
      </c>
      <c r="B213" s="5">
        <v>1</v>
      </c>
      <c r="C213" s="2" t="s">
        <v>210</v>
      </c>
      <c r="D213" s="3">
        <v>403214.75</v>
      </c>
      <c r="E213" s="3">
        <v>343291.72</v>
      </c>
      <c r="F213" s="171">
        <v>873053.6</v>
      </c>
      <c r="G213" s="171">
        <v>133983.17000000001</v>
      </c>
      <c r="H213" s="171">
        <v>0</v>
      </c>
      <c r="I213" s="171">
        <v>520006.13</v>
      </c>
      <c r="J213" s="172">
        <v>0</v>
      </c>
      <c r="K213" s="171">
        <v>420109.45</v>
      </c>
      <c r="L213" s="171">
        <v>0</v>
      </c>
      <c r="M213" s="3">
        <v>0</v>
      </c>
      <c r="N213" s="173">
        <v>100908</v>
      </c>
      <c r="O213" s="154">
        <f t="shared" si="23"/>
        <v>2048060.3499999999</v>
      </c>
      <c r="P213" s="3">
        <f t="shared" si="24"/>
        <v>1041023.5800000001</v>
      </c>
      <c r="Q213" s="3">
        <f t="shared" si="25"/>
        <v>520006.13</v>
      </c>
      <c r="R213" s="3">
        <f t="shared" si="26"/>
        <v>0</v>
      </c>
      <c r="S213" s="3">
        <f t="shared" si="27"/>
        <v>420109.45</v>
      </c>
      <c r="T213" s="3">
        <f t="shared" si="28"/>
        <v>100908</v>
      </c>
      <c r="U213" s="3">
        <v>0</v>
      </c>
      <c r="V213" s="3">
        <v>0</v>
      </c>
      <c r="W213" s="175">
        <f>IF($P213=0,0,ROUND(S213/$P213*$E213,2))+38407.52</f>
        <v>176944.34</v>
      </c>
      <c r="X213" s="175">
        <f>IF($P213=0,0,ROUND(T213/$P213*$E213,2))+9222.39</f>
        <v>42498.18</v>
      </c>
      <c r="Z213" s="2">
        <f>[2]credits!$M213-U213</f>
        <v>219107.84999999998</v>
      </c>
      <c r="AA213" s="2">
        <f>[2]credits!$O213-V213</f>
        <v>0</v>
      </c>
      <c r="AB213" s="2">
        <f>[2]credits!$Q213-W213</f>
        <v>0</v>
      </c>
      <c r="AC213" s="2">
        <f>[2]credits!$S213-X213</f>
        <v>0</v>
      </c>
    </row>
    <row r="214" spans="1:29" ht="15" x14ac:dyDescent="0.25">
      <c r="A214" s="5">
        <v>707</v>
      </c>
      <c r="B214" s="5">
        <v>1</v>
      </c>
      <c r="C214" s="2" t="s">
        <v>211</v>
      </c>
      <c r="D214" s="3">
        <v>30.78</v>
      </c>
      <c r="E214" s="3">
        <v>25.85</v>
      </c>
      <c r="F214" s="171">
        <v>26.79</v>
      </c>
      <c r="G214" s="171">
        <v>9.77</v>
      </c>
      <c r="H214" s="171">
        <v>0</v>
      </c>
      <c r="I214" s="171">
        <v>20377.36</v>
      </c>
      <c r="J214" s="172">
        <v>1699.78</v>
      </c>
      <c r="K214" s="171">
        <v>43632.39</v>
      </c>
      <c r="L214" s="171">
        <v>0</v>
      </c>
      <c r="M214" s="3">
        <v>0</v>
      </c>
      <c r="N214" s="173">
        <v>0</v>
      </c>
      <c r="O214" s="154">
        <f t="shared" si="23"/>
        <v>65746.09</v>
      </c>
      <c r="P214" s="3">
        <f t="shared" si="24"/>
        <v>65709.53</v>
      </c>
      <c r="Q214" s="3">
        <f t="shared" si="25"/>
        <v>20377.36</v>
      </c>
      <c r="R214" s="3">
        <f t="shared" si="26"/>
        <v>1699.78</v>
      </c>
      <c r="S214" s="3">
        <f t="shared" si="27"/>
        <v>43632.39</v>
      </c>
      <c r="T214" s="3">
        <f t="shared" si="28"/>
        <v>0</v>
      </c>
      <c r="U214" s="3">
        <v>0</v>
      </c>
      <c r="V214" s="3">
        <v>0</v>
      </c>
      <c r="W214" s="175">
        <f t="shared" si="29"/>
        <v>17.16</v>
      </c>
      <c r="X214" s="175">
        <f t="shared" si="29"/>
        <v>0</v>
      </c>
      <c r="Z214" s="2">
        <f>[2]credits!$M214-U214</f>
        <v>10.34</v>
      </c>
      <c r="AA214" s="2">
        <f>[2]credits!$O214-V214</f>
        <v>0.57999999999999996</v>
      </c>
      <c r="AB214" s="2">
        <f>[2]credits!$Q214-W214</f>
        <v>-2.2300000000000004</v>
      </c>
      <c r="AC214" s="2">
        <f>[2]credits!$S214-X214</f>
        <v>0</v>
      </c>
    </row>
    <row r="215" spans="1:29" ht="15" x14ac:dyDescent="0.25">
      <c r="A215" s="5">
        <v>709</v>
      </c>
      <c r="B215" s="5">
        <v>1</v>
      </c>
      <c r="C215" s="2" t="s">
        <v>212</v>
      </c>
      <c r="D215" s="3">
        <v>2880032.8</v>
      </c>
      <c r="E215" s="3">
        <v>2957541.25</v>
      </c>
      <c r="F215" s="171">
        <v>4865721.28</v>
      </c>
      <c r="G215" s="171">
        <v>949922.28</v>
      </c>
      <c r="H215" s="171">
        <v>0</v>
      </c>
      <c r="I215" s="171">
        <v>4440550.54</v>
      </c>
      <c r="J215" s="172">
        <v>1067533.57</v>
      </c>
      <c r="K215" s="171">
        <v>2085080.48</v>
      </c>
      <c r="L215" s="171">
        <v>11232380.85</v>
      </c>
      <c r="M215" s="3">
        <v>0</v>
      </c>
      <c r="N215" s="173">
        <v>0</v>
      </c>
      <c r="O215" s="154">
        <f t="shared" si="23"/>
        <v>24641189</v>
      </c>
      <c r="P215" s="3">
        <f t="shared" si="24"/>
        <v>18825545.439999998</v>
      </c>
      <c r="Q215" s="3">
        <f t="shared" si="25"/>
        <v>4440550.54</v>
      </c>
      <c r="R215" s="3">
        <f t="shared" si="26"/>
        <v>1067533.57</v>
      </c>
      <c r="S215" s="3">
        <f t="shared" si="27"/>
        <v>13317461.33</v>
      </c>
      <c r="T215" s="3">
        <f t="shared" si="28"/>
        <v>0</v>
      </c>
      <c r="U215" s="3">
        <v>0</v>
      </c>
      <c r="V215" s="3">
        <v>0</v>
      </c>
      <c r="W215" s="175">
        <f t="shared" si="29"/>
        <v>2092207.17</v>
      </c>
      <c r="X215" s="175">
        <f t="shared" si="29"/>
        <v>0</v>
      </c>
      <c r="Z215" s="2">
        <f>[2]credits!$M215-U215</f>
        <v>697621.83</v>
      </c>
      <c r="AA215" s="2">
        <f>[2]credits!$O215-V215</f>
        <v>167712.25</v>
      </c>
      <c r="AB215" s="2">
        <f>[2]credits!$Q215-W215</f>
        <v>0</v>
      </c>
      <c r="AC215" s="2">
        <f>[2]credits!$S215-X215</f>
        <v>0</v>
      </c>
    </row>
    <row r="216" spans="1:29" ht="15" x14ac:dyDescent="0.25">
      <c r="A216" s="5">
        <v>712</v>
      </c>
      <c r="B216" s="5">
        <v>1</v>
      </c>
      <c r="C216" s="2" t="s">
        <v>213</v>
      </c>
      <c r="D216" s="3">
        <v>99092.56</v>
      </c>
      <c r="E216" s="3">
        <v>39284.639999999999</v>
      </c>
      <c r="F216" s="171">
        <v>297132.87</v>
      </c>
      <c r="G216" s="171">
        <v>56927.68</v>
      </c>
      <c r="H216" s="171">
        <v>0</v>
      </c>
      <c r="I216" s="171">
        <v>0</v>
      </c>
      <c r="J216" s="172">
        <v>0</v>
      </c>
      <c r="K216" s="171">
        <v>79271.350000000006</v>
      </c>
      <c r="L216" s="171">
        <v>0</v>
      </c>
      <c r="M216" s="3">
        <v>0</v>
      </c>
      <c r="N216" s="173">
        <v>76271.23</v>
      </c>
      <c r="O216" s="154">
        <f t="shared" si="23"/>
        <v>509603.13</v>
      </c>
      <c r="P216" s="3">
        <f t="shared" si="24"/>
        <v>155542.58000000002</v>
      </c>
      <c r="Q216" s="3">
        <f t="shared" si="25"/>
        <v>0</v>
      </c>
      <c r="R216" s="3">
        <f t="shared" si="26"/>
        <v>0</v>
      </c>
      <c r="S216" s="3">
        <f t="shared" si="27"/>
        <v>79271.350000000006</v>
      </c>
      <c r="T216" s="3">
        <f t="shared" si="28"/>
        <v>76271.23</v>
      </c>
      <c r="U216" s="3">
        <v>0</v>
      </c>
      <c r="V216" s="3">
        <v>0</v>
      </c>
      <c r="W216" s="175">
        <f>IF($P216=0,0,ROUND(S216/$P216*$E216,2))+5343.64</f>
        <v>25364.82</v>
      </c>
      <c r="X216" s="175">
        <f>IF($P216=0,0,ROUND(T216/$P216*$E216,2))+5141.43</f>
        <v>24404.89</v>
      </c>
      <c r="Z216" s="2">
        <f>[2]credits!$M216-U216</f>
        <v>107.26</v>
      </c>
      <c r="AA216" s="2">
        <f>[2]credits!$O216-V216</f>
        <v>0</v>
      </c>
      <c r="AB216" s="2">
        <f>[2]credits!$Q216-W216</f>
        <v>0</v>
      </c>
      <c r="AC216" s="2">
        <f>[2]credits!$S216-X216</f>
        <v>0</v>
      </c>
    </row>
    <row r="217" spans="1:29" ht="15" x14ac:dyDescent="0.25">
      <c r="A217" s="5">
        <v>716</v>
      </c>
      <c r="B217" s="5">
        <v>1</v>
      </c>
      <c r="C217" s="2" t="s">
        <v>214</v>
      </c>
      <c r="D217" s="3">
        <v>196328.32000000001</v>
      </c>
      <c r="E217" s="3">
        <v>199386.06000000003</v>
      </c>
      <c r="F217" s="171">
        <v>457001.91</v>
      </c>
      <c r="G217" s="171">
        <v>252900.08</v>
      </c>
      <c r="H217" s="171">
        <v>0</v>
      </c>
      <c r="I217" s="171">
        <v>427222.58</v>
      </c>
      <c r="J217" s="172">
        <v>134992.59</v>
      </c>
      <c r="K217" s="171">
        <v>3084451.39</v>
      </c>
      <c r="L217" s="171">
        <v>404994.14</v>
      </c>
      <c r="M217" s="3">
        <v>0</v>
      </c>
      <c r="N217" s="173">
        <v>0</v>
      </c>
      <c r="O217" s="154">
        <f t="shared" si="23"/>
        <v>4761562.6900000004</v>
      </c>
      <c r="P217" s="3">
        <f t="shared" si="24"/>
        <v>4051660.7</v>
      </c>
      <c r="Q217" s="3">
        <f t="shared" si="25"/>
        <v>427222.58</v>
      </c>
      <c r="R217" s="3">
        <f t="shared" si="26"/>
        <v>134992.59</v>
      </c>
      <c r="S217" s="3">
        <f t="shared" si="27"/>
        <v>3489445.5300000003</v>
      </c>
      <c r="T217" s="3">
        <f t="shared" si="28"/>
        <v>0</v>
      </c>
      <c r="U217" s="3">
        <v>0</v>
      </c>
      <c r="V217" s="3">
        <v>0</v>
      </c>
      <c r="W217" s="175">
        <f t="shared" si="29"/>
        <v>171718.92</v>
      </c>
      <c r="X217" s="175">
        <f t="shared" si="29"/>
        <v>0</v>
      </c>
      <c r="Z217" s="2">
        <f>[2]credits!$M217-U217</f>
        <v>20121.259999999998</v>
      </c>
      <c r="AA217" s="2">
        <f>[2]credits!$O217-V217</f>
        <v>6357.86</v>
      </c>
      <c r="AB217" s="2">
        <f>[2]credits!$Q217-W217</f>
        <v>1188.0099999999802</v>
      </c>
      <c r="AC217" s="2">
        <f>[2]credits!$S217-X217</f>
        <v>0</v>
      </c>
    </row>
    <row r="218" spans="1:29" ht="15" x14ac:dyDescent="0.25">
      <c r="A218" s="5">
        <v>717</v>
      </c>
      <c r="B218" s="5">
        <v>1</v>
      </c>
      <c r="C218" s="2" t="s">
        <v>215</v>
      </c>
      <c r="D218" s="3">
        <v>97435.49</v>
      </c>
      <c r="E218" s="3">
        <v>90988.7</v>
      </c>
      <c r="F218" s="171">
        <v>1068589.57</v>
      </c>
      <c r="G218" s="171">
        <v>299371.84999999998</v>
      </c>
      <c r="H218" s="171">
        <v>0</v>
      </c>
      <c r="I218" s="171">
        <v>466183.95</v>
      </c>
      <c r="J218" s="172">
        <v>130676.12</v>
      </c>
      <c r="K218" s="171">
        <v>1843698.29</v>
      </c>
      <c r="L218" s="171">
        <v>0</v>
      </c>
      <c r="M218" s="3">
        <v>0</v>
      </c>
      <c r="N218" s="173">
        <v>0</v>
      </c>
      <c r="O218" s="154">
        <f t="shared" si="23"/>
        <v>3808519.78</v>
      </c>
      <c r="P218" s="3">
        <f t="shared" si="24"/>
        <v>2440558.3600000003</v>
      </c>
      <c r="Q218" s="3">
        <f t="shared" si="25"/>
        <v>466183.95</v>
      </c>
      <c r="R218" s="3">
        <f t="shared" si="26"/>
        <v>130676.12</v>
      </c>
      <c r="S218" s="3">
        <f t="shared" si="27"/>
        <v>1843698.29</v>
      </c>
      <c r="T218" s="3">
        <f t="shared" si="28"/>
        <v>0</v>
      </c>
      <c r="U218" s="3">
        <v>0</v>
      </c>
      <c r="V218" s="3">
        <v>0</v>
      </c>
      <c r="W218" s="175">
        <f t="shared" si="29"/>
        <v>68736.61</v>
      </c>
      <c r="X218" s="175">
        <f t="shared" si="29"/>
        <v>0</v>
      </c>
      <c r="Z218" s="2">
        <f>[2]credits!$M218-U218</f>
        <v>17380.23</v>
      </c>
      <c r="AA218" s="2">
        <f>[2]credits!$O218-V218</f>
        <v>4871.8599999999997</v>
      </c>
      <c r="AB218" s="2">
        <f>[2]credits!$Q218-W218</f>
        <v>0</v>
      </c>
      <c r="AC218" s="2">
        <f>[2]credits!$S218-X218</f>
        <v>0</v>
      </c>
    </row>
    <row r="219" spans="1:29" ht="15" x14ac:dyDescent="0.25">
      <c r="A219" s="5">
        <v>719</v>
      </c>
      <c r="B219" s="5">
        <v>1</v>
      </c>
      <c r="C219" s="2" t="s">
        <v>216</v>
      </c>
      <c r="D219" s="3">
        <v>463064.93</v>
      </c>
      <c r="E219" s="3">
        <v>486720.5</v>
      </c>
      <c r="F219" s="171">
        <v>8169962.96</v>
      </c>
      <c r="G219" s="171">
        <v>854972.59</v>
      </c>
      <c r="H219" s="171">
        <v>0</v>
      </c>
      <c r="I219" s="171">
        <v>2866787.44</v>
      </c>
      <c r="J219" s="172">
        <v>631542.88</v>
      </c>
      <c r="K219" s="171">
        <v>13246035.380000001</v>
      </c>
      <c r="L219" s="171">
        <v>0</v>
      </c>
      <c r="M219" s="3">
        <v>0</v>
      </c>
      <c r="N219" s="173">
        <v>0</v>
      </c>
      <c r="O219" s="154">
        <f t="shared" si="23"/>
        <v>25769301.25</v>
      </c>
      <c r="P219" s="3">
        <f t="shared" si="24"/>
        <v>16744365.700000001</v>
      </c>
      <c r="Q219" s="3">
        <f t="shared" si="25"/>
        <v>2866787.44</v>
      </c>
      <c r="R219" s="3">
        <f t="shared" si="26"/>
        <v>631542.88</v>
      </c>
      <c r="S219" s="3">
        <f t="shared" si="27"/>
        <v>13246035.380000001</v>
      </c>
      <c r="T219" s="3">
        <f t="shared" si="28"/>
        <v>0</v>
      </c>
      <c r="U219" s="3">
        <v>0</v>
      </c>
      <c r="V219" s="3">
        <v>0</v>
      </c>
      <c r="W219" s="175">
        <f t="shared" si="29"/>
        <v>385032.02</v>
      </c>
      <c r="X219" s="175">
        <f t="shared" si="29"/>
        <v>0</v>
      </c>
      <c r="Z219" s="2">
        <f>[2]credits!$M219-U219</f>
        <v>83330.97</v>
      </c>
      <c r="AA219" s="2">
        <f>[2]credits!$O219-V219</f>
        <v>18357.509999999998</v>
      </c>
      <c r="AB219" s="2">
        <f>[2]credits!$Q219-W219</f>
        <v>0</v>
      </c>
      <c r="AC219" s="2">
        <f>[2]credits!$S219-X219</f>
        <v>0</v>
      </c>
    </row>
    <row r="220" spans="1:29" ht="15" x14ac:dyDescent="0.25">
      <c r="A220" s="5">
        <v>720</v>
      </c>
      <c r="B220" s="5">
        <v>1</v>
      </c>
      <c r="C220" s="2" t="s">
        <v>217</v>
      </c>
      <c r="D220" s="3">
        <v>527997</v>
      </c>
      <c r="E220" s="3">
        <v>578696.28</v>
      </c>
      <c r="F220" s="171">
        <v>4760430.25</v>
      </c>
      <c r="G220" s="171">
        <v>1370197.58</v>
      </c>
      <c r="H220" s="171">
        <v>0</v>
      </c>
      <c r="I220" s="171">
        <v>1469727.42</v>
      </c>
      <c r="J220" s="172">
        <v>478006.72</v>
      </c>
      <c r="K220" s="171">
        <v>13022790.67</v>
      </c>
      <c r="L220" s="171">
        <v>0</v>
      </c>
      <c r="M220" s="3">
        <v>0</v>
      </c>
      <c r="N220" s="173">
        <v>0</v>
      </c>
      <c r="O220" s="154">
        <f t="shared" si="23"/>
        <v>21101152.640000001</v>
      </c>
      <c r="P220" s="3">
        <f t="shared" si="24"/>
        <v>14970524.810000001</v>
      </c>
      <c r="Q220" s="3">
        <f t="shared" si="25"/>
        <v>1469727.42</v>
      </c>
      <c r="R220" s="3">
        <f t="shared" si="26"/>
        <v>478006.72</v>
      </c>
      <c r="S220" s="3">
        <f t="shared" si="27"/>
        <v>13022790.67</v>
      </c>
      <c r="T220" s="3">
        <f t="shared" si="28"/>
        <v>0</v>
      </c>
      <c r="U220" s="3">
        <v>0</v>
      </c>
      <c r="V220" s="3">
        <v>0</v>
      </c>
      <c r="W220" s="175">
        <f t="shared" si="29"/>
        <v>503405.23</v>
      </c>
      <c r="X220" s="175">
        <f t="shared" si="29"/>
        <v>0</v>
      </c>
      <c r="Z220" s="2">
        <f>[2]credits!$M220-U220</f>
        <v>56813.36</v>
      </c>
      <c r="AA220" s="2">
        <f>[2]credits!$O220-V220</f>
        <v>18477.689999999999</v>
      </c>
      <c r="AB220" s="2">
        <f>[2]credits!$Q220-W220</f>
        <v>0</v>
      </c>
      <c r="AC220" s="2">
        <f>[2]credits!$S220-X220</f>
        <v>0</v>
      </c>
    </row>
    <row r="221" spans="1:29" ht="15" x14ac:dyDescent="0.25">
      <c r="A221" s="5">
        <v>721</v>
      </c>
      <c r="B221" s="5">
        <v>1</v>
      </c>
      <c r="C221" s="2" t="s">
        <v>218</v>
      </c>
      <c r="D221" s="3">
        <v>319344.40999999997</v>
      </c>
      <c r="E221" s="3">
        <v>331663.15000000002</v>
      </c>
      <c r="F221" s="171">
        <v>2907810.91</v>
      </c>
      <c r="G221" s="171">
        <v>592889.68000000005</v>
      </c>
      <c r="H221" s="171">
        <v>0</v>
      </c>
      <c r="I221" s="171">
        <v>1258375.3400000001</v>
      </c>
      <c r="J221" s="172">
        <v>218669.95</v>
      </c>
      <c r="K221" s="171">
        <v>4847510.96</v>
      </c>
      <c r="L221" s="171">
        <v>0</v>
      </c>
      <c r="M221" s="3">
        <v>0</v>
      </c>
      <c r="N221" s="173">
        <v>0</v>
      </c>
      <c r="O221" s="154">
        <f t="shared" si="23"/>
        <v>9825256.8399999999</v>
      </c>
      <c r="P221" s="3">
        <f t="shared" si="24"/>
        <v>6324556.25</v>
      </c>
      <c r="Q221" s="3">
        <f t="shared" si="25"/>
        <v>1258375.3400000001</v>
      </c>
      <c r="R221" s="3">
        <f t="shared" si="26"/>
        <v>218669.95</v>
      </c>
      <c r="S221" s="3">
        <f t="shared" si="27"/>
        <v>4847510.96</v>
      </c>
      <c r="T221" s="3">
        <f t="shared" si="28"/>
        <v>0</v>
      </c>
      <c r="U221" s="3">
        <v>0</v>
      </c>
      <c r="V221" s="3">
        <v>0</v>
      </c>
      <c r="W221" s="175">
        <f t="shared" si="29"/>
        <v>254206.1</v>
      </c>
      <c r="X221" s="175">
        <f t="shared" si="29"/>
        <v>0</v>
      </c>
      <c r="Z221" s="2">
        <f>[2]credits!$M221-U221</f>
        <v>65989.88</v>
      </c>
      <c r="AA221" s="2">
        <f>[2]credits!$O221-V221</f>
        <v>11467.17</v>
      </c>
      <c r="AB221" s="2">
        <f>[2]credits!$Q221-W221</f>
        <v>0</v>
      </c>
      <c r="AC221" s="2">
        <f>[2]credits!$S221-X221</f>
        <v>0</v>
      </c>
    </row>
    <row r="222" spans="1:29" ht="15" x14ac:dyDescent="0.25">
      <c r="A222" s="5">
        <v>726</v>
      </c>
      <c r="B222" s="5">
        <v>1</v>
      </c>
      <c r="C222" s="2" t="s">
        <v>219</v>
      </c>
      <c r="D222" s="3">
        <v>139592.75</v>
      </c>
      <c r="E222" s="3">
        <v>156759.02000000002</v>
      </c>
      <c r="F222" s="171">
        <v>2220791.9900000002</v>
      </c>
      <c r="G222" s="171">
        <v>325209.74</v>
      </c>
      <c r="H222" s="171">
        <v>412139</v>
      </c>
      <c r="I222" s="171">
        <v>1216081.9199999999</v>
      </c>
      <c r="J222" s="172">
        <v>193254.51</v>
      </c>
      <c r="K222" s="171">
        <v>3034776.16</v>
      </c>
      <c r="L222" s="171">
        <v>0</v>
      </c>
      <c r="M222" s="3">
        <v>0</v>
      </c>
      <c r="N222" s="173">
        <v>0</v>
      </c>
      <c r="O222" s="154">
        <f t="shared" si="23"/>
        <v>7402253.3200000003</v>
      </c>
      <c r="P222" s="3">
        <f t="shared" si="24"/>
        <v>4856251.59</v>
      </c>
      <c r="Q222" s="3">
        <f t="shared" si="25"/>
        <v>1628220.92</v>
      </c>
      <c r="R222" s="3">
        <f t="shared" si="26"/>
        <v>193254.51</v>
      </c>
      <c r="S222" s="3">
        <f t="shared" si="27"/>
        <v>3034776.16</v>
      </c>
      <c r="T222" s="3">
        <f t="shared" si="28"/>
        <v>0</v>
      </c>
      <c r="U222" s="3">
        <v>0</v>
      </c>
      <c r="V222" s="3">
        <v>0</v>
      </c>
      <c r="W222" s="175">
        <f t="shared" si="29"/>
        <v>97962.09</v>
      </c>
      <c r="X222" s="175">
        <f t="shared" si="29"/>
        <v>0</v>
      </c>
      <c r="Z222" s="2">
        <f>[2]credits!$M222-U222</f>
        <v>52558.71</v>
      </c>
      <c r="AA222" s="2">
        <f>[2]credits!$O222-V222</f>
        <v>6238.22</v>
      </c>
      <c r="AB222" s="2">
        <f>[2]credits!$Q222-W222</f>
        <v>0</v>
      </c>
      <c r="AC222" s="2">
        <f>[2]credits!$S222-X222</f>
        <v>0</v>
      </c>
    </row>
    <row r="223" spans="1:29" ht="15" x14ac:dyDescent="0.25">
      <c r="A223" s="5">
        <v>727</v>
      </c>
      <c r="B223" s="5">
        <v>1</v>
      </c>
      <c r="C223" s="2" t="s">
        <v>220</v>
      </c>
      <c r="D223" s="3">
        <v>319574.22000000003</v>
      </c>
      <c r="E223" s="3">
        <v>329218.90000000002</v>
      </c>
      <c r="F223" s="171">
        <v>1393881.97</v>
      </c>
      <c r="G223" s="171">
        <v>317308.93</v>
      </c>
      <c r="H223" s="171">
        <v>0</v>
      </c>
      <c r="I223" s="171">
        <v>838434.93</v>
      </c>
      <c r="J223" s="172">
        <v>250130.88</v>
      </c>
      <c r="K223" s="171">
        <v>4092575.47</v>
      </c>
      <c r="L223" s="171">
        <v>0</v>
      </c>
      <c r="M223" s="3">
        <v>0</v>
      </c>
      <c r="N223" s="173">
        <v>408315</v>
      </c>
      <c r="O223" s="154">
        <f t="shared" si="23"/>
        <v>7300647.1799999997</v>
      </c>
      <c r="P223" s="3">
        <f t="shared" si="24"/>
        <v>5589456.2800000003</v>
      </c>
      <c r="Q223" s="3">
        <f t="shared" si="25"/>
        <v>838434.93</v>
      </c>
      <c r="R223" s="3">
        <f t="shared" si="26"/>
        <v>250130.88</v>
      </c>
      <c r="S223" s="3">
        <f t="shared" si="27"/>
        <v>4092575.47</v>
      </c>
      <c r="T223" s="3">
        <f t="shared" si="28"/>
        <v>408315</v>
      </c>
      <c r="U223" s="3">
        <v>0</v>
      </c>
      <c r="V223" s="3">
        <v>0</v>
      </c>
      <c r="W223" s="175">
        <f t="shared" si="29"/>
        <v>241052.64</v>
      </c>
      <c r="X223" s="175">
        <f t="shared" si="29"/>
        <v>24049.75</v>
      </c>
      <c r="Z223" s="2">
        <f>[2]credits!$M223-U223</f>
        <v>48732.68</v>
      </c>
      <c r="AA223" s="2">
        <f>[2]credits!$O223-V223</f>
        <v>14538.45</v>
      </c>
      <c r="AB223" s="2">
        <f>[2]credits!$Q223-W223</f>
        <v>1162.4799999999814</v>
      </c>
      <c r="AC223" s="2">
        <f>[2]credits!$S223-X223</f>
        <v>-317.09999999999854</v>
      </c>
    </row>
    <row r="224" spans="1:29" ht="15" x14ac:dyDescent="0.25">
      <c r="A224" s="5">
        <v>728</v>
      </c>
      <c r="B224" s="5">
        <v>1</v>
      </c>
      <c r="C224" s="2" t="s">
        <v>221</v>
      </c>
      <c r="D224" s="3">
        <v>1182249.8800000001</v>
      </c>
      <c r="E224" s="3">
        <v>1301656.9099999999</v>
      </c>
      <c r="F224" s="171">
        <v>9464360.0600000005</v>
      </c>
      <c r="G224" s="171">
        <v>1292986.96</v>
      </c>
      <c r="H224" s="171">
        <v>0</v>
      </c>
      <c r="I224" s="171">
        <v>6967708.7400000002</v>
      </c>
      <c r="J224" s="172">
        <v>862292.22</v>
      </c>
      <c r="K224" s="171">
        <v>19265667.890000001</v>
      </c>
      <c r="L224" s="171">
        <v>1540262.56</v>
      </c>
      <c r="M224" s="3">
        <v>0</v>
      </c>
      <c r="N224" s="173">
        <v>321928</v>
      </c>
      <c r="O224" s="154">
        <f t="shared" si="23"/>
        <v>39715206.43</v>
      </c>
      <c r="P224" s="3">
        <f t="shared" si="24"/>
        <v>28957859.41</v>
      </c>
      <c r="Q224" s="3">
        <f t="shared" si="25"/>
        <v>6967708.7400000002</v>
      </c>
      <c r="R224" s="3">
        <f t="shared" si="26"/>
        <v>862292.22</v>
      </c>
      <c r="S224" s="3">
        <f t="shared" si="27"/>
        <v>20805930.449999999</v>
      </c>
      <c r="T224" s="3">
        <f t="shared" si="28"/>
        <v>321928</v>
      </c>
      <c r="U224" s="3">
        <v>0</v>
      </c>
      <c r="V224" s="3">
        <v>0</v>
      </c>
      <c r="W224" s="175">
        <f t="shared" si="29"/>
        <v>935227.39</v>
      </c>
      <c r="X224" s="175">
        <f t="shared" si="29"/>
        <v>14470.68</v>
      </c>
      <c r="Z224" s="2">
        <f>[2]credits!$M224-U224</f>
        <v>311741.98</v>
      </c>
      <c r="AA224" s="2">
        <f>[2]credits!$O224-V224</f>
        <v>38579.78</v>
      </c>
      <c r="AB224" s="2">
        <f>[2]credits!$Q224-W224</f>
        <v>1704.390000000014</v>
      </c>
      <c r="AC224" s="2">
        <f>[2]credits!$S224-X224</f>
        <v>-67.309999999999491</v>
      </c>
    </row>
    <row r="225" spans="1:29" ht="15" x14ac:dyDescent="0.25">
      <c r="A225" s="5">
        <v>738</v>
      </c>
      <c r="B225" s="5">
        <v>1</v>
      </c>
      <c r="C225" s="2" t="s">
        <v>222</v>
      </c>
      <c r="D225" s="3">
        <v>143630.19999999998</v>
      </c>
      <c r="E225" s="3">
        <v>130588.05</v>
      </c>
      <c r="F225" s="171">
        <v>322089.59999999998</v>
      </c>
      <c r="G225" s="171">
        <v>72670.990000000005</v>
      </c>
      <c r="H225" s="171">
        <v>0</v>
      </c>
      <c r="I225" s="171">
        <v>36557.040000000001</v>
      </c>
      <c r="J225" s="172">
        <v>58197.91</v>
      </c>
      <c r="K225" s="171">
        <v>677256.45</v>
      </c>
      <c r="L225" s="171">
        <v>270351.63</v>
      </c>
      <c r="M225" s="3">
        <v>0</v>
      </c>
      <c r="N225" s="173">
        <v>78063</v>
      </c>
      <c r="O225" s="154">
        <f t="shared" si="23"/>
        <v>1515186.6199999996</v>
      </c>
      <c r="P225" s="3">
        <f t="shared" si="24"/>
        <v>1120426.0299999998</v>
      </c>
      <c r="Q225" s="3">
        <f t="shared" si="25"/>
        <v>36557.040000000001</v>
      </c>
      <c r="R225" s="3">
        <f t="shared" si="26"/>
        <v>58197.91</v>
      </c>
      <c r="S225" s="3">
        <f t="shared" si="27"/>
        <v>947608.08</v>
      </c>
      <c r="T225" s="3">
        <f t="shared" si="28"/>
        <v>78063</v>
      </c>
      <c r="U225" s="3">
        <v>0</v>
      </c>
      <c r="V225" s="3">
        <v>0</v>
      </c>
      <c r="W225" s="175">
        <f t="shared" si="29"/>
        <v>110445.75</v>
      </c>
      <c r="X225" s="175">
        <f t="shared" si="29"/>
        <v>9098.41</v>
      </c>
      <c r="Z225" s="2">
        <f>[2]credits!$M225-U225</f>
        <v>4260.8</v>
      </c>
      <c r="AA225" s="2">
        <f>[2]credits!$O225-V225</f>
        <v>6783.09</v>
      </c>
      <c r="AB225" s="2">
        <f>[2]credits!$Q225-W225</f>
        <v>0</v>
      </c>
      <c r="AC225" s="2">
        <f>[2]credits!$S225-X225</f>
        <v>0</v>
      </c>
    </row>
    <row r="226" spans="1:29" ht="15" x14ac:dyDescent="0.25">
      <c r="A226" s="5">
        <v>739</v>
      </c>
      <c r="B226" s="5">
        <v>1</v>
      </c>
      <c r="C226" s="2" t="s">
        <v>223</v>
      </c>
      <c r="D226" s="3">
        <v>85147.66</v>
      </c>
      <c r="E226" s="3">
        <v>85759.51</v>
      </c>
      <c r="F226" s="171">
        <v>655710.47</v>
      </c>
      <c r="G226" s="171">
        <v>68110.64</v>
      </c>
      <c r="H226" s="171">
        <v>0</v>
      </c>
      <c r="I226" s="171">
        <v>277231.25</v>
      </c>
      <c r="J226" s="172">
        <v>65659.429999999993</v>
      </c>
      <c r="K226" s="171">
        <v>744827.84</v>
      </c>
      <c r="L226" s="171">
        <v>0</v>
      </c>
      <c r="M226" s="3">
        <v>0</v>
      </c>
      <c r="N226" s="173">
        <v>0</v>
      </c>
      <c r="O226" s="154">
        <f t="shared" si="23"/>
        <v>1811539.63</v>
      </c>
      <c r="P226" s="3">
        <f t="shared" si="24"/>
        <v>1087718.52</v>
      </c>
      <c r="Q226" s="3">
        <f t="shared" si="25"/>
        <v>277231.25</v>
      </c>
      <c r="R226" s="3">
        <f t="shared" si="26"/>
        <v>65659.429999999993</v>
      </c>
      <c r="S226" s="3">
        <f t="shared" si="27"/>
        <v>744827.84</v>
      </c>
      <c r="T226" s="3">
        <f t="shared" si="28"/>
        <v>0</v>
      </c>
      <c r="U226" s="3">
        <v>0</v>
      </c>
      <c r="V226" s="3">
        <v>0</v>
      </c>
      <c r="W226" s="175">
        <f t="shared" si="29"/>
        <v>58724.82</v>
      </c>
      <c r="X226" s="175">
        <f t="shared" si="29"/>
        <v>0</v>
      </c>
      <c r="Z226" s="2">
        <f>[2]credits!$M226-U226</f>
        <v>21857.88</v>
      </c>
      <c r="AA226" s="2">
        <f>[2]credits!$O226-V226</f>
        <v>5176.82</v>
      </c>
      <c r="AB226" s="2">
        <f>[2]credits!$Q226-W226</f>
        <v>0</v>
      </c>
      <c r="AC226" s="2">
        <f>[2]credits!$S226-X226</f>
        <v>0</v>
      </c>
    </row>
    <row r="227" spans="1:29" ht="15" x14ac:dyDescent="0.25">
      <c r="A227" s="5">
        <v>740</v>
      </c>
      <c r="B227" s="5">
        <v>1</v>
      </c>
      <c r="C227" s="2" t="s">
        <v>224</v>
      </c>
      <c r="D227" s="3">
        <v>152407.52000000002</v>
      </c>
      <c r="E227" s="3">
        <v>155861.98000000001</v>
      </c>
      <c r="F227" s="171">
        <v>717766.95</v>
      </c>
      <c r="G227" s="171">
        <v>107679.05</v>
      </c>
      <c r="H227" s="171">
        <v>0</v>
      </c>
      <c r="I227" s="171">
        <v>490704.65</v>
      </c>
      <c r="J227" s="172">
        <v>101703.89</v>
      </c>
      <c r="K227" s="171">
        <v>845815.7</v>
      </c>
      <c r="L227" s="171">
        <v>262972.01</v>
      </c>
      <c r="M227" s="3">
        <v>0</v>
      </c>
      <c r="N227" s="173">
        <v>0</v>
      </c>
      <c r="O227" s="154">
        <f t="shared" si="23"/>
        <v>2526642.25</v>
      </c>
      <c r="P227" s="3">
        <f t="shared" si="24"/>
        <v>1701196.25</v>
      </c>
      <c r="Q227" s="3">
        <f t="shared" si="25"/>
        <v>490704.65</v>
      </c>
      <c r="R227" s="3">
        <f t="shared" si="26"/>
        <v>101703.89</v>
      </c>
      <c r="S227" s="3">
        <f t="shared" si="27"/>
        <v>1108787.71</v>
      </c>
      <c r="T227" s="3">
        <f t="shared" si="28"/>
        <v>0</v>
      </c>
      <c r="U227" s="3">
        <v>0</v>
      </c>
      <c r="V227" s="3">
        <v>0</v>
      </c>
      <c r="W227" s="175">
        <f t="shared" si="29"/>
        <v>101586.07</v>
      </c>
      <c r="X227" s="175">
        <f t="shared" si="29"/>
        <v>0</v>
      </c>
      <c r="Z227" s="2">
        <f>[2]credits!$M227-U227</f>
        <v>44957.89</v>
      </c>
      <c r="AA227" s="2">
        <f>[2]credits!$O227-V227</f>
        <v>9318.01</v>
      </c>
      <c r="AB227" s="2">
        <f>[2]credits!$Q227-W227</f>
        <v>0</v>
      </c>
      <c r="AC227" s="2">
        <f>[2]credits!$S227-X227</f>
        <v>0</v>
      </c>
    </row>
    <row r="228" spans="1:29" ht="15" x14ac:dyDescent="0.25">
      <c r="A228" s="5">
        <v>741</v>
      </c>
      <c r="B228" s="5">
        <v>1</v>
      </c>
      <c r="C228" s="2" t="s">
        <v>225</v>
      </c>
      <c r="D228" s="3">
        <v>98397.12000000001</v>
      </c>
      <c r="E228" s="3">
        <v>102386.16</v>
      </c>
      <c r="F228" s="171">
        <v>382623.37</v>
      </c>
      <c r="G228" s="171">
        <v>115727.16</v>
      </c>
      <c r="H228" s="171">
        <v>0</v>
      </c>
      <c r="I228" s="171">
        <v>373043.37</v>
      </c>
      <c r="J228" s="172">
        <v>79999.16</v>
      </c>
      <c r="K228" s="171">
        <v>806328.55</v>
      </c>
      <c r="L228" s="171">
        <v>63473</v>
      </c>
      <c r="M228" s="3">
        <v>0</v>
      </c>
      <c r="N228" s="173">
        <v>0</v>
      </c>
      <c r="O228" s="154">
        <f t="shared" si="23"/>
        <v>1821194.61</v>
      </c>
      <c r="P228" s="3">
        <f t="shared" si="24"/>
        <v>1322844.08</v>
      </c>
      <c r="Q228" s="3">
        <f t="shared" si="25"/>
        <v>373043.37</v>
      </c>
      <c r="R228" s="3">
        <f t="shared" si="26"/>
        <v>79999.16</v>
      </c>
      <c r="S228" s="3">
        <f t="shared" si="27"/>
        <v>869801.55</v>
      </c>
      <c r="T228" s="3">
        <f t="shared" si="28"/>
        <v>0</v>
      </c>
      <c r="U228" s="3">
        <v>0</v>
      </c>
      <c r="V228" s="3">
        <v>0</v>
      </c>
      <c r="W228" s="175">
        <f t="shared" si="29"/>
        <v>67321.34</v>
      </c>
      <c r="X228" s="175">
        <f t="shared" si="29"/>
        <v>0</v>
      </c>
      <c r="Z228" s="2">
        <f>[2]credits!$M228-U228</f>
        <v>18832.91</v>
      </c>
      <c r="AA228" s="2">
        <f>[2]credits!$O228-V228</f>
        <v>4038.72</v>
      </c>
      <c r="AB228" s="2">
        <f>[2]credits!$Q228-W228</f>
        <v>12193.190000000002</v>
      </c>
      <c r="AC228" s="2">
        <f>[2]credits!$S228-X228</f>
        <v>0</v>
      </c>
    </row>
    <row r="229" spans="1:29" ht="15" x14ac:dyDescent="0.25">
      <c r="A229" s="5">
        <v>742</v>
      </c>
      <c r="B229" s="5">
        <v>1</v>
      </c>
      <c r="C229" s="2" t="s">
        <v>226</v>
      </c>
      <c r="D229" s="3">
        <v>626091.24</v>
      </c>
      <c r="E229" s="3">
        <v>869335.91</v>
      </c>
      <c r="F229" s="171">
        <v>5918517.75</v>
      </c>
      <c r="G229" s="171">
        <v>1157466.76</v>
      </c>
      <c r="H229" s="171">
        <v>0</v>
      </c>
      <c r="I229" s="171">
        <v>6710295.0300000003</v>
      </c>
      <c r="J229" s="172">
        <v>1279899.1599999999</v>
      </c>
      <c r="K229" s="171">
        <v>4445676.32</v>
      </c>
      <c r="L229" s="171">
        <v>0</v>
      </c>
      <c r="M229" s="3">
        <v>0</v>
      </c>
      <c r="N229" s="173">
        <v>2240244</v>
      </c>
      <c r="O229" s="154">
        <f t="shared" si="23"/>
        <v>21752099.02</v>
      </c>
      <c r="P229" s="3">
        <f t="shared" si="24"/>
        <v>14676114.510000002</v>
      </c>
      <c r="Q229" s="3">
        <f t="shared" si="25"/>
        <v>6710295.0300000003</v>
      </c>
      <c r="R229" s="3">
        <f t="shared" si="26"/>
        <v>1279899.1599999999</v>
      </c>
      <c r="S229" s="3">
        <f t="shared" si="27"/>
        <v>4445676.32</v>
      </c>
      <c r="T229" s="3">
        <f t="shared" si="28"/>
        <v>2240244</v>
      </c>
      <c r="U229" s="3">
        <v>0</v>
      </c>
      <c r="V229" s="3">
        <v>0</v>
      </c>
      <c r="W229" s="175">
        <f t="shared" si="29"/>
        <v>263338.51</v>
      </c>
      <c r="X229" s="175">
        <f t="shared" si="29"/>
        <v>132700.28</v>
      </c>
      <c r="Z229" s="2">
        <f>[2]credits!$M229-U229</f>
        <v>397482.62</v>
      </c>
      <c r="AA229" s="2">
        <f>[2]credits!$O229-V229</f>
        <v>75814.5</v>
      </c>
      <c r="AB229" s="2">
        <f>[2]credits!$Q229-W229</f>
        <v>0</v>
      </c>
      <c r="AC229" s="2">
        <f>[2]credits!$S229-X229</f>
        <v>0</v>
      </c>
    </row>
    <row r="230" spans="1:29" ht="15" x14ac:dyDescent="0.25">
      <c r="A230" s="5">
        <v>743</v>
      </c>
      <c r="B230" s="5">
        <v>1</v>
      </c>
      <c r="C230" s="2" t="s">
        <v>227</v>
      </c>
      <c r="D230" s="3">
        <v>116505.52</v>
      </c>
      <c r="E230" s="3">
        <v>106462.2</v>
      </c>
      <c r="F230" s="171">
        <v>1076386.1299999999</v>
      </c>
      <c r="G230" s="171">
        <v>90756.91</v>
      </c>
      <c r="H230" s="171">
        <v>0</v>
      </c>
      <c r="I230" s="171">
        <v>199394.79</v>
      </c>
      <c r="J230" s="172">
        <v>87080.34</v>
      </c>
      <c r="K230" s="171">
        <v>733033.58</v>
      </c>
      <c r="L230" s="171">
        <v>182008.95</v>
      </c>
      <c r="M230" s="3">
        <v>0</v>
      </c>
      <c r="N230" s="173">
        <v>0</v>
      </c>
      <c r="O230" s="154">
        <f t="shared" si="23"/>
        <v>2368660.7000000002</v>
      </c>
      <c r="P230" s="3">
        <f t="shared" si="24"/>
        <v>1201517.6599999999</v>
      </c>
      <c r="Q230" s="3">
        <f t="shared" si="25"/>
        <v>199394.79</v>
      </c>
      <c r="R230" s="3">
        <f t="shared" si="26"/>
        <v>87080.34</v>
      </c>
      <c r="S230" s="3">
        <f t="shared" si="27"/>
        <v>915042.53</v>
      </c>
      <c r="T230" s="3">
        <f t="shared" si="28"/>
        <v>0</v>
      </c>
      <c r="U230" s="3">
        <v>0</v>
      </c>
      <c r="V230" s="3">
        <v>0</v>
      </c>
      <c r="W230" s="175">
        <f t="shared" si="29"/>
        <v>81078.66</v>
      </c>
      <c r="X230" s="175">
        <f t="shared" si="29"/>
        <v>0</v>
      </c>
      <c r="Z230" s="2">
        <f>[2]credits!$M230-U230</f>
        <v>17667.66</v>
      </c>
      <c r="AA230" s="2">
        <f>[2]credits!$O230-V230</f>
        <v>7715.88</v>
      </c>
      <c r="AB230" s="2">
        <f>[2]credits!$Q230-W230</f>
        <v>0</v>
      </c>
      <c r="AC230" s="2">
        <f>[2]credits!$S230-X230</f>
        <v>0</v>
      </c>
    </row>
    <row r="231" spans="1:29" ht="15" x14ac:dyDescent="0.25">
      <c r="A231" s="5">
        <v>745</v>
      </c>
      <c r="B231" s="5">
        <v>1</v>
      </c>
      <c r="C231" s="2" t="s">
        <v>228</v>
      </c>
      <c r="D231" s="3">
        <v>167965.56</v>
      </c>
      <c r="E231" s="3">
        <v>169337.93</v>
      </c>
      <c r="F231" s="171">
        <v>542906.17000000004</v>
      </c>
      <c r="G231" s="171">
        <v>194911.23</v>
      </c>
      <c r="H231" s="171">
        <v>0</v>
      </c>
      <c r="I231" s="171">
        <v>304429.40000000002</v>
      </c>
      <c r="J231" s="172">
        <v>100325.94</v>
      </c>
      <c r="K231" s="171">
        <v>1182514</v>
      </c>
      <c r="L231" s="171">
        <v>395979.08</v>
      </c>
      <c r="M231" s="3">
        <v>0</v>
      </c>
      <c r="N231" s="173">
        <v>0</v>
      </c>
      <c r="O231" s="154">
        <f t="shared" si="23"/>
        <v>2721065.8200000003</v>
      </c>
      <c r="P231" s="3">
        <f t="shared" si="24"/>
        <v>1983248.4200000002</v>
      </c>
      <c r="Q231" s="3">
        <f t="shared" si="25"/>
        <v>304429.40000000002</v>
      </c>
      <c r="R231" s="3">
        <f t="shared" si="26"/>
        <v>100325.94</v>
      </c>
      <c r="S231" s="3">
        <f t="shared" si="27"/>
        <v>1578493.08</v>
      </c>
      <c r="T231" s="3">
        <f t="shared" si="28"/>
        <v>0</v>
      </c>
      <c r="U231" s="3">
        <v>0</v>
      </c>
      <c r="V231" s="3">
        <v>0</v>
      </c>
      <c r="W231" s="175">
        <f t="shared" si="29"/>
        <v>134778.25</v>
      </c>
      <c r="X231" s="175">
        <f t="shared" si="29"/>
        <v>0</v>
      </c>
      <c r="Z231" s="2">
        <f>[2]credits!$M231-U231</f>
        <v>25993.439999999999</v>
      </c>
      <c r="AA231" s="2">
        <f>[2]credits!$O231-V231</f>
        <v>8566.24</v>
      </c>
      <c r="AB231" s="2">
        <f>[2]credits!$Q231-W231</f>
        <v>0</v>
      </c>
      <c r="AC231" s="2">
        <f>[2]credits!$S231-X231</f>
        <v>0</v>
      </c>
    </row>
    <row r="232" spans="1:29" ht="15" x14ac:dyDescent="0.25">
      <c r="A232" s="5">
        <v>748</v>
      </c>
      <c r="B232" s="5">
        <v>1</v>
      </c>
      <c r="C232" s="2" t="s">
        <v>229</v>
      </c>
      <c r="D232" s="3">
        <v>284818.75</v>
      </c>
      <c r="E232" s="3">
        <v>288056.67</v>
      </c>
      <c r="F232" s="171">
        <v>844054.69</v>
      </c>
      <c r="G232" s="171">
        <v>338449.11</v>
      </c>
      <c r="H232" s="171">
        <v>0</v>
      </c>
      <c r="I232" s="171">
        <v>902444.13</v>
      </c>
      <c r="J232" s="172">
        <v>172882.32</v>
      </c>
      <c r="K232" s="171">
        <v>4265531.43</v>
      </c>
      <c r="L232" s="171">
        <v>0</v>
      </c>
      <c r="M232" s="3">
        <v>0</v>
      </c>
      <c r="N232" s="173">
        <v>0</v>
      </c>
      <c r="O232" s="154">
        <f t="shared" si="23"/>
        <v>6523361.6799999997</v>
      </c>
      <c r="P232" s="3">
        <f t="shared" si="24"/>
        <v>5340857.88</v>
      </c>
      <c r="Q232" s="3">
        <f t="shared" si="25"/>
        <v>902444.13</v>
      </c>
      <c r="R232" s="3">
        <f t="shared" si="26"/>
        <v>172882.32</v>
      </c>
      <c r="S232" s="3">
        <f t="shared" si="27"/>
        <v>4265531.43</v>
      </c>
      <c r="T232" s="3">
        <f t="shared" si="28"/>
        <v>0</v>
      </c>
      <c r="U232" s="3">
        <v>0</v>
      </c>
      <c r="V232" s="3">
        <v>0</v>
      </c>
      <c r="W232" s="175">
        <f t="shared" si="29"/>
        <v>230059.44</v>
      </c>
      <c r="X232" s="175">
        <f t="shared" si="29"/>
        <v>0</v>
      </c>
      <c r="Z232" s="2">
        <f>[2]credits!$M232-U232</f>
        <v>48672.9</v>
      </c>
      <c r="AA232" s="2">
        <f>[2]credits!$O232-V232</f>
        <v>9324.33</v>
      </c>
      <c r="AB232" s="2">
        <f>[2]credits!$Q232-W232</f>
        <v>0</v>
      </c>
      <c r="AC232" s="2">
        <f>[2]credits!$S232-X232</f>
        <v>0</v>
      </c>
    </row>
    <row r="233" spans="1:29" ht="15" x14ac:dyDescent="0.25">
      <c r="A233" s="5">
        <v>750</v>
      </c>
      <c r="B233" s="5">
        <v>1</v>
      </c>
      <c r="C233" s="2" t="s">
        <v>230</v>
      </c>
      <c r="D233" s="3">
        <v>213893.52</v>
      </c>
      <c r="E233" s="3">
        <v>219949.61</v>
      </c>
      <c r="F233" s="171">
        <v>1092816.6399999999</v>
      </c>
      <c r="G233" s="171">
        <v>290034.73</v>
      </c>
      <c r="H233" s="171">
        <v>0</v>
      </c>
      <c r="I233" s="171">
        <v>728977.76</v>
      </c>
      <c r="J233" s="172">
        <v>145504.10999999999</v>
      </c>
      <c r="K233" s="171">
        <v>2104581.85</v>
      </c>
      <c r="L233" s="171">
        <v>263181.87</v>
      </c>
      <c r="M233" s="3">
        <v>0</v>
      </c>
      <c r="N233" s="173">
        <v>423347</v>
      </c>
      <c r="O233" s="154">
        <f t="shared" si="23"/>
        <v>5048443.96</v>
      </c>
      <c r="P233" s="3">
        <f t="shared" si="24"/>
        <v>3665592.5900000003</v>
      </c>
      <c r="Q233" s="3">
        <f t="shared" si="25"/>
        <v>728977.76</v>
      </c>
      <c r="R233" s="3">
        <f t="shared" si="26"/>
        <v>145504.10999999999</v>
      </c>
      <c r="S233" s="3">
        <f t="shared" si="27"/>
        <v>2367763.7200000002</v>
      </c>
      <c r="T233" s="3">
        <f t="shared" si="28"/>
        <v>423347</v>
      </c>
      <c r="U233" s="3">
        <v>0</v>
      </c>
      <c r="V233" s="3">
        <v>0</v>
      </c>
      <c r="W233" s="175">
        <f t="shared" si="29"/>
        <v>142074.9</v>
      </c>
      <c r="X233" s="175">
        <f t="shared" si="29"/>
        <v>25402.44</v>
      </c>
      <c r="Z233" s="2">
        <f>[2]credits!$M233-U233</f>
        <v>43741.46</v>
      </c>
      <c r="AA233" s="2">
        <f>[2]credits!$O233-V233</f>
        <v>8730.7999999999993</v>
      </c>
      <c r="AB233" s="2">
        <f>[2]credits!$Q233-W233</f>
        <v>0</v>
      </c>
      <c r="AC233" s="2">
        <f>[2]credits!$S233-X233</f>
        <v>0</v>
      </c>
    </row>
    <row r="234" spans="1:29" ht="15" x14ac:dyDescent="0.25">
      <c r="A234" s="5">
        <v>756</v>
      </c>
      <c r="B234" s="5">
        <v>1</v>
      </c>
      <c r="C234" s="2" t="s">
        <v>231</v>
      </c>
      <c r="D234" s="3">
        <v>155758.84</v>
      </c>
      <c r="E234" s="3">
        <v>145355.24</v>
      </c>
      <c r="F234" s="171">
        <v>327474.61</v>
      </c>
      <c r="G234" s="171">
        <v>43335.76</v>
      </c>
      <c r="H234" s="171">
        <v>0</v>
      </c>
      <c r="I234" s="171">
        <v>329344.51</v>
      </c>
      <c r="J234" s="172">
        <v>44955.7</v>
      </c>
      <c r="K234" s="171">
        <v>1350243.4</v>
      </c>
      <c r="L234" s="171">
        <v>0</v>
      </c>
      <c r="M234" s="3">
        <v>0</v>
      </c>
      <c r="N234" s="173">
        <v>0</v>
      </c>
      <c r="O234" s="154">
        <f t="shared" si="23"/>
        <v>2095353.98</v>
      </c>
      <c r="P234" s="3">
        <f t="shared" si="24"/>
        <v>1724543.6099999999</v>
      </c>
      <c r="Q234" s="3">
        <f t="shared" si="25"/>
        <v>329344.51</v>
      </c>
      <c r="R234" s="3">
        <f t="shared" si="26"/>
        <v>44955.7</v>
      </c>
      <c r="S234" s="3">
        <f t="shared" si="27"/>
        <v>1350243.4</v>
      </c>
      <c r="T234" s="3">
        <f t="shared" si="28"/>
        <v>0</v>
      </c>
      <c r="U234" s="3">
        <v>0</v>
      </c>
      <c r="V234" s="3">
        <v>0</v>
      </c>
      <c r="W234" s="175">
        <f t="shared" si="29"/>
        <v>113806.89</v>
      </c>
      <c r="X234" s="175">
        <f t="shared" si="29"/>
        <v>0</v>
      </c>
      <c r="Z234" s="2">
        <f>[2]credits!$M234-U234</f>
        <v>27759.200000000001</v>
      </c>
      <c r="AA234" s="2">
        <f>[2]credits!$O234-V234</f>
        <v>3789.15</v>
      </c>
      <c r="AB234" s="2">
        <f>[2]credits!$Q234-W234</f>
        <v>0</v>
      </c>
      <c r="AC234" s="2">
        <f>[2]credits!$S234-X234</f>
        <v>0</v>
      </c>
    </row>
    <row r="235" spans="1:29" ht="15" x14ac:dyDescent="0.25">
      <c r="A235" s="5">
        <v>761</v>
      </c>
      <c r="B235" s="5">
        <v>1</v>
      </c>
      <c r="C235" s="2" t="s">
        <v>232</v>
      </c>
      <c r="D235" s="3">
        <v>361782.59</v>
      </c>
      <c r="E235" s="3">
        <v>369708.89</v>
      </c>
      <c r="F235" s="171">
        <v>2958406.61</v>
      </c>
      <c r="G235" s="171">
        <v>576759.61</v>
      </c>
      <c r="H235" s="171">
        <v>0</v>
      </c>
      <c r="I235" s="171">
        <v>1590187.89</v>
      </c>
      <c r="J235" s="172">
        <v>310227.33</v>
      </c>
      <c r="K235" s="171">
        <v>2262555</v>
      </c>
      <c r="L235" s="171">
        <v>333535.64</v>
      </c>
      <c r="M235" s="3">
        <v>0</v>
      </c>
      <c r="N235" s="173">
        <v>0</v>
      </c>
      <c r="O235" s="154">
        <f t="shared" si="23"/>
        <v>8031672.0799999991</v>
      </c>
      <c r="P235" s="3">
        <f t="shared" si="24"/>
        <v>4496505.8599999994</v>
      </c>
      <c r="Q235" s="3">
        <f t="shared" si="25"/>
        <v>1590187.89</v>
      </c>
      <c r="R235" s="3">
        <f t="shared" si="26"/>
        <v>310227.33</v>
      </c>
      <c r="S235" s="3">
        <f t="shared" si="27"/>
        <v>2596090.64</v>
      </c>
      <c r="T235" s="3">
        <f t="shared" si="28"/>
        <v>0</v>
      </c>
      <c r="U235" s="3">
        <v>0</v>
      </c>
      <c r="V235" s="3">
        <v>0</v>
      </c>
      <c r="W235" s="175">
        <f t="shared" si="29"/>
        <v>213454.14</v>
      </c>
      <c r="X235" s="175">
        <f t="shared" si="29"/>
        <v>0</v>
      </c>
      <c r="Z235" s="2">
        <f>[2]credits!$M235-U235</f>
        <v>130747.43</v>
      </c>
      <c r="AA235" s="2">
        <f>[2]credits!$O235-V235</f>
        <v>25507.32</v>
      </c>
      <c r="AB235" s="2">
        <f>[2]credits!$Q235-W235</f>
        <v>0</v>
      </c>
      <c r="AC235" s="2">
        <f>[2]credits!$S235-X235</f>
        <v>0</v>
      </c>
    </row>
    <row r="236" spans="1:29" ht="15" x14ac:dyDescent="0.25">
      <c r="A236" s="5">
        <v>763</v>
      </c>
      <c r="B236" s="5">
        <v>1</v>
      </c>
      <c r="C236" s="2" t="s">
        <v>233</v>
      </c>
      <c r="D236" s="3">
        <v>74807.070000000007</v>
      </c>
      <c r="E236" s="3">
        <v>74106.03</v>
      </c>
      <c r="F236" s="171">
        <v>0</v>
      </c>
      <c r="G236" s="171">
        <v>82365.22</v>
      </c>
      <c r="H236" s="171">
        <v>0</v>
      </c>
      <c r="I236" s="171">
        <v>181645.84</v>
      </c>
      <c r="J236" s="172">
        <v>34707.129999999997</v>
      </c>
      <c r="K236" s="171">
        <v>944704.88</v>
      </c>
      <c r="L236" s="171">
        <v>0</v>
      </c>
      <c r="M236" s="3">
        <v>0</v>
      </c>
      <c r="N236" s="173">
        <v>0</v>
      </c>
      <c r="O236" s="154">
        <f t="shared" si="23"/>
        <v>1243423.07</v>
      </c>
      <c r="P236" s="3">
        <f t="shared" si="24"/>
        <v>1161057.8500000001</v>
      </c>
      <c r="Q236" s="3">
        <f t="shared" si="25"/>
        <v>181645.84</v>
      </c>
      <c r="R236" s="3">
        <f t="shared" si="26"/>
        <v>34707.129999999997</v>
      </c>
      <c r="S236" s="3">
        <f t="shared" si="27"/>
        <v>944704.88</v>
      </c>
      <c r="T236" s="3">
        <f t="shared" si="28"/>
        <v>0</v>
      </c>
      <c r="U236" s="3">
        <v>0</v>
      </c>
      <c r="V236" s="3">
        <v>0</v>
      </c>
      <c r="W236" s="175">
        <f t="shared" si="29"/>
        <v>60297.02</v>
      </c>
      <c r="X236" s="175">
        <f t="shared" si="29"/>
        <v>0</v>
      </c>
      <c r="Z236" s="2">
        <f>[2]credits!$M236-U236</f>
        <v>11278.5</v>
      </c>
      <c r="AA236" s="2">
        <f>[2]credits!$O236-V236</f>
        <v>2154.9899999999998</v>
      </c>
      <c r="AB236" s="2">
        <f>[2]credits!$Q236-W236</f>
        <v>375.52000000000407</v>
      </c>
      <c r="AC236" s="2">
        <f>[2]credits!$S236-X236</f>
        <v>0</v>
      </c>
    </row>
    <row r="237" spans="1:29" ht="15" x14ac:dyDescent="0.25">
      <c r="A237" s="5">
        <v>768</v>
      </c>
      <c r="B237" s="5">
        <v>1</v>
      </c>
      <c r="C237" s="2" t="s">
        <v>234</v>
      </c>
      <c r="D237" s="3">
        <v>31351.99</v>
      </c>
      <c r="E237" s="3">
        <v>26308.04</v>
      </c>
      <c r="F237" s="171">
        <v>147309.46</v>
      </c>
      <c r="G237" s="171">
        <v>13225.89</v>
      </c>
      <c r="H237" s="171">
        <v>0</v>
      </c>
      <c r="I237" s="171">
        <v>66950.03</v>
      </c>
      <c r="J237" s="172">
        <v>14465.11</v>
      </c>
      <c r="K237" s="171">
        <v>210272.7</v>
      </c>
      <c r="L237" s="171">
        <v>25620</v>
      </c>
      <c r="M237" s="3">
        <v>0</v>
      </c>
      <c r="N237" s="173">
        <v>0</v>
      </c>
      <c r="O237" s="154">
        <f t="shared" si="23"/>
        <v>477843.19</v>
      </c>
      <c r="P237" s="3">
        <f t="shared" si="24"/>
        <v>317307.84000000003</v>
      </c>
      <c r="Q237" s="3">
        <f t="shared" si="25"/>
        <v>66950.03</v>
      </c>
      <c r="R237" s="3">
        <f t="shared" si="26"/>
        <v>14465.11</v>
      </c>
      <c r="S237" s="3">
        <f t="shared" si="27"/>
        <v>235892.7</v>
      </c>
      <c r="T237" s="3">
        <f t="shared" si="28"/>
        <v>0</v>
      </c>
      <c r="U237" s="3">
        <v>0</v>
      </c>
      <c r="V237" s="3">
        <v>0</v>
      </c>
      <c r="W237" s="175">
        <f t="shared" si="29"/>
        <v>19557.900000000001</v>
      </c>
      <c r="X237" s="175">
        <f t="shared" si="29"/>
        <v>0</v>
      </c>
      <c r="Z237" s="2">
        <f>[2]credits!$M237-U237</f>
        <v>5550.84</v>
      </c>
      <c r="AA237" s="2">
        <f>[2]credits!$O237-V237</f>
        <v>1199.3</v>
      </c>
      <c r="AB237" s="2">
        <f>[2]credits!$Q237-W237</f>
        <v>0</v>
      </c>
      <c r="AC237" s="2">
        <f>[2]credits!$S237-X237</f>
        <v>0</v>
      </c>
    </row>
    <row r="238" spans="1:29" ht="15" x14ac:dyDescent="0.25">
      <c r="A238" s="5">
        <v>769</v>
      </c>
      <c r="B238" s="5">
        <v>1</v>
      </c>
      <c r="C238" s="2" t="s">
        <v>235</v>
      </c>
      <c r="D238" s="3">
        <v>220157.35</v>
      </c>
      <c r="E238" s="3">
        <v>199429.33</v>
      </c>
      <c r="F238" s="171">
        <v>623091.11</v>
      </c>
      <c r="G238" s="171">
        <v>75294.09</v>
      </c>
      <c r="H238" s="171">
        <v>0</v>
      </c>
      <c r="I238" s="171">
        <v>186623.82</v>
      </c>
      <c r="J238" s="172">
        <v>92363.17</v>
      </c>
      <c r="K238" s="171">
        <v>1958856.63</v>
      </c>
      <c r="L238" s="171">
        <v>0</v>
      </c>
      <c r="M238" s="3">
        <v>0</v>
      </c>
      <c r="N238" s="173">
        <v>104536</v>
      </c>
      <c r="O238" s="154">
        <f t="shared" si="23"/>
        <v>3040764.82</v>
      </c>
      <c r="P238" s="3">
        <f t="shared" si="24"/>
        <v>2342379.62</v>
      </c>
      <c r="Q238" s="3">
        <f t="shared" si="25"/>
        <v>186623.82</v>
      </c>
      <c r="R238" s="3">
        <f t="shared" si="26"/>
        <v>92363.17</v>
      </c>
      <c r="S238" s="3">
        <f t="shared" si="27"/>
        <v>1958856.63</v>
      </c>
      <c r="T238" s="3">
        <f t="shared" si="28"/>
        <v>104536</v>
      </c>
      <c r="U238" s="3">
        <v>0</v>
      </c>
      <c r="V238" s="3">
        <v>0</v>
      </c>
      <c r="W238" s="175">
        <f t="shared" si="29"/>
        <v>166776.32999999999</v>
      </c>
      <c r="X238" s="175">
        <f t="shared" si="29"/>
        <v>8900.16</v>
      </c>
      <c r="Z238" s="2">
        <f>[2]credits!$M238-U238</f>
        <v>15889.08</v>
      </c>
      <c r="AA238" s="2">
        <f>[2]credits!$O238-V238</f>
        <v>7863.77</v>
      </c>
      <c r="AB238" s="2">
        <f>[2]credits!$Q238-W238</f>
        <v>0</v>
      </c>
      <c r="AC238" s="2">
        <f>[2]credits!$S238-X238</f>
        <v>0</v>
      </c>
    </row>
    <row r="239" spans="1:29" ht="15" x14ac:dyDescent="0.25">
      <c r="A239" s="5">
        <v>771</v>
      </c>
      <c r="B239" s="5">
        <v>1</v>
      </c>
      <c r="C239" s="2" t="s">
        <v>236</v>
      </c>
      <c r="D239" s="3">
        <v>10930.59</v>
      </c>
      <c r="E239" s="3">
        <v>8040.54</v>
      </c>
      <c r="F239" s="171">
        <v>340806.54</v>
      </c>
      <c r="G239" s="171">
        <v>4456.04</v>
      </c>
      <c r="H239" s="171">
        <v>0</v>
      </c>
      <c r="I239" s="171">
        <v>62578.74</v>
      </c>
      <c r="J239" s="172">
        <v>24858.41</v>
      </c>
      <c r="K239" s="171">
        <v>0</v>
      </c>
      <c r="L239" s="171">
        <v>0</v>
      </c>
      <c r="M239" s="3">
        <v>0</v>
      </c>
      <c r="N239" s="173">
        <v>0</v>
      </c>
      <c r="O239" s="154">
        <f t="shared" si="23"/>
        <v>432699.72999999992</v>
      </c>
      <c r="P239" s="3">
        <f t="shared" si="24"/>
        <v>87437.15</v>
      </c>
      <c r="Q239" s="3">
        <f t="shared" si="25"/>
        <v>62578.74</v>
      </c>
      <c r="R239" s="3">
        <f t="shared" si="26"/>
        <v>24858.41</v>
      </c>
      <c r="S239" s="3">
        <f t="shared" si="27"/>
        <v>0</v>
      </c>
      <c r="T239" s="3">
        <f t="shared" si="28"/>
        <v>0</v>
      </c>
      <c r="U239" s="3">
        <v>0</v>
      </c>
      <c r="V239" s="3">
        <v>0</v>
      </c>
      <c r="W239" s="175">
        <f t="shared" si="29"/>
        <v>0</v>
      </c>
      <c r="X239" s="175">
        <f t="shared" si="29"/>
        <v>0</v>
      </c>
      <c r="Z239" s="2">
        <f>[2]credits!$M239-U239</f>
        <v>5754.61</v>
      </c>
      <c r="AA239" s="2">
        <f>[2]credits!$O239-V239</f>
        <v>2285.9299999999998</v>
      </c>
      <c r="AB239" s="2">
        <f>[2]credits!$Q239-W239</f>
        <v>0</v>
      </c>
      <c r="AC239" s="2">
        <f>[2]credits!$S239-X239</f>
        <v>0</v>
      </c>
    </row>
    <row r="240" spans="1:29" ht="15" x14ac:dyDescent="0.25">
      <c r="A240" s="5">
        <v>775</v>
      </c>
      <c r="B240" s="5">
        <v>1</v>
      </c>
      <c r="C240" s="2" t="s">
        <v>237</v>
      </c>
      <c r="D240" s="3">
        <v>57863.600000000006</v>
      </c>
      <c r="E240" s="3">
        <v>56421.25</v>
      </c>
      <c r="F240" s="171">
        <v>228517.61</v>
      </c>
      <c r="G240" s="171">
        <v>29102.95</v>
      </c>
      <c r="H240" s="171">
        <v>0</v>
      </c>
      <c r="I240" s="171">
        <v>311277.27</v>
      </c>
      <c r="J240" s="172">
        <v>43173.32</v>
      </c>
      <c r="K240" s="171">
        <v>539332.82999999996</v>
      </c>
      <c r="L240" s="171">
        <v>0</v>
      </c>
      <c r="M240" s="3">
        <v>0</v>
      </c>
      <c r="N240" s="173">
        <v>0</v>
      </c>
      <c r="O240" s="154">
        <f t="shared" si="23"/>
        <v>1151403.98</v>
      </c>
      <c r="P240" s="3">
        <f t="shared" si="24"/>
        <v>893783.41999999993</v>
      </c>
      <c r="Q240" s="3">
        <f t="shared" si="25"/>
        <v>311277.27</v>
      </c>
      <c r="R240" s="3">
        <f t="shared" si="26"/>
        <v>43173.32</v>
      </c>
      <c r="S240" s="3">
        <f t="shared" si="27"/>
        <v>539332.82999999996</v>
      </c>
      <c r="T240" s="3">
        <f t="shared" si="28"/>
        <v>0</v>
      </c>
      <c r="U240" s="3">
        <v>0</v>
      </c>
      <c r="V240" s="3">
        <v>0</v>
      </c>
      <c r="W240" s="175">
        <f t="shared" si="29"/>
        <v>34046.089999999997</v>
      </c>
      <c r="X240" s="175">
        <f t="shared" si="29"/>
        <v>0</v>
      </c>
      <c r="Z240" s="2">
        <f>[2]credits!$M240-U240</f>
        <v>19649.79</v>
      </c>
      <c r="AA240" s="2">
        <f>[2]credits!$O240-V240</f>
        <v>2725.37</v>
      </c>
      <c r="AB240" s="2">
        <f>[2]credits!$Q240-W240</f>
        <v>0</v>
      </c>
      <c r="AC240" s="2">
        <f>[2]credits!$S240-X240</f>
        <v>0</v>
      </c>
    </row>
    <row r="241" spans="1:29" ht="15" x14ac:dyDescent="0.25">
      <c r="A241" s="5">
        <v>777</v>
      </c>
      <c r="B241" s="5">
        <v>1</v>
      </c>
      <c r="C241" s="2" t="s">
        <v>238</v>
      </c>
      <c r="D241" s="3">
        <v>62303.53</v>
      </c>
      <c r="E241" s="3">
        <v>60705.58</v>
      </c>
      <c r="F241" s="171">
        <v>323361.59999999998</v>
      </c>
      <c r="G241" s="171">
        <v>63508.47</v>
      </c>
      <c r="H241" s="171">
        <v>0</v>
      </c>
      <c r="I241" s="171">
        <v>388428.39</v>
      </c>
      <c r="J241" s="172">
        <v>75138.44</v>
      </c>
      <c r="K241" s="171">
        <v>326596.24</v>
      </c>
      <c r="L241" s="171">
        <v>0</v>
      </c>
      <c r="M241" s="3">
        <v>0</v>
      </c>
      <c r="N241" s="173">
        <v>0</v>
      </c>
      <c r="O241" s="154">
        <f t="shared" si="23"/>
        <v>1177033.1399999999</v>
      </c>
      <c r="P241" s="3">
        <f t="shared" si="24"/>
        <v>790163.07000000007</v>
      </c>
      <c r="Q241" s="3">
        <f t="shared" si="25"/>
        <v>388428.39</v>
      </c>
      <c r="R241" s="3">
        <f t="shared" si="26"/>
        <v>75138.44</v>
      </c>
      <c r="S241" s="3">
        <f t="shared" si="27"/>
        <v>326596.24</v>
      </c>
      <c r="T241" s="3">
        <f t="shared" si="28"/>
        <v>0</v>
      </c>
      <c r="U241" s="3">
        <v>0</v>
      </c>
      <c r="V241" s="3">
        <v>0</v>
      </c>
      <c r="W241" s="175">
        <f t="shared" si="29"/>
        <v>25091.29</v>
      </c>
      <c r="X241" s="175">
        <f t="shared" si="29"/>
        <v>0</v>
      </c>
      <c r="Z241" s="2">
        <f>[2]credits!$M241-U241</f>
        <v>29841.65</v>
      </c>
      <c r="AA241" s="2">
        <f>[2]credits!$O241-V241</f>
        <v>5772.63</v>
      </c>
      <c r="AB241" s="2">
        <f>[2]credits!$Q241-W241</f>
        <v>0</v>
      </c>
      <c r="AC241" s="2">
        <f>[2]credits!$S241-X241</f>
        <v>0</v>
      </c>
    </row>
    <row r="242" spans="1:29" ht="15" x14ac:dyDescent="0.25">
      <c r="A242" s="5">
        <v>786</v>
      </c>
      <c r="B242" s="5">
        <v>1</v>
      </c>
      <c r="C242" s="2" t="s">
        <v>239</v>
      </c>
      <c r="D242" s="3">
        <v>92271.209999999992</v>
      </c>
      <c r="E242" s="3">
        <v>89491.96</v>
      </c>
      <c r="F242" s="171">
        <v>97769</v>
      </c>
      <c r="G242" s="171">
        <v>25693</v>
      </c>
      <c r="H242" s="171">
        <v>0</v>
      </c>
      <c r="I242" s="171">
        <v>135857</v>
      </c>
      <c r="J242" s="172">
        <v>48519</v>
      </c>
      <c r="K242" s="171">
        <v>376663</v>
      </c>
      <c r="L242" s="171">
        <v>0</v>
      </c>
      <c r="M242" s="3">
        <v>0</v>
      </c>
      <c r="N242" s="173">
        <v>0</v>
      </c>
      <c r="O242" s="154">
        <f t="shared" si="23"/>
        <v>684501</v>
      </c>
      <c r="P242" s="3">
        <f t="shared" si="24"/>
        <v>561039</v>
      </c>
      <c r="Q242" s="3">
        <f t="shared" si="25"/>
        <v>135857</v>
      </c>
      <c r="R242" s="3">
        <f t="shared" si="26"/>
        <v>48519</v>
      </c>
      <c r="S242" s="3">
        <f t="shared" si="27"/>
        <v>376663</v>
      </c>
      <c r="T242" s="3">
        <f t="shared" si="28"/>
        <v>0</v>
      </c>
      <c r="U242" s="3">
        <v>0</v>
      </c>
      <c r="V242" s="3">
        <v>0</v>
      </c>
      <c r="W242" s="175">
        <f t="shared" si="29"/>
        <v>60081.94</v>
      </c>
      <c r="X242" s="175">
        <f t="shared" si="29"/>
        <v>0</v>
      </c>
      <c r="Z242" s="2">
        <f>[2]credits!$M242-U242</f>
        <v>21670.720000000001</v>
      </c>
      <c r="AA242" s="2">
        <f>[2]credits!$O242-V242</f>
        <v>7739.33</v>
      </c>
      <c r="AB242" s="2">
        <f>[2]credits!$Q242-W242</f>
        <v>-4.0000000000873115E-2</v>
      </c>
      <c r="AC242" s="2">
        <f>[2]credits!$S242-X242</f>
        <v>0</v>
      </c>
    </row>
    <row r="243" spans="1:29" ht="15" x14ac:dyDescent="0.25">
      <c r="A243" s="5">
        <v>787</v>
      </c>
      <c r="B243" s="5">
        <v>1</v>
      </c>
      <c r="C243" s="2" t="s">
        <v>240</v>
      </c>
      <c r="D243" s="3">
        <v>46763.17</v>
      </c>
      <c r="E243" s="3">
        <v>47798.5</v>
      </c>
      <c r="F243" s="171">
        <v>26985</v>
      </c>
      <c r="G243" s="171">
        <v>40590</v>
      </c>
      <c r="H243" s="171">
        <v>0</v>
      </c>
      <c r="I243" s="171">
        <v>128026</v>
      </c>
      <c r="J243" s="172">
        <v>25090</v>
      </c>
      <c r="K243" s="171">
        <v>188019</v>
      </c>
      <c r="L243" s="171">
        <v>0</v>
      </c>
      <c r="M243" s="3">
        <v>0</v>
      </c>
      <c r="N243" s="173">
        <v>0</v>
      </c>
      <c r="O243" s="154">
        <f t="shared" si="23"/>
        <v>408710</v>
      </c>
      <c r="P243" s="3">
        <f t="shared" si="24"/>
        <v>341135</v>
      </c>
      <c r="Q243" s="3">
        <f t="shared" si="25"/>
        <v>128026</v>
      </c>
      <c r="R243" s="3">
        <f t="shared" si="26"/>
        <v>25090</v>
      </c>
      <c r="S243" s="3">
        <f t="shared" si="27"/>
        <v>188019</v>
      </c>
      <c r="T243" s="3">
        <f t="shared" si="28"/>
        <v>0</v>
      </c>
      <c r="U243" s="3">
        <v>0</v>
      </c>
      <c r="V243" s="3">
        <v>0</v>
      </c>
      <c r="W243" s="175">
        <f t="shared" si="29"/>
        <v>26344.49</v>
      </c>
      <c r="X243" s="175">
        <f t="shared" si="29"/>
        <v>0</v>
      </c>
      <c r="Z243" s="2">
        <f>[2]credits!$M243-U243</f>
        <v>17938.490000000002</v>
      </c>
      <c r="AA243" s="2">
        <f>[2]credits!$O243-V243</f>
        <v>3515.54</v>
      </c>
      <c r="AB243" s="2">
        <f>[2]credits!$Q243-W243</f>
        <v>-3.0000000002473826E-2</v>
      </c>
      <c r="AC243" s="2">
        <f>[2]credits!$S243-X243</f>
        <v>0</v>
      </c>
    </row>
    <row r="244" spans="1:29" ht="15" x14ac:dyDescent="0.25">
      <c r="A244" s="5">
        <v>801</v>
      </c>
      <c r="B244" s="5">
        <v>1</v>
      </c>
      <c r="C244" s="2" t="s">
        <v>241</v>
      </c>
      <c r="D244" s="3">
        <v>6384.52</v>
      </c>
      <c r="E244" s="3">
        <v>7952.27</v>
      </c>
      <c r="F244" s="171">
        <v>74707.91</v>
      </c>
      <c r="G244" s="171">
        <v>2109.75</v>
      </c>
      <c r="H244" s="171">
        <v>0</v>
      </c>
      <c r="I244" s="171">
        <v>40694.97</v>
      </c>
      <c r="J244" s="172">
        <v>13296.15</v>
      </c>
      <c r="K244" s="171">
        <v>0</v>
      </c>
      <c r="L244" s="171">
        <v>0</v>
      </c>
      <c r="M244" s="3">
        <v>0</v>
      </c>
      <c r="N244" s="173">
        <v>0</v>
      </c>
      <c r="O244" s="154">
        <f t="shared" si="23"/>
        <v>130808.78</v>
      </c>
      <c r="P244" s="3">
        <f t="shared" si="24"/>
        <v>53991.12</v>
      </c>
      <c r="Q244" s="3">
        <f t="shared" si="25"/>
        <v>40694.97</v>
      </c>
      <c r="R244" s="3">
        <f t="shared" si="26"/>
        <v>13296.15</v>
      </c>
      <c r="S244" s="3">
        <f t="shared" si="27"/>
        <v>0</v>
      </c>
      <c r="T244" s="3">
        <f t="shared" si="28"/>
        <v>0</v>
      </c>
      <c r="U244" s="3">
        <v>0</v>
      </c>
      <c r="V244" s="3">
        <v>0</v>
      </c>
      <c r="W244" s="175">
        <f t="shared" si="29"/>
        <v>0</v>
      </c>
      <c r="X244" s="175">
        <f t="shared" si="29"/>
        <v>0</v>
      </c>
      <c r="Z244" s="2">
        <f>[2]credits!$M244-U244</f>
        <v>5993.9</v>
      </c>
      <c r="AA244" s="2">
        <f>[2]credits!$O244-V244</f>
        <v>1958.37</v>
      </c>
      <c r="AB244" s="2">
        <f>[2]credits!$Q244-W244</f>
        <v>0</v>
      </c>
      <c r="AC244" s="2">
        <f>[2]credits!$S244-X244</f>
        <v>0</v>
      </c>
    </row>
    <row r="245" spans="1:29" ht="15" x14ac:dyDescent="0.25">
      <c r="A245" s="5">
        <v>803</v>
      </c>
      <c r="B245" s="5">
        <v>1</v>
      </c>
      <c r="C245" s="2" t="s">
        <v>242</v>
      </c>
      <c r="D245" s="3">
        <v>22007.9</v>
      </c>
      <c r="E245" s="3">
        <v>22027.5</v>
      </c>
      <c r="F245" s="171">
        <v>179745.43</v>
      </c>
      <c r="G245" s="171">
        <v>20876.41</v>
      </c>
      <c r="H245" s="171">
        <v>0</v>
      </c>
      <c r="I245" s="171">
        <v>159194.19</v>
      </c>
      <c r="J245" s="172">
        <v>31631.439999999999</v>
      </c>
      <c r="K245" s="171">
        <v>0</v>
      </c>
      <c r="L245" s="171">
        <v>0</v>
      </c>
      <c r="M245" s="3">
        <v>0</v>
      </c>
      <c r="N245" s="173">
        <v>0</v>
      </c>
      <c r="O245" s="154">
        <f t="shared" si="23"/>
        <v>391447.47000000003</v>
      </c>
      <c r="P245" s="3">
        <f t="shared" si="24"/>
        <v>190825.63</v>
      </c>
      <c r="Q245" s="3">
        <f t="shared" si="25"/>
        <v>159194.19</v>
      </c>
      <c r="R245" s="3">
        <f t="shared" si="26"/>
        <v>31631.439999999999</v>
      </c>
      <c r="S245" s="3">
        <f t="shared" si="27"/>
        <v>0</v>
      </c>
      <c r="T245" s="3">
        <f t="shared" si="28"/>
        <v>0</v>
      </c>
      <c r="U245" s="3">
        <v>0</v>
      </c>
      <c r="V245" s="3">
        <v>0</v>
      </c>
      <c r="W245" s="175">
        <f t="shared" si="29"/>
        <v>0</v>
      </c>
      <c r="X245" s="175">
        <f t="shared" si="29"/>
        <v>0</v>
      </c>
      <c r="Z245" s="2">
        <f>[2]credits!$M245-U245</f>
        <v>18376.2</v>
      </c>
      <c r="AA245" s="2">
        <f>[2]credits!$O245-V245</f>
        <v>3651.3</v>
      </c>
      <c r="AB245" s="2">
        <f>[2]credits!$Q245-W245</f>
        <v>0</v>
      </c>
      <c r="AC245" s="2">
        <f>[2]credits!$S245-X245</f>
        <v>0</v>
      </c>
    </row>
    <row r="246" spans="1:29" ht="15" x14ac:dyDescent="0.25">
      <c r="A246" s="5">
        <v>811</v>
      </c>
      <c r="B246" s="5">
        <v>1</v>
      </c>
      <c r="C246" s="2" t="s">
        <v>243</v>
      </c>
      <c r="D246" s="3">
        <v>69686.83</v>
      </c>
      <c r="E246" s="3">
        <v>71355.5</v>
      </c>
      <c r="F246" s="171">
        <v>883564</v>
      </c>
      <c r="G246" s="171">
        <v>62557</v>
      </c>
      <c r="H246" s="171">
        <v>0</v>
      </c>
      <c r="I246" s="171">
        <v>249421</v>
      </c>
      <c r="J246" s="172">
        <v>72273</v>
      </c>
      <c r="K246" s="171">
        <v>526661</v>
      </c>
      <c r="L246" s="171">
        <v>0</v>
      </c>
      <c r="M246" s="3">
        <v>0</v>
      </c>
      <c r="N246" s="173">
        <v>0</v>
      </c>
      <c r="O246" s="154">
        <f t="shared" si="23"/>
        <v>1794476</v>
      </c>
      <c r="P246" s="3">
        <f t="shared" si="24"/>
        <v>848355</v>
      </c>
      <c r="Q246" s="3">
        <f t="shared" si="25"/>
        <v>249421</v>
      </c>
      <c r="R246" s="3">
        <f t="shared" si="26"/>
        <v>72273</v>
      </c>
      <c r="S246" s="3">
        <f t="shared" si="27"/>
        <v>526661</v>
      </c>
      <c r="T246" s="3">
        <f t="shared" si="28"/>
        <v>0</v>
      </c>
      <c r="U246" s="3">
        <v>0</v>
      </c>
      <c r="V246" s="3">
        <v>0</v>
      </c>
      <c r="W246" s="175">
        <f t="shared" si="29"/>
        <v>44297.68</v>
      </c>
      <c r="X246" s="175">
        <f t="shared" si="29"/>
        <v>0</v>
      </c>
      <c r="Z246" s="2">
        <f>[2]credits!$M246-U246</f>
        <v>20978.92</v>
      </c>
      <c r="AA246" s="2">
        <f>[2]credits!$O246-V246</f>
        <v>6078.92</v>
      </c>
      <c r="AB246" s="2">
        <f>[2]credits!$Q246-W246</f>
        <v>-1.9999999996798579E-2</v>
      </c>
      <c r="AC246" s="2">
        <f>[2]credits!$S246-X246</f>
        <v>0</v>
      </c>
    </row>
    <row r="247" spans="1:29" ht="15" x14ac:dyDescent="0.25">
      <c r="A247" s="5">
        <v>813</v>
      </c>
      <c r="B247" s="5">
        <v>1</v>
      </c>
      <c r="C247" s="2" t="s">
        <v>244</v>
      </c>
      <c r="D247" s="3">
        <v>93431.98000000001</v>
      </c>
      <c r="E247" s="3">
        <v>120860.85</v>
      </c>
      <c r="F247" s="171">
        <v>1183757</v>
      </c>
      <c r="G247" s="171">
        <v>145171</v>
      </c>
      <c r="H247" s="171">
        <v>0</v>
      </c>
      <c r="I247" s="171">
        <v>301637</v>
      </c>
      <c r="J247" s="172">
        <v>115611</v>
      </c>
      <c r="K247" s="171">
        <v>466415</v>
      </c>
      <c r="L247" s="171">
        <v>702099</v>
      </c>
      <c r="M247" s="3">
        <v>0</v>
      </c>
      <c r="N247" s="173">
        <v>0</v>
      </c>
      <c r="O247" s="154">
        <f t="shared" si="23"/>
        <v>2914690</v>
      </c>
      <c r="P247" s="3">
        <f t="shared" si="24"/>
        <v>1585762</v>
      </c>
      <c r="Q247" s="3">
        <f t="shared" si="25"/>
        <v>301637</v>
      </c>
      <c r="R247" s="3">
        <f t="shared" si="26"/>
        <v>115611</v>
      </c>
      <c r="S247" s="3">
        <f t="shared" si="27"/>
        <v>1168514</v>
      </c>
      <c r="T247" s="3">
        <f t="shared" si="28"/>
        <v>0</v>
      </c>
      <c r="U247" s="3">
        <v>0</v>
      </c>
      <c r="V247" s="3">
        <v>0</v>
      </c>
      <c r="W247" s="175">
        <f t="shared" si="29"/>
        <v>89059.77</v>
      </c>
      <c r="X247" s="175">
        <f t="shared" si="29"/>
        <v>0</v>
      </c>
      <c r="Z247" s="2">
        <f>[2]credits!$M247-U247</f>
        <v>22989.62</v>
      </c>
      <c r="AA247" s="2">
        <f>[2]credits!$O247-V247</f>
        <v>8811.43</v>
      </c>
      <c r="AB247" s="2">
        <f>[2]credits!$Q247-W247</f>
        <v>2.9999999998835847E-2</v>
      </c>
      <c r="AC247" s="2">
        <f>[2]credits!$S247-X247</f>
        <v>0</v>
      </c>
    </row>
    <row r="248" spans="1:29" ht="15" x14ac:dyDescent="0.25">
      <c r="A248" s="5">
        <v>815</v>
      </c>
      <c r="B248" s="5">
        <v>2</v>
      </c>
      <c r="C248" s="2" t="s">
        <v>245</v>
      </c>
      <c r="D248" s="3">
        <v>7661.1</v>
      </c>
      <c r="E248" s="3">
        <v>6469.17</v>
      </c>
      <c r="F248" s="171">
        <v>60512.36</v>
      </c>
      <c r="G248" s="171">
        <v>0</v>
      </c>
      <c r="H248" s="171">
        <v>88900</v>
      </c>
      <c r="I248" s="171">
        <v>0</v>
      </c>
      <c r="J248" s="172">
        <v>0</v>
      </c>
      <c r="K248" s="171">
        <v>0</v>
      </c>
      <c r="L248" s="171">
        <v>0</v>
      </c>
      <c r="M248" s="3">
        <v>0</v>
      </c>
      <c r="N248" s="173">
        <v>0</v>
      </c>
      <c r="O248" s="154">
        <f t="shared" si="23"/>
        <v>149412.35999999999</v>
      </c>
      <c r="P248" s="3">
        <f t="shared" si="24"/>
        <v>88900</v>
      </c>
      <c r="Q248" s="3">
        <f t="shared" si="25"/>
        <v>88900</v>
      </c>
      <c r="R248" s="3">
        <f t="shared" si="26"/>
        <v>0</v>
      </c>
      <c r="S248" s="3">
        <f t="shared" si="27"/>
        <v>0</v>
      </c>
      <c r="T248" s="3">
        <f t="shared" si="28"/>
        <v>0</v>
      </c>
      <c r="U248" s="3">
        <v>0</v>
      </c>
      <c r="V248" s="3">
        <v>0</v>
      </c>
      <c r="W248" s="175">
        <f t="shared" si="29"/>
        <v>0</v>
      </c>
      <c r="X248" s="175">
        <f t="shared" si="29"/>
        <v>0</v>
      </c>
      <c r="Z248" s="2">
        <f>[2]credits!$M248-U248</f>
        <v>6469.17</v>
      </c>
      <c r="AA248" s="2">
        <f>[2]credits!$O248-V248</f>
        <v>0</v>
      </c>
      <c r="AB248" s="2">
        <f>[2]credits!$Q248-W248</f>
        <v>0</v>
      </c>
      <c r="AC248" s="2">
        <f>[2]credits!$S248-X248</f>
        <v>0</v>
      </c>
    </row>
    <row r="249" spans="1:29" ht="15" x14ac:dyDescent="0.25">
      <c r="A249" s="5">
        <v>818</v>
      </c>
      <c r="B249" s="5">
        <v>1</v>
      </c>
      <c r="C249" s="2" t="s">
        <v>246</v>
      </c>
      <c r="D249" s="3">
        <v>45634.729999999996</v>
      </c>
      <c r="E249" s="3">
        <v>43777.11</v>
      </c>
      <c r="F249" s="171">
        <v>0</v>
      </c>
      <c r="G249" s="171">
        <v>39378.18</v>
      </c>
      <c r="H249" s="171">
        <v>0</v>
      </c>
      <c r="I249" s="171">
        <v>98518</v>
      </c>
      <c r="J249" s="172">
        <v>10480</v>
      </c>
      <c r="K249" s="171">
        <v>253365</v>
      </c>
      <c r="L249" s="171">
        <v>0</v>
      </c>
      <c r="M249" s="3">
        <v>0</v>
      </c>
      <c r="N249" s="173">
        <v>0</v>
      </c>
      <c r="O249" s="154">
        <f t="shared" si="23"/>
        <v>401741.18</v>
      </c>
      <c r="P249" s="3">
        <f t="shared" si="24"/>
        <v>362363</v>
      </c>
      <c r="Q249" s="3">
        <f t="shared" si="25"/>
        <v>98518</v>
      </c>
      <c r="R249" s="3">
        <f t="shared" si="26"/>
        <v>10480</v>
      </c>
      <c r="S249" s="3">
        <f t="shared" si="27"/>
        <v>253365</v>
      </c>
      <c r="T249" s="3">
        <f t="shared" si="28"/>
        <v>0</v>
      </c>
      <c r="U249" s="3">
        <v>0</v>
      </c>
      <c r="V249" s="3">
        <v>0</v>
      </c>
      <c r="W249" s="175">
        <f t="shared" si="29"/>
        <v>30609.05</v>
      </c>
      <c r="X249" s="175">
        <f t="shared" si="29"/>
        <v>0</v>
      </c>
      <c r="Z249" s="2">
        <f>[2]credits!$M249-U249</f>
        <v>11901.98</v>
      </c>
      <c r="AA249" s="2">
        <f>[2]credits!$O249-V249</f>
        <v>1266.08</v>
      </c>
      <c r="AB249" s="2">
        <f>[2]credits!$Q249-W249</f>
        <v>1.0000000002037268E-2</v>
      </c>
      <c r="AC249" s="2">
        <f>[2]credits!$S249-X249</f>
        <v>0</v>
      </c>
    </row>
    <row r="250" spans="1:29" ht="15" x14ac:dyDescent="0.25">
      <c r="A250" s="5">
        <v>820</v>
      </c>
      <c r="B250" s="5">
        <v>1</v>
      </c>
      <c r="C250" s="2" t="s">
        <v>247</v>
      </c>
      <c r="D250" s="3">
        <v>34232.89</v>
      </c>
      <c r="E250" s="3">
        <v>33659.729999999996</v>
      </c>
      <c r="F250" s="171">
        <v>230295</v>
      </c>
      <c r="G250" s="171">
        <v>25267</v>
      </c>
      <c r="H250" s="171">
        <v>0</v>
      </c>
      <c r="I250" s="171">
        <v>168173</v>
      </c>
      <c r="J250" s="172">
        <v>34957</v>
      </c>
      <c r="K250" s="171">
        <v>0</v>
      </c>
      <c r="L250" s="171">
        <v>0</v>
      </c>
      <c r="M250" s="3">
        <v>0</v>
      </c>
      <c r="N250" s="173">
        <v>0</v>
      </c>
      <c r="O250" s="154">
        <f t="shared" si="23"/>
        <v>458692</v>
      </c>
      <c r="P250" s="3">
        <f t="shared" si="24"/>
        <v>203130</v>
      </c>
      <c r="Q250" s="3">
        <f t="shared" si="25"/>
        <v>168173</v>
      </c>
      <c r="R250" s="3">
        <f t="shared" si="26"/>
        <v>34957</v>
      </c>
      <c r="S250" s="3">
        <f t="shared" si="27"/>
        <v>0</v>
      </c>
      <c r="T250" s="3">
        <f t="shared" si="28"/>
        <v>0</v>
      </c>
      <c r="U250" s="3">
        <v>0</v>
      </c>
      <c r="V250" s="3">
        <v>0</v>
      </c>
      <c r="W250" s="175">
        <f t="shared" si="29"/>
        <v>0</v>
      </c>
      <c r="X250" s="175">
        <f t="shared" si="29"/>
        <v>0</v>
      </c>
      <c r="Z250" s="2">
        <f>[2]credits!$M250-U250</f>
        <v>27867.14</v>
      </c>
      <c r="AA250" s="2">
        <f>[2]credits!$O250-V250</f>
        <v>5792.59</v>
      </c>
      <c r="AB250" s="2">
        <f>[2]credits!$Q250-W250</f>
        <v>0</v>
      </c>
      <c r="AC250" s="2">
        <f>[2]credits!$S250-X250</f>
        <v>0</v>
      </c>
    </row>
    <row r="251" spans="1:29" ht="15" x14ac:dyDescent="0.25">
      <c r="A251" s="5">
        <v>821</v>
      </c>
      <c r="B251" s="5">
        <v>1</v>
      </c>
      <c r="C251" s="2" t="s">
        <v>248</v>
      </c>
      <c r="D251" s="3">
        <v>73051.56</v>
      </c>
      <c r="E251" s="3">
        <v>93598.61</v>
      </c>
      <c r="F251" s="171">
        <v>0</v>
      </c>
      <c r="G251" s="171">
        <v>95156</v>
      </c>
      <c r="H251" s="171">
        <v>0</v>
      </c>
      <c r="I251" s="171">
        <v>520960</v>
      </c>
      <c r="J251" s="172">
        <v>41756</v>
      </c>
      <c r="K251" s="171">
        <v>369022</v>
      </c>
      <c r="L251" s="171">
        <v>128955</v>
      </c>
      <c r="M251" s="3">
        <v>0</v>
      </c>
      <c r="N251" s="173">
        <v>0</v>
      </c>
      <c r="O251" s="154">
        <f t="shared" si="23"/>
        <v>1155849</v>
      </c>
      <c r="P251" s="3">
        <f t="shared" si="24"/>
        <v>1060693</v>
      </c>
      <c r="Q251" s="3">
        <f t="shared" si="25"/>
        <v>520960</v>
      </c>
      <c r="R251" s="3">
        <f t="shared" si="26"/>
        <v>41756</v>
      </c>
      <c r="S251" s="3">
        <f t="shared" si="27"/>
        <v>497977</v>
      </c>
      <c r="T251" s="3">
        <f t="shared" si="28"/>
        <v>0</v>
      </c>
      <c r="U251" s="3">
        <v>0</v>
      </c>
      <c r="V251" s="3">
        <v>0</v>
      </c>
      <c r="W251" s="175">
        <f t="shared" si="29"/>
        <v>43942.93</v>
      </c>
      <c r="X251" s="175">
        <f t="shared" si="29"/>
        <v>0</v>
      </c>
      <c r="Z251" s="2">
        <f>[2]credits!$M251-U251</f>
        <v>45971.01</v>
      </c>
      <c r="AA251" s="2">
        <f>[2]credits!$O251-V251</f>
        <v>3684.69</v>
      </c>
      <c r="AB251" s="2">
        <f>[2]credits!$Q251-W251</f>
        <v>-1.9999999996798579E-2</v>
      </c>
      <c r="AC251" s="2">
        <f>[2]credits!$S251-X251</f>
        <v>0</v>
      </c>
    </row>
    <row r="252" spans="1:29" ht="15" x14ac:dyDescent="0.25">
      <c r="A252" s="5">
        <v>829</v>
      </c>
      <c r="B252" s="5">
        <v>1</v>
      </c>
      <c r="C252" s="2" t="s">
        <v>249</v>
      </c>
      <c r="D252" s="3">
        <v>175652.39</v>
      </c>
      <c r="E252" s="3">
        <v>173935.86</v>
      </c>
      <c r="F252" s="171">
        <v>0</v>
      </c>
      <c r="G252" s="171">
        <v>143632</v>
      </c>
      <c r="H252" s="171">
        <v>0</v>
      </c>
      <c r="I252" s="171">
        <v>559604</v>
      </c>
      <c r="J252" s="172">
        <v>172685</v>
      </c>
      <c r="K252" s="171">
        <v>1003786</v>
      </c>
      <c r="L252" s="171">
        <v>253678</v>
      </c>
      <c r="M252" s="3">
        <v>0</v>
      </c>
      <c r="N252" s="173">
        <v>0</v>
      </c>
      <c r="O252" s="154">
        <f t="shared" si="23"/>
        <v>2133385</v>
      </c>
      <c r="P252" s="3">
        <f t="shared" si="24"/>
        <v>1989753</v>
      </c>
      <c r="Q252" s="3">
        <f t="shared" si="25"/>
        <v>559604</v>
      </c>
      <c r="R252" s="3">
        <f t="shared" si="26"/>
        <v>172685</v>
      </c>
      <c r="S252" s="3">
        <f t="shared" si="27"/>
        <v>1257464</v>
      </c>
      <c r="T252" s="3">
        <f t="shared" si="28"/>
        <v>0</v>
      </c>
      <c r="U252" s="3">
        <v>0</v>
      </c>
      <c r="V252" s="3">
        <v>0</v>
      </c>
      <c r="W252" s="175">
        <f t="shared" si="29"/>
        <v>109922.23</v>
      </c>
      <c r="X252" s="175">
        <f t="shared" si="29"/>
        <v>0</v>
      </c>
      <c r="Z252" s="2">
        <f>[2]credits!$M252-U252</f>
        <v>48918.26</v>
      </c>
      <c r="AA252" s="2">
        <f>[2]credits!$O252-V252</f>
        <v>15095.38</v>
      </c>
      <c r="AB252" s="2">
        <f>[2]credits!$Q252-W252</f>
        <v>-9.9999999947613105E-3</v>
      </c>
      <c r="AC252" s="2">
        <f>[2]credits!$S252-X252</f>
        <v>0</v>
      </c>
    </row>
    <row r="253" spans="1:29" ht="15" x14ac:dyDescent="0.25">
      <c r="A253" s="5">
        <v>831</v>
      </c>
      <c r="B253" s="5">
        <v>1</v>
      </c>
      <c r="C253" s="2" t="s">
        <v>250</v>
      </c>
      <c r="D253" s="3">
        <v>315588.72000000003</v>
      </c>
      <c r="E253" s="3">
        <v>390589.62999999995</v>
      </c>
      <c r="F253" s="171">
        <v>6378518</v>
      </c>
      <c r="G253" s="171">
        <v>1145340</v>
      </c>
      <c r="H253" s="171">
        <v>0</v>
      </c>
      <c r="I253" s="171">
        <v>2864319</v>
      </c>
      <c r="J253" s="172">
        <v>873508</v>
      </c>
      <c r="K253" s="171">
        <v>3774418</v>
      </c>
      <c r="L253" s="171">
        <v>0</v>
      </c>
      <c r="M253" s="3">
        <v>0</v>
      </c>
      <c r="N253" s="173">
        <v>523648</v>
      </c>
      <c r="O253" s="154">
        <f t="shared" si="23"/>
        <v>15559751</v>
      </c>
      <c r="P253" s="3">
        <f t="shared" si="24"/>
        <v>8035893</v>
      </c>
      <c r="Q253" s="3">
        <f t="shared" si="25"/>
        <v>2864319</v>
      </c>
      <c r="R253" s="3">
        <f t="shared" si="26"/>
        <v>873508</v>
      </c>
      <c r="S253" s="3">
        <f t="shared" si="27"/>
        <v>3774418</v>
      </c>
      <c r="T253" s="3">
        <f t="shared" si="28"/>
        <v>523648</v>
      </c>
      <c r="U253" s="3">
        <v>0</v>
      </c>
      <c r="V253" s="3">
        <v>0</v>
      </c>
      <c r="W253" s="175">
        <f t="shared" si="29"/>
        <v>183457.96</v>
      </c>
      <c r="X253" s="175">
        <f t="shared" si="29"/>
        <v>25452.240000000002</v>
      </c>
      <c r="Z253" s="2">
        <f>[2]credits!$M253-U253</f>
        <v>139217.07999999999</v>
      </c>
      <c r="AA253" s="2">
        <f>[2]credits!$O253-V253</f>
        <v>42457.15</v>
      </c>
      <c r="AB253" s="2">
        <f>[2]credits!$Q253-W253</f>
        <v>4.7600000000093132</v>
      </c>
      <c r="AC253" s="2">
        <f>[2]credits!$S253-X253</f>
        <v>0.43999999999869033</v>
      </c>
    </row>
    <row r="254" spans="1:29" ht="15" x14ac:dyDescent="0.25">
      <c r="A254" s="5">
        <v>832</v>
      </c>
      <c r="B254" s="5">
        <v>1</v>
      </c>
      <c r="C254" s="2" t="s">
        <v>251</v>
      </c>
      <c r="D254" s="3">
        <v>107940.81</v>
      </c>
      <c r="E254" s="3">
        <v>140774.56000000003</v>
      </c>
      <c r="F254" s="171">
        <v>3409985</v>
      </c>
      <c r="G254" s="171">
        <v>522106</v>
      </c>
      <c r="H254" s="171">
        <v>664287</v>
      </c>
      <c r="I254" s="171">
        <v>1711560</v>
      </c>
      <c r="J254" s="172">
        <v>266036</v>
      </c>
      <c r="K254" s="171">
        <v>4693409</v>
      </c>
      <c r="L254" s="171">
        <v>58546</v>
      </c>
      <c r="M254" s="3">
        <v>0</v>
      </c>
      <c r="N254" s="173">
        <v>345196</v>
      </c>
      <c r="O254" s="154">
        <f t="shared" si="23"/>
        <v>11671125</v>
      </c>
      <c r="P254" s="3">
        <f t="shared" si="24"/>
        <v>7739034</v>
      </c>
      <c r="Q254" s="3">
        <f t="shared" si="25"/>
        <v>2375847</v>
      </c>
      <c r="R254" s="3">
        <f t="shared" si="26"/>
        <v>266036</v>
      </c>
      <c r="S254" s="3">
        <f t="shared" si="27"/>
        <v>4751955</v>
      </c>
      <c r="T254" s="3">
        <f t="shared" si="28"/>
        <v>345196</v>
      </c>
      <c r="U254" s="3">
        <v>0</v>
      </c>
      <c r="V254" s="3">
        <v>0</v>
      </c>
      <c r="W254" s="175">
        <f t="shared" si="29"/>
        <v>86439</v>
      </c>
      <c r="X254" s="175">
        <f t="shared" si="29"/>
        <v>6279.18</v>
      </c>
      <c r="Z254" s="2">
        <f>[2]credits!$M254-U254</f>
        <v>43217.120000000003</v>
      </c>
      <c r="AA254" s="2">
        <f>[2]credits!$O254-V254</f>
        <v>4839.24</v>
      </c>
      <c r="AB254" s="2">
        <f>[2]credits!$Q254-W254</f>
        <v>9.9999999947613105E-3</v>
      </c>
      <c r="AC254" s="2">
        <f>[2]credits!$S254-X254</f>
        <v>0</v>
      </c>
    </row>
    <row r="255" spans="1:29" ht="15" x14ac:dyDescent="0.25">
      <c r="A255" s="5">
        <v>833</v>
      </c>
      <c r="B255" s="5">
        <v>1</v>
      </c>
      <c r="C255" s="2" t="s">
        <v>252</v>
      </c>
      <c r="D255" s="3">
        <v>1329647.01</v>
      </c>
      <c r="E255" s="3">
        <v>1502512.21</v>
      </c>
      <c r="F255" s="171">
        <v>17603177</v>
      </c>
      <c r="G255" s="171">
        <v>2177436</v>
      </c>
      <c r="H255" s="171">
        <v>1000000</v>
      </c>
      <c r="I255" s="171">
        <v>6860379</v>
      </c>
      <c r="J255" s="172">
        <v>1368524</v>
      </c>
      <c r="K255" s="171">
        <v>23015047</v>
      </c>
      <c r="L255" s="171">
        <v>1668789</v>
      </c>
      <c r="M255" s="3">
        <v>0</v>
      </c>
      <c r="N255" s="173">
        <v>0</v>
      </c>
      <c r="O255" s="154">
        <f t="shared" si="23"/>
        <v>53693352</v>
      </c>
      <c r="P255" s="3">
        <f t="shared" si="24"/>
        <v>33912739</v>
      </c>
      <c r="Q255" s="3">
        <f t="shared" si="25"/>
        <v>7860379</v>
      </c>
      <c r="R255" s="3">
        <f t="shared" si="26"/>
        <v>1368524</v>
      </c>
      <c r="S255" s="3">
        <f t="shared" si="27"/>
        <v>24683836</v>
      </c>
      <c r="T255" s="3">
        <f t="shared" si="28"/>
        <v>0</v>
      </c>
      <c r="U255" s="3">
        <v>0</v>
      </c>
      <c r="V255" s="3">
        <v>0</v>
      </c>
      <c r="W255" s="175">
        <f t="shared" si="29"/>
        <v>1093623.3999999999</v>
      </c>
      <c r="X255" s="175">
        <f t="shared" si="29"/>
        <v>0</v>
      </c>
      <c r="Z255" s="2">
        <f>[2]credits!$M255-U255</f>
        <v>348256.02</v>
      </c>
      <c r="AA255" s="2">
        <f>[2]credits!$O255-V255</f>
        <v>60632.800000000003</v>
      </c>
      <c r="AB255" s="2">
        <f>[2]credits!$Q255-W255</f>
        <v>-2.0000000018626451E-2</v>
      </c>
      <c r="AC255" s="2">
        <f>[2]credits!$S255-X255</f>
        <v>0</v>
      </c>
    </row>
    <row r="256" spans="1:29" ht="15" x14ac:dyDescent="0.25">
      <c r="A256" s="5">
        <v>834</v>
      </c>
      <c r="B256" s="5">
        <v>1</v>
      </c>
      <c r="C256" s="2" t="s">
        <v>253</v>
      </c>
      <c r="D256" s="3">
        <v>446243.94</v>
      </c>
      <c r="E256" s="3">
        <v>485246.25</v>
      </c>
      <c r="F256" s="171">
        <v>11874013</v>
      </c>
      <c r="G256" s="171">
        <v>1058209</v>
      </c>
      <c r="H256" s="171">
        <v>0</v>
      </c>
      <c r="I256" s="171">
        <v>6718089</v>
      </c>
      <c r="J256" s="172">
        <v>894731</v>
      </c>
      <c r="K256" s="171">
        <v>3262671</v>
      </c>
      <c r="L256" s="171">
        <v>5300442</v>
      </c>
      <c r="M256" s="3">
        <v>0</v>
      </c>
      <c r="N256" s="173">
        <v>1484685</v>
      </c>
      <c r="O256" s="154">
        <f t="shared" si="23"/>
        <v>30592840</v>
      </c>
      <c r="P256" s="3">
        <f t="shared" si="24"/>
        <v>17660618</v>
      </c>
      <c r="Q256" s="3">
        <f t="shared" si="25"/>
        <v>6718089</v>
      </c>
      <c r="R256" s="3">
        <f t="shared" si="26"/>
        <v>894731</v>
      </c>
      <c r="S256" s="3">
        <f t="shared" si="27"/>
        <v>8563113</v>
      </c>
      <c r="T256" s="3">
        <f t="shared" si="28"/>
        <v>1484685</v>
      </c>
      <c r="U256" s="3">
        <v>0</v>
      </c>
      <c r="V256" s="3">
        <v>0</v>
      </c>
      <c r="W256" s="175">
        <f t="shared" si="29"/>
        <v>235281.6</v>
      </c>
      <c r="X256" s="175">
        <f t="shared" si="29"/>
        <v>40793.47</v>
      </c>
      <c r="Z256" s="2">
        <f>[2]credits!$M256-U256</f>
        <v>184587.41</v>
      </c>
      <c r="AA256" s="2">
        <f>[2]credits!$O256-V256</f>
        <v>24583.78</v>
      </c>
      <c r="AB256" s="2">
        <f>[2]credits!$Q256-W256</f>
        <v>-1.0000000009313226E-2</v>
      </c>
      <c r="AC256" s="2">
        <f>[2]credits!$S256-X256</f>
        <v>0</v>
      </c>
    </row>
    <row r="257" spans="1:29" ht="15" x14ac:dyDescent="0.25">
      <c r="A257" s="5">
        <v>836</v>
      </c>
      <c r="B257" s="5">
        <v>1</v>
      </c>
      <c r="C257" s="2" t="s">
        <v>254</v>
      </c>
      <c r="D257" s="3">
        <v>16228.690000000002</v>
      </c>
      <c r="E257" s="3">
        <v>17251.28</v>
      </c>
      <c r="F257" s="171">
        <v>135099</v>
      </c>
      <c r="G257" s="171">
        <v>8074</v>
      </c>
      <c r="H257" s="171">
        <v>0</v>
      </c>
      <c r="I257" s="171">
        <v>224502</v>
      </c>
      <c r="J257" s="172">
        <v>27797</v>
      </c>
      <c r="K257" s="171">
        <v>0</v>
      </c>
      <c r="L257" s="171">
        <v>0</v>
      </c>
      <c r="M257" s="3">
        <v>0</v>
      </c>
      <c r="N257" s="173">
        <v>0</v>
      </c>
      <c r="O257" s="154">
        <f t="shared" si="23"/>
        <v>395472</v>
      </c>
      <c r="P257" s="3">
        <f t="shared" si="24"/>
        <v>252299</v>
      </c>
      <c r="Q257" s="3">
        <f t="shared" si="25"/>
        <v>224502</v>
      </c>
      <c r="R257" s="3">
        <f t="shared" si="26"/>
        <v>27797</v>
      </c>
      <c r="S257" s="3">
        <f t="shared" si="27"/>
        <v>0</v>
      </c>
      <c r="T257" s="3">
        <f t="shared" si="28"/>
        <v>0</v>
      </c>
      <c r="U257" s="3">
        <v>0</v>
      </c>
      <c r="V257" s="3">
        <v>0</v>
      </c>
      <c r="W257" s="175">
        <f t="shared" si="29"/>
        <v>0</v>
      </c>
      <c r="X257" s="175">
        <f t="shared" si="29"/>
        <v>0</v>
      </c>
      <c r="Z257" s="2">
        <f>[2]credits!$M257-U257</f>
        <v>15350.63</v>
      </c>
      <c r="AA257" s="2">
        <f>[2]credits!$O257-V257</f>
        <v>1900.65</v>
      </c>
      <c r="AB257" s="2">
        <f>[2]credits!$Q257-W257</f>
        <v>0</v>
      </c>
      <c r="AC257" s="2">
        <f>[2]credits!$S257-X257</f>
        <v>0</v>
      </c>
    </row>
    <row r="258" spans="1:29" ht="15" x14ac:dyDescent="0.25">
      <c r="A258" s="5">
        <v>837</v>
      </c>
      <c r="B258" s="5">
        <v>1</v>
      </c>
      <c r="C258" s="2" t="s">
        <v>255</v>
      </c>
      <c r="D258" s="3">
        <v>77749.679999999993</v>
      </c>
      <c r="E258" s="3">
        <v>68107.149999999994</v>
      </c>
      <c r="F258" s="171">
        <v>219305</v>
      </c>
      <c r="G258" s="171">
        <v>43002</v>
      </c>
      <c r="H258" s="171">
        <v>0</v>
      </c>
      <c r="I258" s="171">
        <v>117798</v>
      </c>
      <c r="J258" s="172">
        <v>47610</v>
      </c>
      <c r="K258" s="171">
        <v>487579</v>
      </c>
      <c r="L258" s="171">
        <v>255704</v>
      </c>
      <c r="M258" s="3">
        <v>0</v>
      </c>
      <c r="N258" s="173">
        <v>0</v>
      </c>
      <c r="O258" s="154">
        <f t="shared" si="23"/>
        <v>1170998</v>
      </c>
      <c r="P258" s="3">
        <f t="shared" si="24"/>
        <v>908691</v>
      </c>
      <c r="Q258" s="3">
        <f t="shared" si="25"/>
        <v>117798</v>
      </c>
      <c r="R258" s="3">
        <f t="shared" si="26"/>
        <v>47610</v>
      </c>
      <c r="S258" s="3">
        <f t="shared" si="27"/>
        <v>743283</v>
      </c>
      <c r="T258" s="3">
        <f t="shared" si="28"/>
        <v>0</v>
      </c>
      <c r="U258" s="3">
        <v>0</v>
      </c>
      <c r="V258" s="3">
        <v>0</v>
      </c>
      <c r="W258" s="175">
        <f t="shared" si="29"/>
        <v>55709.68</v>
      </c>
      <c r="X258" s="175">
        <f t="shared" si="29"/>
        <v>0</v>
      </c>
      <c r="Z258" s="2">
        <f>[2]credits!$M258-U258</f>
        <v>8829.07</v>
      </c>
      <c r="AA258" s="2">
        <f>[2]credits!$O258-V258</f>
        <v>3568.38</v>
      </c>
      <c r="AB258" s="2">
        <f>[2]credits!$Q258-W258</f>
        <v>1.0000000002037268E-2</v>
      </c>
      <c r="AC258" s="2">
        <f>[2]credits!$S258-X258</f>
        <v>0</v>
      </c>
    </row>
    <row r="259" spans="1:29" ht="15" x14ac:dyDescent="0.25">
      <c r="A259" s="5">
        <v>840</v>
      </c>
      <c r="B259" s="5">
        <v>1</v>
      </c>
      <c r="C259" s="2" t="s">
        <v>256</v>
      </c>
      <c r="D259" s="3">
        <v>78983.91</v>
      </c>
      <c r="E259" s="3">
        <v>85688.79</v>
      </c>
      <c r="F259" s="171">
        <v>535284</v>
      </c>
      <c r="G259" s="171">
        <v>50707</v>
      </c>
      <c r="H259" s="171">
        <v>0</v>
      </c>
      <c r="I259" s="171">
        <v>518198</v>
      </c>
      <c r="J259" s="172">
        <v>118397</v>
      </c>
      <c r="K259" s="171">
        <v>0</v>
      </c>
      <c r="L259" s="171">
        <v>359384</v>
      </c>
      <c r="M259" s="3">
        <v>0</v>
      </c>
      <c r="N259" s="173">
        <v>0</v>
      </c>
      <c r="O259" s="154">
        <f t="shared" si="23"/>
        <v>1581970</v>
      </c>
      <c r="P259" s="3">
        <f t="shared" si="24"/>
        <v>995979</v>
      </c>
      <c r="Q259" s="3">
        <f t="shared" si="25"/>
        <v>518198</v>
      </c>
      <c r="R259" s="3">
        <f t="shared" si="26"/>
        <v>118397</v>
      </c>
      <c r="S259" s="3">
        <f t="shared" si="27"/>
        <v>359384</v>
      </c>
      <c r="T259" s="3">
        <f t="shared" si="28"/>
        <v>0</v>
      </c>
      <c r="U259" s="3">
        <v>0</v>
      </c>
      <c r="V259" s="3">
        <v>0</v>
      </c>
      <c r="W259" s="175">
        <f t="shared" si="29"/>
        <v>30919.51</v>
      </c>
      <c r="X259" s="175">
        <f t="shared" si="29"/>
        <v>0</v>
      </c>
      <c r="Z259" s="2">
        <f>[2]credits!$M259-U259</f>
        <v>44583.01</v>
      </c>
      <c r="AA259" s="2">
        <f>[2]credits!$O259-V259</f>
        <v>10186.290000000001</v>
      </c>
      <c r="AB259" s="2">
        <f>[2]credits!$Q259-W259</f>
        <v>-1.9999999996798579E-2</v>
      </c>
      <c r="AC259" s="2">
        <f>[2]credits!$S259-X259</f>
        <v>0</v>
      </c>
    </row>
    <row r="260" spans="1:29" ht="15" x14ac:dyDescent="0.25">
      <c r="A260" s="5">
        <v>846</v>
      </c>
      <c r="B260" s="5">
        <v>1</v>
      </c>
      <c r="C260" s="2" t="s">
        <v>257</v>
      </c>
      <c r="D260" s="3">
        <v>67158.710000000006</v>
      </c>
      <c r="E260" s="3">
        <v>68832.88</v>
      </c>
      <c r="F260" s="171">
        <v>290826.51</v>
      </c>
      <c r="G260" s="171">
        <v>38177.72</v>
      </c>
      <c r="H260" s="171">
        <v>0</v>
      </c>
      <c r="I260" s="171">
        <v>332603.78999999998</v>
      </c>
      <c r="J260" s="172">
        <v>78447.44</v>
      </c>
      <c r="K260" s="171">
        <v>293591.24</v>
      </c>
      <c r="L260" s="171">
        <v>0</v>
      </c>
      <c r="M260" s="3">
        <v>0</v>
      </c>
      <c r="N260" s="173">
        <v>0</v>
      </c>
      <c r="O260" s="154">
        <f t="shared" si="23"/>
        <v>1033646.7</v>
      </c>
      <c r="P260" s="3">
        <f t="shared" si="24"/>
        <v>704642.47</v>
      </c>
      <c r="Q260" s="3">
        <f t="shared" si="25"/>
        <v>332603.78999999998</v>
      </c>
      <c r="R260" s="3">
        <f t="shared" si="26"/>
        <v>78447.44</v>
      </c>
      <c r="S260" s="3">
        <f t="shared" si="27"/>
        <v>293591.24</v>
      </c>
      <c r="T260" s="3">
        <f t="shared" si="28"/>
        <v>0</v>
      </c>
      <c r="U260" s="3">
        <v>0</v>
      </c>
      <c r="V260" s="3">
        <v>0</v>
      </c>
      <c r="W260" s="175">
        <f t="shared" si="29"/>
        <v>28679.41</v>
      </c>
      <c r="X260" s="175">
        <f t="shared" si="29"/>
        <v>0</v>
      </c>
      <c r="Z260" s="2">
        <f>[2]credits!$M260-U260</f>
        <v>32490.34</v>
      </c>
      <c r="AA260" s="2">
        <f>[2]credits!$O260-V260</f>
        <v>7663.12</v>
      </c>
      <c r="AB260" s="2">
        <f>[2]credits!$Q260-W260</f>
        <v>0</v>
      </c>
      <c r="AC260" s="2">
        <f>[2]credits!$S260-X260</f>
        <v>0</v>
      </c>
    </row>
    <row r="261" spans="1:29" ht="15" x14ac:dyDescent="0.25">
      <c r="A261" s="5">
        <v>850</v>
      </c>
      <c r="B261" s="5">
        <v>1</v>
      </c>
      <c r="C261" s="2" t="s">
        <v>258</v>
      </c>
      <c r="D261" s="3">
        <v>11559.75</v>
      </c>
      <c r="E261" s="3">
        <v>15760.66</v>
      </c>
      <c r="F261" s="171">
        <v>269707.84999999998</v>
      </c>
      <c r="G261" s="171">
        <v>7792.2</v>
      </c>
      <c r="H261" s="171">
        <v>0</v>
      </c>
      <c r="I261" s="171">
        <v>185085.17</v>
      </c>
      <c r="J261" s="172">
        <v>19847.39</v>
      </c>
      <c r="K261" s="171">
        <v>0</v>
      </c>
      <c r="L261" s="171">
        <v>0</v>
      </c>
      <c r="M261" s="3">
        <v>0</v>
      </c>
      <c r="N261" s="173">
        <v>0</v>
      </c>
      <c r="O261" s="154">
        <f t="shared" si="23"/>
        <v>482432.61</v>
      </c>
      <c r="P261" s="3">
        <f t="shared" si="24"/>
        <v>204932.56</v>
      </c>
      <c r="Q261" s="3">
        <f t="shared" si="25"/>
        <v>185085.17</v>
      </c>
      <c r="R261" s="3">
        <f t="shared" si="26"/>
        <v>19847.39</v>
      </c>
      <c r="S261" s="3">
        <f t="shared" si="27"/>
        <v>0</v>
      </c>
      <c r="T261" s="3">
        <f t="shared" si="28"/>
        <v>0</v>
      </c>
      <c r="U261" s="3">
        <v>0</v>
      </c>
      <c r="V261" s="3">
        <v>0</v>
      </c>
      <c r="W261" s="175">
        <f t="shared" si="29"/>
        <v>0</v>
      </c>
      <c r="X261" s="175">
        <f t="shared" si="29"/>
        <v>0</v>
      </c>
      <c r="Z261" s="2">
        <f>[2]credits!$M261-U261</f>
        <v>14234.27</v>
      </c>
      <c r="AA261" s="2">
        <f>[2]credits!$O261-V261</f>
        <v>1526.39</v>
      </c>
      <c r="AB261" s="2">
        <f>[2]credits!$Q261-W261</f>
        <v>0</v>
      </c>
      <c r="AC261" s="2">
        <f>[2]credits!$S261-X261</f>
        <v>0</v>
      </c>
    </row>
    <row r="262" spans="1:29" ht="15" x14ac:dyDescent="0.25">
      <c r="A262" s="5">
        <v>852</v>
      </c>
      <c r="B262" s="5">
        <v>1</v>
      </c>
      <c r="C262" s="2" t="s">
        <v>259</v>
      </c>
      <c r="D262" s="3">
        <v>4065.4</v>
      </c>
      <c r="E262" s="3">
        <v>2936.33</v>
      </c>
      <c r="F262" s="171">
        <v>334875</v>
      </c>
      <c r="G262" s="171">
        <v>3229.06</v>
      </c>
      <c r="H262" s="171">
        <v>0</v>
      </c>
      <c r="I262" s="171">
        <v>78095.259999999995</v>
      </c>
      <c r="J262" s="172">
        <v>23747.63</v>
      </c>
      <c r="K262" s="171">
        <v>0</v>
      </c>
      <c r="L262" s="171">
        <v>0</v>
      </c>
      <c r="M262" s="3">
        <v>0</v>
      </c>
      <c r="N262" s="173">
        <v>0</v>
      </c>
      <c r="O262" s="154">
        <f t="shared" si="23"/>
        <v>439946.95</v>
      </c>
      <c r="P262" s="3">
        <f t="shared" si="24"/>
        <v>101842.89</v>
      </c>
      <c r="Q262" s="3">
        <f t="shared" si="25"/>
        <v>78095.259999999995</v>
      </c>
      <c r="R262" s="3">
        <f t="shared" si="26"/>
        <v>23747.63</v>
      </c>
      <c r="S262" s="3">
        <f t="shared" si="27"/>
        <v>0</v>
      </c>
      <c r="T262" s="3">
        <f t="shared" si="28"/>
        <v>0</v>
      </c>
      <c r="U262" s="3">
        <v>0</v>
      </c>
      <c r="V262" s="3">
        <v>0</v>
      </c>
      <c r="W262" s="175">
        <f t="shared" si="29"/>
        <v>0</v>
      </c>
      <c r="X262" s="175">
        <f t="shared" si="29"/>
        <v>0</v>
      </c>
      <c r="Z262" s="2">
        <f>[2]credits!$M262-U262</f>
        <v>2251.64</v>
      </c>
      <c r="AA262" s="2">
        <f>[2]credits!$O262-V262</f>
        <v>684.69</v>
      </c>
      <c r="AB262" s="2">
        <f>[2]credits!$Q262-W262</f>
        <v>0</v>
      </c>
      <c r="AC262" s="2">
        <f>[2]credits!$S262-X262</f>
        <v>0</v>
      </c>
    </row>
    <row r="263" spans="1:29" ht="15" x14ac:dyDescent="0.25">
      <c r="A263" s="5">
        <v>857</v>
      </c>
      <c r="B263" s="5">
        <v>1</v>
      </c>
      <c r="C263" s="2" t="s">
        <v>260</v>
      </c>
      <c r="D263" s="3">
        <v>66337.03</v>
      </c>
      <c r="E263" s="3">
        <v>65028.820000000007</v>
      </c>
      <c r="F263" s="171">
        <v>428076</v>
      </c>
      <c r="G263" s="171">
        <v>63951</v>
      </c>
      <c r="H263" s="171">
        <v>0</v>
      </c>
      <c r="I263" s="171">
        <v>323854</v>
      </c>
      <c r="J263" s="172">
        <v>49500</v>
      </c>
      <c r="K263" s="171">
        <v>190913</v>
      </c>
      <c r="L263" s="171">
        <v>83631</v>
      </c>
      <c r="M263" s="3">
        <v>0</v>
      </c>
      <c r="N263" s="173">
        <v>0</v>
      </c>
      <c r="O263" s="154">
        <f t="shared" si="23"/>
        <v>1139925</v>
      </c>
      <c r="P263" s="3">
        <f t="shared" si="24"/>
        <v>647898</v>
      </c>
      <c r="Q263" s="3">
        <f t="shared" si="25"/>
        <v>323854</v>
      </c>
      <c r="R263" s="3">
        <f t="shared" si="26"/>
        <v>49500</v>
      </c>
      <c r="S263" s="3">
        <f t="shared" si="27"/>
        <v>274544</v>
      </c>
      <c r="T263" s="3">
        <f t="shared" si="28"/>
        <v>0</v>
      </c>
      <c r="U263" s="3">
        <v>0</v>
      </c>
      <c r="V263" s="3">
        <v>0</v>
      </c>
      <c r="W263" s="175">
        <f t="shared" si="29"/>
        <v>27555.68</v>
      </c>
      <c r="X263" s="175">
        <f t="shared" si="29"/>
        <v>0</v>
      </c>
      <c r="Z263" s="2">
        <f>[2]credits!$M263-U263</f>
        <v>32504.84</v>
      </c>
      <c r="AA263" s="2">
        <f>[2]credits!$O263-V263</f>
        <v>4968.24</v>
      </c>
      <c r="AB263" s="2">
        <f>[2]credits!$Q263-W263</f>
        <v>6.0000000001309672E-2</v>
      </c>
      <c r="AC263" s="2">
        <f>[2]credits!$S263-X263</f>
        <v>0</v>
      </c>
    </row>
    <row r="264" spans="1:29" ht="15" x14ac:dyDescent="0.25">
      <c r="A264" s="5">
        <v>858</v>
      </c>
      <c r="B264" s="5">
        <v>1</v>
      </c>
      <c r="C264" s="2" t="s">
        <v>261</v>
      </c>
      <c r="D264" s="3">
        <v>94897.48</v>
      </c>
      <c r="E264" s="3">
        <v>95606.1</v>
      </c>
      <c r="F264" s="171">
        <v>0</v>
      </c>
      <c r="G264" s="171">
        <v>112923</v>
      </c>
      <c r="H264" s="171">
        <v>0</v>
      </c>
      <c r="I264" s="171">
        <v>193071</v>
      </c>
      <c r="J264" s="172">
        <v>57029</v>
      </c>
      <c r="K264" s="171">
        <v>736699</v>
      </c>
      <c r="L264" s="171">
        <v>0</v>
      </c>
      <c r="M264" s="3">
        <v>0</v>
      </c>
      <c r="N264" s="173">
        <v>0</v>
      </c>
      <c r="O264" s="154">
        <f t="shared" si="23"/>
        <v>1099722</v>
      </c>
      <c r="P264" s="3">
        <f t="shared" si="24"/>
        <v>986799</v>
      </c>
      <c r="Q264" s="3">
        <f t="shared" si="25"/>
        <v>193071</v>
      </c>
      <c r="R264" s="3">
        <f t="shared" si="26"/>
        <v>57029</v>
      </c>
      <c r="S264" s="3">
        <f t="shared" si="27"/>
        <v>736699</v>
      </c>
      <c r="T264" s="3">
        <f t="shared" si="28"/>
        <v>0</v>
      </c>
      <c r="U264" s="3">
        <v>0</v>
      </c>
      <c r="V264" s="3">
        <v>0</v>
      </c>
      <c r="W264" s="175">
        <f t="shared" si="29"/>
        <v>71375.14</v>
      </c>
      <c r="X264" s="175">
        <f t="shared" si="29"/>
        <v>0</v>
      </c>
      <c r="Z264" s="2">
        <f>[2]credits!$M264-U264</f>
        <v>18705.689999999999</v>
      </c>
      <c r="AA264" s="2">
        <f>[2]credits!$O264-V264</f>
        <v>5525.23</v>
      </c>
      <c r="AB264" s="2">
        <f>[2]credits!$Q264-W264</f>
        <v>3.9999999993597157E-2</v>
      </c>
      <c r="AC264" s="2">
        <f>[2]credits!$S264-X264</f>
        <v>0</v>
      </c>
    </row>
    <row r="265" spans="1:29" ht="15" x14ac:dyDescent="0.25">
      <c r="A265" s="5">
        <v>861</v>
      </c>
      <c r="B265" s="5">
        <v>1</v>
      </c>
      <c r="C265" s="2" t="s">
        <v>262</v>
      </c>
      <c r="D265" s="3">
        <v>509234.77</v>
      </c>
      <c r="E265" s="3">
        <v>518210.57</v>
      </c>
      <c r="F265" s="171">
        <v>6677544</v>
      </c>
      <c r="G265" s="171">
        <v>252543</v>
      </c>
      <c r="H265" s="171">
        <v>0</v>
      </c>
      <c r="I265" s="171">
        <v>2001141</v>
      </c>
      <c r="J265" s="172">
        <v>477240</v>
      </c>
      <c r="K265" s="171">
        <v>1722816</v>
      </c>
      <c r="L265" s="171">
        <v>254384</v>
      </c>
      <c r="M265" s="3">
        <v>0</v>
      </c>
      <c r="N265" s="173">
        <v>778552</v>
      </c>
      <c r="O265" s="154">
        <f t="shared" ref="O265:O328" si="30">SUM(F265:N265)</f>
        <v>12164220</v>
      </c>
      <c r="P265" s="3">
        <f t="shared" ref="P265:P328" si="31">SUM(H265:N265)</f>
        <v>5234133</v>
      </c>
      <c r="Q265" s="3">
        <f t="shared" ref="Q265:Q328" si="32">SUM(H265:I265)</f>
        <v>2001141</v>
      </c>
      <c r="R265" s="3">
        <f t="shared" ref="R265:R328" si="33">J265</f>
        <v>477240</v>
      </c>
      <c r="S265" s="3">
        <f t="shared" ref="S265:S328" si="34">K265+L265</f>
        <v>1977200</v>
      </c>
      <c r="T265" s="3">
        <f t="shared" ref="T265:T328" si="35">N265+M265</f>
        <v>778552</v>
      </c>
      <c r="U265" s="3">
        <v>0</v>
      </c>
      <c r="V265" s="3">
        <v>0</v>
      </c>
      <c r="W265" s="175">
        <f t="shared" si="29"/>
        <v>195754.66</v>
      </c>
      <c r="X265" s="175">
        <f t="shared" si="29"/>
        <v>77081.320000000007</v>
      </c>
      <c r="Z265" s="2">
        <f>[2]credits!$M265-U265</f>
        <v>198124.99</v>
      </c>
      <c r="AA265" s="2">
        <f>[2]credits!$O265-V265</f>
        <v>47249.66</v>
      </c>
      <c r="AB265" s="2">
        <f>[2]credits!$Q265-W265</f>
        <v>-5.0000000017462298E-2</v>
      </c>
      <c r="AC265" s="2">
        <f>[2]credits!$S265-X265</f>
        <v>0</v>
      </c>
    </row>
    <row r="266" spans="1:29" ht="15" x14ac:dyDescent="0.25">
      <c r="A266" s="5">
        <v>876</v>
      </c>
      <c r="B266" s="5">
        <v>1</v>
      </c>
      <c r="C266" s="2" t="s">
        <v>263</v>
      </c>
      <c r="D266" s="3">
        <v>68337.06</v>
      </c>
      <c r="E266" s="3">
        <v>83199.22</v>
      </c>
      <c r="F266" s="171">
        <v>1120044.97</v>
      </c>
      <c r="G266" s="171">
        <v>230342.66</v>
      </c>
      <c r="H266" s="171">
        <v>0</v>
      </c>
      <c r="I266" s="171">
        <v>1027165.35</v>
      </c>
      <c r="J266" s="172">
        <v>163319.82</v>
      </c>
      <c r="K266" s="171">
        <v>234921.1</v>
      </c>
      <c r="L266" s="171">
        <v>0</v>
      </c>
      <c r="M266" s="3">
        <v>0</v>
      </c>
      <c r="N266" s="173">
        <v>0</v>
      </c>
      <c r="O266" s="154">
        <f t="shared" si="30"/>
        <v>2775793.9</v>
      </c>
      <c r="P266" s="3">
        <f t="shared" si="31"/>
        <v>1425406.27</v>
      </c>
      <c r="Q266" s="3">
        <f t="shared" si="32"/>
        <v>1027165.35</v>
      </c>
      <c r="R266" s="3">
        <f t="shared" si="33"/>
        <v>163319.82</v>
      </c>
      <c r="S266" s="3">
        <f t="shared" si="34"/>
        <v>234921.1</v>
      </c>
      <c r="T266" s="3">
        <f t="shared" si="35"/>
        <v>0</v>
      </c>
      <c r="U266" s="3">
        <v>0</v>
      </c>
      <c r="V266" s="3">
        <v>0</v>
      </c>
      <c r="W266" s="175">
        <f t="shared" ref="W266:X329" si="36">IF($P266=0,0,ROUND(S266/$P266*$E266,2))</f>
        <v>13712.06</v>
      </c>
      <c r="X266" s="175">
        <f t="shared" si="36"/>
        <v>0</v>
      </c>
      <c r="Z266" s="2">
        <f>[2]credits!$M266-U266</f>
        <v>59954.38</v>
      </c>
      <c r="AA266" s="2">
        <f>[2]credits!$O266-V266</f>
        <v>9532.7800000000007</v>
      </c>
      <c r="AB266" s="2">
        <f>[2]credits!$Q266-W266</f>
        <v>0</v>
      </c>
      <c r="AC266" s="2">
        <f>[2]credits!$S266-X266</f>
        <v>0</v>
      </c>
    </row>
    <row r="267" spans="1:29" ht="15" x14ac:dyDescent="0.25">
      <c r="A267" s="5">
        <v>877</v>
      </c>
      <c r="B267" s="5">
        <v>1</v>
      </c>
      <c r="C267" s="2" t="s">
        <v>264</v>
      </c>
      <c r="D267" s="3">
        <v>493061.84</v>
      </c>
      <c r="E267" s="3">
        <v>553687.72</v>
      </c>
      <c r="F267" s="171">
        <v>2867136.77</v>
      </c>
      <c r="G267" s="171">
        <v>708105.63</v>
      </c>
      <c r="H267" s="171">
        <v>0</v>
      </c>
      <c r="I267" s="171">
        <v>2005389.12</v>
      </c>
      <c r="J267" s="172">
        <v>590417.34</v>
      </c>
      <c r="K267" s="171">
        <v>5810367.79</v>
      </c>
      <c r="L267" s="171">
        <v>853972.33</v>
      </c>
      <c r="M267" s="3">
        <v>0</v>
      </c>
      <c r="N267" s="173">
        <v>518688</v>
      </c>
      <c r="O267" s="154">
        <f t="shared" si="30"/>
        <v>13354076.979999999</v>
      </c>
      <c r="P267" s="3">
        <f t="shared" si="31"/>
        <v>9778834.5800000001</v>
      </c>
      <c r="Q267" s="3">
        <f t="shared" si="32"/>
        <v>2005389.12</v>
      </c>
      <c r="R267" s="3">
        <f t="shared" si="33"/>
        <v>590417.34</v>
      </c>
      <c r="S267" s="3">
        <f t="shared" si="34"/>
        <v>6664340.1200000001</v>
      </c>
      <c r="T267" s="3">
        <f t="shared" si="35"/>
        <v>518688</v>
      </c>
      <c r="U267" s="3">
        <v>0</v>
      </c>
      <c r="V267" s="3">
        <v>0</v>
      </c>
      <c r="W267" s="175">
        <f t="shared" si="36"/>
        <v>377341.82</v>
      </c>
      <c r="X267" s="175">
        <f t="shared" si="36"/>
        <v>29368.65</v>
      </c>
      <c r="Z267" s="2">
        <f>[2]credits!$M267-U267</f>
        <v>113547.2</v>
      </c>
      <c r="AA267" s="2">
        <f>[2]credits!$O267-V267</f>
        <v>33430.04</v>
      </c>
      <c r="AB267" s="2">
        <f>[2]credits!$Q267-W267</f>
        <v>0</v>
      </c>
      <c r="AC267" s="2">
        <f>[2]credits!$S267-X267</f>
        <v>0</v>
      </c>
    </row>
    <row r="268" spans="1:29" ht="15" x14ac:dyDescent="0.25">
      <c r="A268" s="5">
        <v>879</v>
      </c>
      <c r="B268" s="5">
        <v>1</v>
      </c>
      <c r="C268" s="2" t="s">
        <v>265</v>
      </c>
      <c r="D268" s="3">
        <v>142715.83000000002</v>
      </c>
      <c r="E268" s="3">
        <v>138337.41999999998</v>
      </c>
      <c r="F268" s="171">
        <v>1114458.28</v>
      </c>
      <c r="G268" s="171">
        <v>280685.57</v>
      </c>
      <c r="H268" s="171">
        <v>0</v>
      </c>
      <c r="I268" s="171">
        <v>931143.19</v>
      </c>
      <c r="J268" s="172">
        <v>250250.32</v>
      </c>
      <c r="K268" s="171">
        <v>1882626.7</v>
      </c>
      <c r="L268" s="171">
        <v>428283.99</v>
      </c>
      <c r="M268" s="3">
        <v>0</v>
      </c>
      <c r="N268" s="173">
        <v>0</v>
      </c>
      <c r="O268" s="154">
        <f t="shared" si="30"/>
        <v>4887448.05</v>
      </c>
      <c r="P268" s="3">
        <f t="shared" si="31"/>
        <v>3492304.2</v>
      </c>
      <c r="Q268" s="3">
        <f t="shared" si="32"/>
        <v>931143.19</v>
      </c>
      <c r="R268" s="3">
        <f t="shared" si="33"/>
        <v>250250.32</v>
      </c>
      <c r="S268" s="3">
        <f t="shared" si="34"/>
        <v>2310910.69</v>
      </c>
      <c r="T268" s="3">
        <f t="shared" si="35"/>
        <v>0</v>
      </c>
      <c r="U268" s="3">
        <v>0</v>
      </c>
      <c r="V268" s="3">
        <v>0</v>
      </c>
      <c r="W268" s="175">
        <f t="shared" si="36"/>
        <v>91539.97</v>
      </c>
      <c r="X268" s="175">
        <f t="shared" si="36"/>
        <v>0</v>
      </c>
      <c r="Z268" s="2">
        <f>[2]credits!$M268-U268</f>
        <v>36884.51</v>
      </c>
      <c r="AA268" s="2">
        <f>[2]credits!$O268-V268</f>
        <v>9912.93</v>
      </c>
      <c r="AB268" s="2">
        <f>[2]credits!$Q268-W268</f>
        <v>0</v>
      </c>
      <c r="AC268" s="2">
        <f>[2]credits!$S268-X268</f>
        <v>0</v>
      </c>
    </row>
    <row r="269" spans="1:29" ht="15" x14ac:dyDescent="0.25">
      <c r="A269" s="5">
        <v>881</v>
      </c>
      <c r="B269" s="5">
        <v>1</v>
      </c>
      <c r="C269" s="2" t="s">
        <v>266</v>
      </c>
      <c r="D269" s="3">
        <v>114736.53000000001</v>
      </c>
      <c r="E269" s="3">
        <v>126708.33</v>
      </c>
      <c r="F269" s="171">
        <v>656172.14</v>
      </c>
      <c r="G269" s="171">
        <v>114041.98</v>
      </c>
      <c r="H269" s="171">
        <v>0</v>
      </c>
      <c r="I269" s="171">
        <v>250427.95</v>
      </c>
      <c r="J269" s="172">
        <v>70696.479999999996</v>
      </c>
      <c r="K269" s="171">
        <v>1559990.3</v>
      </c>
      <c r="L269" s="171">
        <v>46778</v>
      </c>
      <c r="M269" s="3">
        <v>0</v>
      </c>
      <c r="N269" s="173">
        <v>84250</v>
      </c>
      <c r="O269" s="154">
        <f t="shared" si="30"/>
        <v>2782356.85</v>
      </c>
      <c r="P269" s="3">
        <f t="shared" si="31"/>
        <v>2012142.73</v>
      </c>
      <c r="Q269" s="3">
        <f t="shared" si="32"/>
        <v>250427.95</v>
      </c>
      <c r="R269" s="3">
        <f t="shared" si="33"/>
        <v>70696.479999999996</v>
      </c>
      <c r="S269" s="3">
        <f t="shared" si="34"/>
        <v>1606768.3</v>
      </c>
      <c r="T269" s="3">
        <f t="shared" si="35"/>
        <v>84250</v>
      </c>
      <c r="U269" s="3">
        <v>0</v>
      </c>
      <c r="V269" s="3">
        <v>0</v>
      </c>
      <c r="W269" s="175">
        <f t="shared" si="36"/>
        <v>101181.16</v>
      </c>
      <c r="X269" s="175">
        <f t="shared" si="36"/>
        <v>5305.38</v>
      </c>
      <c r="Z269" s="2">
        <f>[2]credits!$M269-U269</f>
        <v>15769.91</v>
      </c>
      <c r="AA269" s="2">
        <f>[2]credits!$O269-V269</f>
        <v>4451.8900000000003</v>
      </c>
      <c r="AB269" s="2">
        <f>[2]credits!$Q269-W269</f>
        <v>0</v>
      </c>
      <c r="AC269" s="2">
        <f>[2]credits!$S269-X269</f>
        <v>0</v>
      </c>
    </row>
    <row r="270" spans="1:29" ht="15" x14ac:dyDescent="0.25">
      <c r="A270" s="5">
        <v>882</v>
      </c>
      <c r="B270" s="5">
        <v>1</v>
      </c>
      <c r="C270" s="2" t="s">
        <v>267</v>
      </c>
      <c r="D270" s="3">
        <v>290387.7</v>
      </c>
      <c r="E270" s="3">
        <v>317666.36</v>
      </c>
      <c r="F270" s="171">
        <v>3570091.13</v>
      </c>
      <c r="G270" s="171">
        <v>408402.93</v>
      </c>
      <c r="H270" s="171">
        <v>0</v>
      </c>
      <c r="I270" s="171">
        <v>1597736.86</v>
      </c>
      <c r="J270" s="172">
        <v>239334.7</v>
      </c>
      <c r="K270" s="171">
        <v>4121743.52</v>
      </c>
      <c r="L270" s="171">
        <v>666184.72</v>
      </c>
      <c r="M270" s="3">
        <v>0</v>
      </c>
      <c r="N270" s="173">
        <v>0</v>
      </c>
      <c r="O270" s="154">
        <f t="shared" si="30"/>
        <v>10603493.860000001</v>
      </c>
      <c r="P270" s="3">
        <f t="shared" si="31"/>
        <v>6624999.7999999998</v>
      </c>
      <c r="Q270" s="3">
        <f t="shared" si="32"/>
        <v>1597736.86</v>
      </c>
      <c r="R270" s="3">
        <f t="shared" si="33"/>
        <v>239334.7</v>
      </c>
      <c r="S270" s="3">
        <f t="shared" si="34"/>
        <v>4787928.24</v>
      </c>
      <c r="T270" s="3">
        <f t="shared" si="35"/>
        <v>0</v>
      </c>
      <c r="U270" s="3">
        <v>0</v>
      </c>
      <c r="V270" s="3">
        <v>0</v>
      </c>
      <c r="W270" s="175">
        <f t="shared" si="36"/>
        <v>229579.44</v>
      </c>
      <c r="X270" s="175">
        <f t="shared" si="36"/>
        <v>0</v>
      </c>
      <c r="Z270" s="2">
        <f>[2]credits!$M270-U270</f>
        <v>76610.91</v>
      </c>
      <c r="AA270" s="2">
        <f>[2]credits!$O270-V270</f>
        <v>11476.01</v>
      </c>
      <c r="AB270" s="2">
        <f>[2]credits!$Q270-W270</f>
        <v>0</v>
      </c>
      <c r="AC270" s="2">
        <f>[2]credits!$S270-X270</f>
        <v>0</v>
      </c>
    </row>
    <row r="271" spans="1:29" ht="15" x14ac:dyDescent="0.25">
      <c r="A271" s="5">
        <v>883</v>
      </c>
      <c r="B271" s="5">
        <v>1</v>
      </c>
      <c r="C271" s="2" t="s">
        <v>268</v>
      </c>
      <c r="D271" s="3">
        <v>113864.87000000002</v>
      </c>
      <c r="E271" s="3">
        <v>128380.4</v>
      </c>
      <c r="F271" s="171">
        <v>747744.26</v>
      </c>
      <c r="G271" s="171">
        <v>247338.83</v>
      </c>
      <c r="H271" s="171">
        <v>0</v>
      </c>
      <c r="I271" s="171">
        <v>391168.75</v>
      </c>
      <c r="J271" s="172">
        <v>129208</v>
      </c>
      <c r="K271" s="171">
        <v>2908308.89</v>
      </c>
      <c r="L271" s="171">
        <v>162082</v>
      </c>
      <c r="M271" s="3">
        <v>0</v>
      </c>
      <c r="N271" s="173">
        <v>300094</v>
      </c>
      <c r="O271" s="154">
        <f t="shared" si="30"/>
        <v>4885944.7300000004</v>
      </c>
      <c r="P271" s="3">
        <f t="shared" si="31"/>
        <v>3890861.64</v>
      </c>
      <c r="Q271" s="3">
        <f t="shared" si="32"/>
        <v>391168.75</v>
      </c>
      <c r="R271" s="3">
        <f t="shared" si="33"/>
        <v>129208</v>
      </c>
      <c r="S271" s="3">
        <f t="shared" si="34"/>
        <v>3070390.89</v>
      </c>
      <c r="T271" s="3">
        <f t="shared" si="35"/>
        <v>300094</v>
      </c>
      <c r="U271" s="3">
        <v>0</v>
      </c>
      <c r="V271" s="3">
        <v>0</v>
      </c>
      <c r="W271" s="175">
        <f t="shared" si="36"/>
        <v>101308.67</v>
      </c>
      <c r="X271" s="175">
        <f t="shared" si="36"/>
        <v>9901.7099999999991</v>
      </c>
      <c r="Z271" s="2">
        <f>[2]credits!$M271-U271</f>
        <v>12589.52</v>
      </c>
      <c r="AA271" s="2">
        <f>[2]credits!$O271-V271</f>
        <v>4158.4799999999996</v>
      </c>
      <c r="AB271" s="2">
        <f>[2]credits!$Q271-W271</f>
        <v>665.38999999999942</v>
      </c>
      <c r="AC271" s="2">
        <f>[2]credits!$S271-X271</f>
        <v>-243.36999999999898</v>
      </c>
    </row>
    <row r="272" spans="1:29" ht="15" x14ac:dyDescent="0.25">
      <c r="A272" s="5">
        <v>885</v>
      </c>
      <c r="B272" s="5">
        <v>1</v>
      </c>
      <c r="C272" s="2" t="s">
        <v>269</v>
      </c>
      <c r="D272" s="3">
        <v>512034.05999999994</v>
      </c>
      <c r="E272" s="3">
        <v>532531.06000000006</v>
      </c>
      <c r="F272" s="171">
        <v>1913338.89</v>
      </c>
      <c r="G272" s="171">
        <v>448548.15</v>
      </c>
      <c r="H272" s="171">
        <v>0</v>
      </c>
      <c r="I272" s="171">
        <v>984720.32</v>
      </c>
      <c r="J272" s="172">
        <v>241009.87</v>
      </c>
      <c r="K272" s="171">
        <v>8392764.1500000004</v>
      </c>
      <c r="L272" s="171">
        <v>0</v>
      </c>
      <c r="M272" s="3">
        <v>0</v>
      </c>
      <c r="N272" s="173">
        <v>0</v>
      </c>
      <c r="O272" s="154">
        <f t="shared" si="30"/>
        <v>11980381.380000001</v>
      </c>
      <c r="P272" s="3">
        <f t="shared" si="31"/>
        <v>9618494.3399999999</v>
      </c>
      <c r="Q272" s="3">
        <f t="shared" si="32"/>
        <v>984720.32</v>
      </c>
      <c r="R272" s="3">
        <f t="shared" si="33"/>
        <v>241009.87</v>
      </c>
      <c r="S272" s="3">
        <f t="shared" si="34"/>
        <v>8392764.1500000004</v>
      </c>
      <c r="T272" s="3">
        <f t="shared" si="35"/>
        <v>0</v>
      </c>
      <c r="U272" s="3">
        <v>0</v>
      </c>
      <c r="V272" s="3">
        <v>0</v>
      </c>
      <c r="W272" s="175">
        <f t="shared" si="36"/>
        <v>464668.11</v>
      </c>
      <c r="X272" s="175">
        <f t="shared" si="36"/>
        <v>0</v>
      </c>
      <c r="Z272" s="2">
        <f>[2]credits!$M272-U272</f>
        <v>54519.360000000001</v>
      </c>
      <c r="AA272" s="2">
        <f>[2]credits!$O272-V272</f>
        <v>13343.59</v>
      </c>
      <c r="AB272" s="2">
        <f>[2]credits!$Q272-W272</f>
        <v>0</v>
      </c>
      <c r="AC272" s="2">
        <f>[2]credits!$S272-X272</f>
        <v>0</v>
      </c>
    </row>
    <row r="273" spans="1:29" ht="15" x14ac:dyDescent="0.25">
      <c r="A273" s="5">
        <v>891</v>
      </c>
      <c r="B273" s="5">
        <v>1</v>
      </c>
      <c r="C273" s="2" t="s">
        <v>270</v>
      </c>
      <c r="D273" s="3">
        <v>81091.72</v>
      </c>
      <c r="E273" s="3">
        <v>77706.989999999991</v>
      </c>
      <c r="F273" s="171">
        <v>181596</v>
      </c>
      <c r="G273" s="171">
        <v>28414</v>
      </c>
      <c r="H273" s="171">
        <v>0</v>
      </c>
      <c r="I273" s="171">
        <v>324235</v>
      </c>
      <c r="J273" s="172">
        <v>52694</v>
      </c>
      <c r="K273" s="171">
        <v>306717</v>
      </c>
      <c r="L273" s="171">
        <v>0</v>
      </c>
      <c r="M273" s="3">
        <v>0</v>
      </c>
      <c r="N273" s="173">
        <v>0</v>
      </c>
      <c r="O273" s="154">
        <f t="shared" si="30"/>
        <v>893656</v>
      </c>
      <c r="P273" s="3">
        <f t="shared" si="31"/>
        <v>683646</v>
      </c>
      <c r="Q273" s="3">
        <f t="shared" si="32"/>
        <v>324235</v>
      </c>
      <c r="R273" s="3">
        <f t="shared" si="33"/>
        <v>52694</v>
      </c>
      <c r="S273" s="3">
        <f t="shared" si="34"/>
        <v>306717</v>
      </c>
      <c r="T273" s="3">
        <f t="shared" si="35"/>
        <v>0</v>
      </c>
      <c r="U273" s="3">
        <v>0</v>
      </c>
      <c r="V273" s="3">
        <v>0</v>
      </c>
      <c r="W273" s="175">
        <f t="shared" si="36"/>
        <v>34863.15</v>
      </c>
      <c r="X273" s="175">
        <f t="shared" si="36"/>
        <v>0</v>
      </c>
      <c r="Z273" s="2">
        <f>[2]credits!$M273-U273</f>
        <v>36854.339999999997</v>
      </c>
      <c r="AA273" s="2">
        <f>[2]credits!$O273-V273</f>
        <v>5989.49</v>
      </c>
      <c r="AB273" s="2">
        <f>[2]credits!$Q273-W273</f>
        <v>1.0000000002037268E-2</v>
      </c>
      <c r="AC273" s="2">
        <f>[2]credits!$S273-X273</f>
        <v>0</v>
      </c>
    </row>
    <row r="274" spans="1:29" ht="15" x14ac:dyDescent="0.25">
      <c r="A274" s="5">
        <v>911</v>
      </c>
      <c r="B274" s="5">
        <v>1</v>
      </c>
      <c r="C274" s="2" t="s">
        <v>271</v>
      </c>
      <c r="D274" s="3">
        <v>624596.16999999993</v>
      </c>
      <c r="E274" s="3">
        <v>662440.73</v>
      </c>
      <c r="F274" s="171">
        <v>0</v>
      </c>
      <c r="G274" s="171">
        <v>398684.74</v>
      </c>
      <c r="H274" s="171">
        <v>0</v>
      </c>
      <c r="I274" s="171">
        <v>1410764.34</v>
      </c>
      <c r="J274" s="172">
        <v>400257.46</v>
      </c>
      <c r="K274" s="171">
        <v>5319880.6900000004</v>
      </c>
      <c r="L274" s="171">
        <v>848397</v>
      </c>
      <c r="M274" s="3">
        <v>0</v>
      </c>
      <c r="N274" s="173">
        <v>0</v>
      </c>
      <c r="O274" s="154">
        <f t="shared" si="30"/>
        <v>8377984.2300000004</v>
      </c>
      <c r="P274" s="3">
        <f t="shared" si="31"/>
        <v>7979299.4900000002</v>
      </c>
      <c r="Q274" s="3">
        <f t="shared" si="32"/>
        <v>1410764.34</v>
      </c>
      <c r="R274" s="3">
        <f t="shared" si="33"/>
        <v>400257.46</v>
      </c>
      <c r="S274" s="3">
        <f t="shared" si="34"/>
        <v>6168277.6900000004</v>
      </c>
      <c r="T274" s="3">
        <f t="shared" si="35"/>
        <v>0</v>
      </c>
      <c r="U274" s="3">
        <v>0</v>
      </c>
      <c r="V274" s="3">
        <v>0</v>
      </c>
      <c r="W274" s="175">
        <f t="shared" si="36"/>
        <v>512089.86</v>
      </c>
      <c r="X274" s="175">
        <f t="shared" si="36"/>
        <v>0</v>
      </c>
      <c r="Z274" s="2">
        <f>[2]credits!$M274-U274</f>
        <v>117121.53</v>
      </c>
      <c r="AA274" s="2">
        <f>[2]credits!$O274-V274</f>
        <v>33229.339999999997</v>
      </c>
      <c r="AB274" s="2">
        <f>[2]credits!$Q274-W274</f>
        <v>0</v>
      </c>
      <c r="AC274" s="2">
        <f>[2]credits!$S274-X274</f>
        <v>0</v>
      </c>
    </row>
    <row r="275" spans="1:29" ht="15" x14ac:dyDescent="0.25">
      <c r="A275" s="5">
        <v>912</v>
      </c>
      <c r="B275" s="5">
        <v>1</v>
      </c>
      <c r="C275" s="2" t="s">
        <v>272</v>
      </c>
      <c r="D275" s="3">
        <v>195728.71999999997</v>
      </c>
      <c r="E275" s="3">
        <v>266470.57999999996</v>
      </c>
      <c r="F275" s="171">
        <v>1367.34</v>
      </c>
      <c r="G275" s="171">
        <v>225342.49</v>
      </c>
      <c r="H275" s="171">
        <v>0</v>
      </c>
      <c r="I275" s="171">
        <v>235857.73</v>
      </c>
      <c r="J275" s="172">
        <v>103189.31</v>
      </c>
      <c r="K275" s="171">
        <v>1071221.9099999999</v>
      </c>
      <c r="L275" s="171">
        <v>668999</v>
      </c>
      <c r="M275" s="3">
        <v>0</v>
      </c>
      <c r="N275" s="173">
        <v>334688</v>
      </c>
      <c r="O275" s="154">
        <f t="shared" si="30"/>
        <v>2640665.7799999998</v>
      </c>
      <c r="P275" s="3">
        <f t="shared" si="31"/>
        <v>2413955.9500000002</v>
      </c>
      <c r="Q275" s="3">
        <f t="shared" si="32"/>
        <v>235857.73</v>
      </c>
      <c r="R275" s="3">
        <f t="shared" si="33"/>
        <v>103189.31</v>
      </c>
      <c r="S275" s="3">
        <f t="shared" si="34"/>
        <v>1740220.91</v>
      </c>
      <c r="T275" s="3">
        <f t="shared" si="35"/>
        <v>334688</v>
      </c>
      <c r="U275" s="3">
        <v>0</v>
      </c>
      <c r="V275" s="3">
        <v>0</v>
      </c>
      <c r="W275" s="175">
        <f t="shared" si="36"/>
        <v>192098.65</v>
      </c>
      <c r="X275" s="175">
        <f t="shared" si="36"/>
        <v>36945.370000000003</v>
      </c>
      <c r="Z275" s="2">
        <f>[2]credits!$M275-U275</f>
        <v>27160.91</v>
      </c>
      <c r="AA275" s="2">
        <f>[2]credits!$O275-V275</f>
        <v>11883.08</v>
      </c>
      <c r="AB275" s="2">
        <f>[2]credits!$Q275-W275</f>
        <v>-3214.0599999999977</v>
      </c>
      <c r="AC275" s="2">
        <f>[2]credits!$S275-X275</f>
        <v>1596.6399999999994</v>
      </c>
    </row>
    <row r="276" spans="1:29" ht="15" x14ac:dyDescent="0.25">
      <c r="A276" s="5">
        <v>914</v>
      </c>
      <c r="B276" s="5">
        <v>1</v>
      </c>
      <c r="C276" s="2" t="s">
        <v>273</v>
      </c>
      <c r="D276" s="3">
        <v>59548.5</v>
      </c>
      <c r="E276" s="3">
        <v>59118.06</v>
      </c>
      <c r="F276" s="171">
        <v>353350.73</v>
      </c>
      <c r="G276" s="171">
        <v>10560.77</v>
      </c>
      <c r="H276" s="171">
        <v>0</v>
      </c>
      <c r="I276" s="171">
        <v>85735.29</v>
      </c>
      <c r="J276" s="172">
        <v>16666.86</v>
      </c>
      <c r="K276" s="171">
        <v>611057.35</v>
      </c>
      <c r="L276" s="171">
        <v>0</v>
      </c>
      <c r="M276" s="3">
        <v>0</v>
      </c>
      <c r="N276" s="173">
        <v>0</v>
      </c>
      <c r="O276" s="154">
        <f t="shared" si="30"/>
        <v>1077371</v>
      </c>
      <c r="P276" s="3">
        <f t="shared" si="31"/>
        <v>713459.5</v>
      </c>
      <c r="Q276" s="3">
        <f t="shared" si="32"/>
        <v>85735.29</v>
      </c>
      <c r="R276" s="3">
        <f t="shared" si="33"/>
        <v>16666.86</v>
      </c>
      <c r="S276" s="3">
        <f t="shared" si="34"/>
        <v>611057.35</v>
      </c>
      <c r="T276" s="3">
        <f t="shared" si="35"/>
        <v>0</v>
      </c>
      <c r="U276" s="3">
        <v>0</v>
      </c>
      <c r="V276" s="3">
        <v>0</v>
      </c>
      <c r="W276" s="175">
        <f t="shared" si="36"/>
        <v>50632.9</v>
      </c>
      <c r="X276" s="175">
        <f t="shared" si="36"/>
        <v>0</v>
      </c>
      <c r="Z276" s="2">
        <f>[2]credits!$M276-U276</f>
        <v>7104.12</v>
      </c>
      <c r="AA276" s="2">
        <f>[2]credits!$O276-V276</f>
        <v>1381.03</v>
      </c>
      <c r="AB276" s="2">
        <f>[2]credits!$Q276-W276</f>
        <v>0</v>
      </c>
      <c r="AC276" s="2">
        <f>[2]credits!$S276-X276</f>
        <v>0</v>
      </c>
    </row>
    <row r="277" spans="1:29" ht="15" x14ac:dyDescent="0.25">
      <c r="A277" s="5">
        <v>2071</v>
      </c>
      <c r="B277" s="5">
        <v>1</v>
      </c>
      <c r="C277" s="2" t="s">
        <v>274</v>
      </c>
      <c r="D277" s="3">
        <v>138259.47999999998</v>
      </c>
      <c r="E277" s="3">
        <v>150027.68</v>
      </c>
      <c r="F277" s="171">
        <v>601571.69999999995</v>
      </c>
      <c r="G277" s="171">
        <v>60014.62</v>
      </c>
      <c r="H277" s="171">
        <v>0</v>
      </c>
      <c r="I277" s="171">
        <v>402407</v>
      </c>
      <c r="J277" s="172">
        <v>82099.070000000007</v>
      </c>
      <c r="K277" s="171">
        <v>1136387.46</v>
      </c>
      <c r="L277" s="171">
        <v>160433.67000000001</v>
      </c>
      <c r="M277" s="3">
        <v>0</v>
      </c>
      <c r="N277" s="173">
        <v>190050</v>
      </c>
      <c r="O277" s="154">
        <f t="shared" si="30"/>
        <v>2632963.5199999996</v>
      </c>
      <c r="P277" s="3">
        <f t="shared" si="31"/>
        <v>1971377.2</v>
      </c>
      <c r="Q277" s="3">
        <f t="shared" si="32"/>
        <v>402407</v>
      </c>
      <c r="R277" s="3">
        <f t="shared" si="33"/>
        <v>82099.070000000007</v>
      </c>
      <c r="S277" s="3">
        <f t="shared" si="34"/>
        <v>1296821.1299999999</v>
      </c>
      <c r="T277" s="3">
        <f t="shared" si="35"/>
        <v>190050</v>
      </c>
      <c r="U277" s="3">
        <v>0</v>
      </c>
      <c r="V277" s="3">
        <v>0</v>
      </c>
      <c r="W277" s="175">
        <f t="shared" si="36"/>
        <v>98691.95</v>
      </c>
      <c r="X277" s="175">
        <f t="shared" si="36"/>
        <v>14463.37</v>
      </c>
      <c r="Z277" s="2">
        <f>[2]credits!$M277-U277</f>
        <v>30624.37</v>
      </c>
      <c r="AA277" s="2">
        <f>[2]credits!$O277-V277</f>
        <v>6247.98</v>
      </c>
      <c r="AB277" s="2">
        <f>[2]credits!$Q277-W277</f>
        <v>0</v>
      </c>
      <c r="AC277" s="2">
        <f>[2]credits!$S277-X277</f>
        <v>0</v>
      </c>
    </row>
    <row r="278" spans="1:29" ht="15" x14ac:dyDescent="0.25">
      <c r="A278" s="5">
        <v>2125</v>
      </c>
      <c r="B278" s="5">
        <v>1</v>
      </c>
      <c r="C278" s="2" t="s">
        <v>275</v>
      </c>
      <c r="D278" s="3">
        <v>149683.22999999998</v>
      </c>
      <c r="E278" s="3">
        <v>151141.60999999999</v>
      </c>
      <c r="F278" s="171">
        <v>561628.06000000006</v>
      </c>
      <c r="G278" s="171">
        <v>72931.83</v>
      </c>
      <c r="H278" s="171">
        <v>0</v>
      </c>
      <c r="I278" s="171">
        <v>583950.73</v>
      </c>
      <c r="J278" s="172">
        <v>103200.28</v>
      </c>
      <c r="K278" s="171">
        <v>726764.65</v>
      </c>
      <c r="L278" s="171">
        <v>133522.03</v>
      </c>
      <c r="M278" s="3">
        <v>0</v>
      </c>
      <c r="N278" s="173">
        <v>0</v>
      </c>
      <c r="O278" s="154">
        <f t="shared" si="30"/>
        <v>2181997.58</v>
      </c>
      <c r="P278" s="3">
        <f t="shared" si="31"/>
        <v>1547437.6900000002</v>
      </c>
      <c r="Q278" s="3">
        <f t="shared" si="32"/>
        <v>583950.73</v>
      </c>
      <c r="R278" s="3">
        <f t="shared" si="33"/>
        <v>103200.28</v>
      </c>
      <c r="S278" s="3">
        <f t="shared" si="34"/>
        <v>860286.68</v>
      </c>
      <c r="T278" s="3">
        <f t="shared" si="35"/>
        <v>0</v>
      </c>
      <c r="U278" s="3">
        <v>0</v>
      </c>
      <c r="V278" s="3">
        <v>0</v>
      </c>
      <c r="W278" s="175">
        <f t="shared" si="36"/>
        <v>84026.07</v>
      </c>
      <c r="X278" s="175">
        <f t="shared" si="36"/>
        <v>0</v>
      </c>
      <c r="Z278" s="2">
        <f>[2]credits!$M278-U278</f>
        <v>57035.74</v>
      </c>
      <c r="AA278" s="2">
        <f>[2]credits!$O278-V278</f>
        <v>10079.799999999999</v>
      </c>
      <c r="AB278" s="2">
        <f>[2]credits!$Q278-W278</f>
        <v>0</v>
      </c>
      <c r="AC278" s="2">
        <f>[2]credits!$S278-X278</f>
        <v>0</v>
      </c>
    </row>
    <row r="279" spans="1:29" ht="15" x14ac:dyDescent="0.25">
      <c r="A279" s="5">
        <v>2134</v>
      </c>
      <c r="B279" s="5">
        <v>1</v>
      </c>
      <c r="C279" s="2" t="s">
        <v>276</v>
      </c>
      <c r="D279" s="3">
        <v>78824.820000000007</v>
      </c>
      <c r="E279" s="3">
        <v>73937.919999999998</v>
      </c>
      <c r="F279" s="171">
        <v>803927.31</v>
      </c>
      <c r="G279" s="171">
        <v>23344.28</v>
      </c>
      <c r="H279" s="171">
        <v>0</v>
      </c>
      <c r="I279" s="171">
        <v>388733.51</v>
      </c>
      <c r="J279" s="172">
        <v>90495.02</v>
      </c>
      <c r="K279" s="171">
        <v>0</v>
      </c>
      <c r="L279" s="171">
        <v>0</v>
      </c>
      <c r="M279" s="3">
        <v>0</v>
      </c>
      <c r="N279" s="173">
        <v>180277</v>
      </c>
      <c r="O279" s="154">
        <f t="shared" si="30"/>
        <v>1486777.12</v>
      </c>
      <c r="P279" s="3">
        <f t="shared" si="31"/>
        <v>659505.53</v>
      </c>
      <c r="Q279" s="3">
        <f t="shared" si="32"/>
        <v>388733.51</v>
      </c>
      <c r="R279" s="3">
        <f t="shared" si="33"/>
        <v>90495.02</v>
      </c>
      <c r="S279" s="3">
        <f t="shared" si="34"/>
        <v>0</v>
      </c>
      <c r="T279" s="3">
        <f t="shared" si="35"/>
        <v>180277</v>
      </c>
      <c r="U279" s="3">
        <v>0</v>
      </c>
      <c r="V279" s="3">
        <v>0</v>
      </c>
      <c r="W279" s="175">
        <f t="shared" si="36"/>
        <v>0</v>
      </c>
      <c r="X279" s="175">
        <f t="shared" si="36"/>
        <v>20211.060000000001</v>
      </c>
      <c r="Z279" s="2">
        <f>[2]credits!$M279-U279</f>
        <v>43581.36</v>
      </c>
      <c r="AA279" s="2">
        <f>[2]credits!$O279-V279</f>
        <v>10145.5</v>
      </c>
      <c r="AB279" s="2">
        <f>[2]credits!$Q279-W279</f>
        <v>0</v>
      </c>
      <c r="AC279" s="2">
        <f>[2]credits!$S279-X279</f>
        <v>0</v>
      </c>
    </row>
    <row r="280" spans="1:29" ht="15" x14ac:dyDescent="0.25">
      <c r="A280" s="5">
        <v>2135</v>
      </c>
      <c r="B280" s="5">
        <v>1</v>
      </c>
      <c r="C280" s="2" t="s">
        <v>277</v>
      </c>
      <c r="D280" s="3">
        <v>125360.92</v>
      </c>
      <c r="E280" s="3">
        <v>123077.28</v>
      </c>
      <c r="F280" s="171">
        <v>701074.83</v>
      </c>
      <c r="G280" s="171">
        <v>75229.16</v>
      </c>
      <c r="H280" s="171">
        <v>0</v>
      </c>
      <c r="I280" s="171">
        <v>411714.12</v>
      </c>
      <c r="J280" s="172">
        <v>86055.18</v>
      </c>
      <c r="K280" s="171">
        <v>467903.91</v>
      </c>
      <c r="L280" s="171">
        <v>0</v>
      </c>
      <c r="M280" s="3">
        <v>0</v>
      </c>
      <c r="N280" s="173">
        <v>0</v>
      </c>
      <c r="O280" s="154">
        <f t="shared" si="30"/>
        <v>1741977.1999999997</v>
      </c>
      <c r="P280" s="3">
        <f t="shared" si="31"/>
        <v>965673.21</v>
      </c>
      <c r="Q280" s="3">
        <f t="shared" si="32"/>
        <v>411714.12</v>
      </c>
      <c r="R280" s="3">
        <f t="shared" si="33"/>
        <v>86055.18</v>
      </c>
      <c r="S280" s="3">
        <f t="shared" si="34"/>
        <v>467903.91</v>
      </c>
      <c r="T280" s="3">
        <f t="shared" si="35"/>
        <v>0</v>
      </c>
      <c r="U280" s="3">
        <v>0</v>
      </c>
      <c r="V280" s="3">
        <v>0</v>
      </c>
      <c r="W280" s="175">
        <f t="shared" si="36"/>
        <v>59635.43</v>
      </c>
      <c r="X280" s="175">
        <f t="shared" si="36"/>
        <v>0</v>
      </c>
      <c r="Z280" s="2">
        <f>[2]credits!$M280-U280</f>
        <v>52473.919999999998</v>
      </c>
      <c r="AA280" s="2">
        <f>[2]credits!$O280-V280</f>
        <v>10967.93</v>
      </c>
      <c r="AB280" s="2">
        <f>[2]credits!$Q280-W280</f>
        <v>0</v>
      </c>
      <c r="AC280" s="2">
        <f>[2]credits!$S280-X280</f>
        <v>0</v>
      </c>
    </row>
    <row r="281" spans="1:29" ht="15" x14ac:dyDescent="0.25">
      <c r="A281" s="5">
        <v>2137</v>
      </c>
      <c r="B281" s="5">
        <v>1</v>
      </c>
      <c r="C281" s="2" t="s">
        <v>278</v>
      </c>
      <c r="D281" s="3">
        <v>212084.51000000004</v>
      </c>
      <c r="E281" s="3">
        <v>195710.25</v>
      </c>
      <c r="F281" s="171">
        <v>404489.92</v>
      </c>
      <c r="G281" s="171">
        <v>62537.67</v>
      </c>
      <c r="H281" s="171">
        <v>0</v>
      </c>
      <c r="I281" s="171">
        <v>280671.65999999997</v>
      </c>
      <c r="J281" s="172">
        <v>73734.67</v>
      </c>
      <c r="K281" s="171">
        <v>770635.19</v>
      </c>
      <c r="L281" s="171">
        <v>255194.42</v>
      </c>
      <c r="M281" s="3">
        <v>0</v>
      </c>
      <c r="N281" s="173">
        <v>95307</v>
      </c>
      <c r="O281" s="154">
        <f t="shared" si="30"/>
        <v>1942570.5299999998</v>
      </c>
      <c r="P281" s="3">
        <f t="shared" si="31"/>
        <v>1475542.94</v>
      </c>
      <c r="Q281" s="3">
        <f t="shared" si="32"/>
        <v>280671.65999999997</v>
      </c>
      <c r="R281" s="3">
        <f t="shared" si="33"/>
        <v>73734.67</v>
      </c>
      <c r="S281" s="3">
        <f t="shared" si="34"/>
        <v>1025829.61</v>
      </c>
      <c r="T281" s="3">
        <f t="shared" si="35"/>
        <v>95307</v>
      </c>
      <c r="U281" s="3">
        <v>0</v>
      </c>
      <c r="V281" s="3">
        <v>0</v>
      </c>
      <c r="W281" s="175">
        <f t="shared" si="36"/>
        <v>136062.03</v>
      </c>
      <c r="X281" s="175">
        <f t="shared" si="36"/>
        <v>12641.15</v>
      </c>
      <c r="Z281" s="2">
        <f>[2]credits!$M281-U281</f>
        <v>37227.19</v>
      </c>
      <c r="AA281" s="2">
        <f>[2]credits!$O281-V281</f>
        <v>9779.8799999999992</v>
      </c>
      <c r="AB281" s="2">
        <f>[2]credits!$Q281-W281</f>
        <v>0</v>
      </c>
      <c r="AC281" s="2">
        <f>[2]credits!$S281-X281</f>
        <v>0</v>
      </c>
    </row>
    <row r="282" spans="1:29" ht="15" x14ac:dyDescent="0.25">
      <c r="A282" s="5">
        <v>2142</v>
      </c>
      <c r="B282" s="5">
        <v>1</v>
      </c>
      <c r="C282" s="2" t="s">
        <v>279</v>
      </c>
      <c r="D282" s="3">
        <v>663628.08000000007</v>
      </c>
      <c r="E282" s="3">
        <v>346972.89</v>
      </c>
      <c r="F282" s="171">
        <v>337783.42</v>
      </c>
      <c r="G282" s="171">
        <v>245733.71</v>
      </c>
      <c r="H282" s="171">
        <v>0</v>
      </c>
      <c r="I282" s="171">
        <v>1070635.26</v>
      </c>
      <c r="J282" s="172">
        <v>0</v>
      </c>
      <c r="K282" s="171">
        <v>5397879</v>
      </c>
      <c r="L282" s="171">
        <v>0</v>
      </c>
      <c r="M282" s="3">
        <v>0</v>
      </c>
      <c r="N282" s="173">
        <v>0</v>
      </c>
      <c r="O282" s="154">
        <f t="shared" si="30"/>
        <v>7052031.3900000006</v>
      </c>
      <c r="P282" s="3">
        <f t="shared" si="31"/>
        <v>6468514.2599999998</v>
      </c>
      <c r="Q282" s="3">
        <f t="shared" si="32"/>
        <v>1070635.26</v>
      </c>
      <c r="R282" s="3">
        <f t="shared" si="33"/>
        <v>0</v>
      </c>
      <c r="S282" s="3">
        <f t="shared" si="34"/>
        <v>5397879</v>
      </c>
      <c r="T282" s="3">
        <f t="shared" si="35"/>
        <v>0</v>
      </c>
      <c r="U282" s="3">
        <v>0</v>
      </c>
      <c r="V282" s="3">
        <v>0</v>
      </c>
      <c r="W282" s="175">
        <f>IF($P282=0,0,ROUND(S282/$P282*$E282,2))+290185.91</f>
        <v>579729.62999999989</v>
      </c>
      <c r="X282" s="175">
        <f>IF($P282=0,0,ROUND(T282/$P282*$E282,2))</f>
        <v>0</v>
      </c>
      <c r="Z282" s="2">
        <f>[2]credits!$M282-U282</f>
        <v>115217.48999999999</v>
      </c>
      <c r="AA282" s="2">
        <f>[2]credits!$O282-V282</f>
        <v>0</v>
      </c>
      <c r="AB282" s="2">
        <f>[2]credits!$Q282-W282</f>
        <v>5.2100000000791624</v>
      </c>
      <c r="AC282" s="2">
        <f>[2]credits!$S282-X282</f>
        <v>0</v>
      </c>
    </row>
    <row r="283" spans="1:29" ht="15" x14ac:dyDescent="0.25">
      <c r="A283" s="5">
        <v>2143</v>
      </c>
      <c r="B283" s="5">
        <v>1</v>
      </c>
      <c r="C283" s="2" t="s">
        <v>280</v>
      </c>
      <c r="D283" s="3">
        <v>70540.12</v>
      </c>
      <c r="E283" s="3">
        <v>58419.51</v>
      </c>
      <c r="F283" s="171">
        <v>1401552</v>
      </c>
      <c r="G283" s="171">
        <v>85038.11</v>
      </c>
      <c r="H283" s="171">
        <v>0</v>
      </c>
      <c r="I283" s="171">
        <v>355192.93</v>
      </c>
      <c r="J283" s="172">
        <v>86125.96</v>
      </c>
      <c r="K283" s="171">
        <v>0</v>
      </c>
      <c r="L283" s="171">
        <v>0</v>
      </c>
      <c r="M283" s="3">
        <v>0</v>
      </c>
      <c r="N283" s="173">
        <v>0</v>
      </c>
      <c r="O283" s="154">
        <f t="shared" si="30"/>
        <v>1927909</v>
      </c>
      <c r="P283" s="3">
        <f t="shared" si="31"/>
        <v>441318.89</v>
      </c>
      <c r="Q283" s="3">
        <f t="shared" si="32"/>
        <v>355192.93</v>
      </c>
      <c r="R283" s="3">
        <f t="shared" si="33"/>
        <v>86125.96</v>
      </c>
      <c r="S283" s="3">
        <f t="shared" si="34"/>
        <v>0</v>
      </c>
      <c r="T283" s="3">
        <f t="shared" si="35"/>
        <v>0</v>
      </c>
      <c r="U283" s="3">
        <v>0</v>
      </c>
      <c r="V283" s="3">
        <v>0</v>
      </c>
      <c r="W283" s="175">
        <f t="shared" si="36"/>
        <v>0</v>
      </c>
      <c r="X283" s="175">
        <f t="shared" si="36"/>
        <v>0</v>
      </c>
      <c r="Z283" s="2">
        <f>[2]credits!$M283-U283</f>
        <v>47018.6</v>
      </c>
      <c r="AA283" s="2">
        <f>[2]credits!$O283-V283</f>
        <v>11400.91</v>
      </c>
      <c r="AB283" s="2">
        <f>[2]credits!$Q283-W283</f>
        <v>0</v>
      </c>
      <c r="AC283" s="2">
        <f>[2]credits!$S283-X283</f>
        <v>0</v>
      </c>
    </row>
    <row r="284" spans="1:29" ht="15" x14ac:dyDescent="0.25">
      <c r="A284" s="5">
        <v>2144</v>
      </c>
      <c r="B284" s="5">
        <v>1</v>
      </c>
      <c r="C284" s="2" t="s">
        <v>281</v>
      </c>
      <c r="D284" s="3">
        <v>213787.02000000002</v>
      </c>
      <c r="E284" s="3">
        <v>246410.73</v>
      </c>
      <c r="F284" s="171">
        <v>1643639.28</v>
      </c>
      <c r="G284" s="171">
        <v>453763.67</v>
      </c>
      <c r="H284" s="171">
        <v>0</v>
      </c>
      <c r="I284" s="171">
        <v>1354895.17</v>
      </c>
      <c r="J284" s="172">
        <v>306370.71000000002</v>
      </c>
      <c r="K284" s="171">
        <v>3115400.28</v>
      </c>
      <c r="L284" s="171">
        <v>0</v>
      </c>
      <c r="M284" s="3">
        <v>0</v>
      </c>
      <c r="N284" s="173">
        <v>0</v>
      </c>
      <c r="O284" s="154">
        <f t="shared" si="30"/>
        <v>6874069.1099999994</v>
      </c>
      <c r="P284" s="3">
        <f t="shared" si="31"/>
        <v>4776666.16</v>
      </c>
      <c r="Q284" s="3">
        <f t="shared" si="32"/>
        <v>1354895.17</v>
      </c>
      <c r="R284" s="3">
        <f t="shared" si="33"/>
        <v>306370.71000000002</v>
      </c>
      <c r="S284" s="3">
        <f t="shared" si="34"/>
        <v>3115400.28</v>
      </c>
      <c r="T284" s="3">
        <f t="shared" si="35"/>
        <v>0</v>
      </c>
      <c r="U284" s="3">
        <v>0</v>
      </c>
      <c r="V284" s="3">
        <v>0</v>
      </c>
      <c r="W284" s="175">
        <f t="shared" si="36"/>
        <v>160712.1</v>
      </c>
      <c r="X284" s="175">
        <f t="shared" si="36"/>
        <v>0</v>
      </c>
      <c r="Z284" s="2">
        <f>[2]credits!$M284-U284</f>
        <v>69894.080000000002</v>
      </c>
      <c r="AA284" s="2">
        <f>[2]credits!$O284-V284</f>
        <v>15804.54</v>
      </c>
      <c r="AB284" s="2">
        <f>[2]credits!$Q284-W284</f>
        <v>0</v>
      </c>
      <c r="AC284" s="2">
        <f>[2]credits!$S284-X284</f>
        <v>0</v>
      </c>
    </row>
    <row r="285" spans="1:29" ht="15" x14ac:dyDescent="0.25">
      <c r="A285" s="5">
        <v>2149</v>
      </c>
      <c r="B285" s="5">
        <v>1</v>
      </c>
      <c r="C285" s="2" t="s">
        <v>282</v>
      </c>
      <c r="D285" s="3">
        <v>185411.62</v>
      </c>
      <c r="E285" s="3">
        <v>181880.7</v>
      </c>
      <c r="F285" s="171">
        <v>787792</v>
      </c>
      <c r="G285" s="171">
        <v>144389</v>
      </c>
      <c r="H285" s="171">
        <v>0</v>
      </c>
      <c r="I285" s="171">
        <v>611882</v>
      </c>
      <c r="J285" s="172">
        <v>144014</v>
      </c>
      <c r="K285" s="171">
        <v>865209</v>
      </c>
      <c r="L285" s="171">
        <v>334741</v>
      </c>
      <c r="M285" s="3">
        <v>0</v>
      </c>
      <c r="N285" s="173">
        <v>81127</v>
      </c>
      <c r="O285" s="154">
        <f t="shared" si="30"/>
        <v>2969154</v>
      </c>
      <c r="P285" s="3">
        <f t="shared" si="31"/>
        <v>2036973</v>
      </c>
      <c r="Q285" s="3">
        <f t="shared" si="32"/>
        <v>611882</v>
      </c>
      <c r="R285" s="3">
        <f t="shared" si="33"/>
        <v>144014</v>
      </c>
      <c r="S285" s="3">
        <f t="shared" si="34"/>
        <v>1199950</v>
      </c>
      <c r="T285" s="3">
        <f t="shared" si="35"/>
        <v>81127</v>
      </c>
      <c r="U285" s="3">
        <v>0</v>
      </c>
      <c r="V285" s="3">
        <v>0</v>
      </c>
      <c r="W285" s="175">
        <f t="shared" si="36"/>
        <v>107143.17</v>
      </c>
      <c r="X285" s="175">
        <f t="shared" si="36"/>
        <v>7243.81</v>
      </c>
      <c r="Z285" s="2">
        <f>[2]credits!$M285-U285</f>
        <v>54634.78</v>
      </c>
      <c r="AA285" s="2">
        <f>[2]credits!$O285-V285</f>
        <v>12858.96</v>
      </c>
      <c r="AB285" s="2">
        <f>[2]credits!$Q285-W285</f>
        <v>-9.9999999947613105E-3</v>
      </c>
      <c r="AC285" s="2">
        <f>[2]credits!$S285-X285</f>
        <v>-1.0000000000218279E-2</v>
      </c>
    </row>
    <row r="286" spans="1:29" ht="15" x14ac:dyDescent="0.25">
      <c r="A286" s="5">
        <v>2154</v>
      </c>
      <c r="B286" s="5">
        <v>1</v>
      </c>
      <c r="C286" s="2" t="s">
        <v>283</v>
      </c>
      <c r="D286" s="3">
        <v>133995.34999999998</v>
      </c>
      <c r="E286" s="3">
        <v>107120.20999999999</v>
      </c>
      <c r="F286" s="171">
        <v>271389.34000000003</v>
      </c>
      <c r="G286" s="171">
        <v>93164.66</v>
      </c>
      <c r="H286" s="171">
        <v>0</v>
      </c>
      <c r="I286" s="171">
        <v>0</v>
      </c>
      <c r="J286" s="172">
        <v>0</v>
      </c>
      <c r="K286" s="171">
        <v>84121.59</v>
      </c>
      <c r="L286" s="171">
        <v>0</v>
      </c>
      <c r="M286" s="3">
        <v>0</v>
      </c>
      <c r="N286" s="173">
        <v>165731.13</v>
      </c>
      <c r="O286" s="154">
        <f t="shared" si="30"/>
        <v>614406.72</v>
      </c>
      <c r="P286" s="3">
        <f t="shared" si="31"/>
        <v>249852.72</v>
      </c>
      <c r="Q286" s="3">
        <f t="shared" si="32"/>
        <v>0</v>
      </c>
      <c r="R286" s="3">
        <f t="shared" si="33"/>
        <v>0</v>
      </c>
      <c r="S286" s="3">
        <f t="shared" si="34"/>
        <v>84121.59</v>
      </c>
      <c r="T286" s="3">
        <f t="shared" si="35"/>
        <v>165731.13</v>
      </c>
      <c r="U286" s="3">
        <v>0</v>
      </c>
      <c r="V286" s="3">
        <v>0</v>
      </c>
      <c r="W286" s="175">
        <f>IF($P286=0,0,ROUND(S286/$P286*$E286,2))+5664.72</f>
        <v>41730.46</v>
      </c>
      <c r="X286" s="175">
        <f>IF($P286=0,0,ROUND(T286/$P286*$E286,2))+11158.23</f>
        <v>82212.7</v>
      </c>
      <c r="Z286" s="2">
        <f>[2]credits!$M286-U286</f>
        <v>67.8</v>
      </c>
      <c r="AA286" s="2">
        <f>[2]credits!$O286-V286</f>
        <v>0</v>
      </c>
      <c r="AB286" s="2">
        <f>[2]credits!$Q286-W286</f>
        <v>0</v>
      </c>
      <c r="AC286" s="2">
        <f>[2]credits!$S286-X286</f>
        <v>0</v>
      </c>
    </row>
    <row r="287" spans="1:29" ht="15" x14ac:dyDescent="0.25">
      <c r="A287" s="5">
        <v>2155</v>
      </c>
      <c r="B287" s="5">
        <v>1</v>
      </c>
      <c r="C287" s="2" t="s">
        <v>284</v>
      </c>
      <c r="D287" s="3">
        <v>178662.74</v>
      </c>
      <c r="E287" s="3">
        <v>207937.23</v>
      </c>
      <c r="F287" s="171">
        <v>599518</v>
      </c>
      <c r="G287" s="171">
        <v>70711</v>
      </c>
      <c r="H287" s="171">
        <v>0</v>
      </c>
      <c r="I287" s="171">
        <v>278262</v>
      </c>
      <c r="J287" s="172">
        <v>76448</v>
      </c>
      <c r="K287" s="171">
        <v>509055</v>
      </c>
      <c r="L287" s="171">
        <v>0</v>
      </c>
      <c r="M287" s="3">
        <v>0</v>
      </c>
      <c r="N287" s="173">
        <v>0</v>
      </c>
      <c r="O287" s="154">
        <f t="shared" si="30"/>
        <v>1533994</v>
      </c>
      <c r="P287" s="3">
        <f t="shared" si="31"/>
        <v>863765</v>
      </c>
      <c r="Q287" s="3">
        <f t="shared" si="32"/>
        <v>278262</v>
      </c>
      <c r="R287" s="3">
        <f t="shared" si="33"/>
        <v>76448</v>
      </c>
      <c r="S287" s="3">
        <f t="shared" si="34"/>
        <v>509055</v>
      </c>
      <c r="T287" s="3">
        <f t="shared" si="35"/>
        <v>0</v>
      </c>
      <c r="U287" s="3">
        <v>0</v>
      </c>
      <c r="V287" s="3">
        <v>0</v>
      </c>
      <c r="W287" s="175">
        <f t="shared" si="36"/>
        <v>122546.63</v>
      </c>
      <c r="X287" s="175">
        <f t="shared" si="36"/>
        <v>0</v>
      </c>
      <c r="Z287" s="2">
        <f>[2]credits!$M287-U287</f>
        <v>66987.06</v>
      </c>
      <c r="AA287" s="2">
        <f>[2]credits!$O287-V287</f>
        <v>18403.560000000001</v>
      </c>
      <c r="AB287" s="2">
        <f>[2]credits!$Q287-W287</f>
        <v>-2.0000000004074536E-2</v>
      </c>
      <c r="AC287" s="2">
        <f>[2]credits!$S287-X287</f>
        <v>0</v>
      </c>
    </row>
    <row r="288" spans="1:29" ht="15" x14ac:dyDescent="0.25">
      <c r="A288" s="5">
        <v>2159</v>
      </c>
      <c r="B288" s="5">
        <v>1</v>
      </c>
      <c r="C288" s="2" t="s">
        <v>285</v>
      </c>
      <c r="D288" s="3">
        <v>64780.81</v>
      </c>
      <c r="E288" s="3">
        <v>68428.45</v>
      </c>
      <c r="F288" s="171">
        <v>404447.39</v>
      </c>
      <c r="G288" s="171">
        <v>82072.5</v>
      </c>
      <c r="H288" s="171">
        <v>0</v>
      </c>
      <c r="I288" s="171">
        <v>271779.59000000003</v>
      </c>
      <c r="J288" s="172">
        <v>56205.91</v>
      </c>
      <c r="K288" s="171">
        <v>0</v>
      </c>
      <c r="L288" s="171">
        <v>244182.29</v>
      </c>
      <c r="M288" s="3">
        <v>0</v>
      </c>
      <c r="N288" s="173">
        <v>0</v>
      </c>
      <c r="O288" s="154">
        <f t="shared" si="30"/>
        <v>1058687.68</v>
      </c>
      <c r="P288" s="3">
        <f t="shared" si="31"/>
        <v>572167.79</v>
      </c>
      <c r="Q288" s="3">
        <f t="shared" si="32"/>
        <v>271779.59000000003</v>
      </c>
      <c r="R288" s="3">
        <f t="shared" si="33"/>
        <v>56205.91</v>
      </c>
      <c r="S288" s="3">
        <f t="shared" si="34"/>
        <v>244182.29</v>
      </c>
      <c r="T288" s="3">
        <f t="shared" si="35"/>
        <v>0</v>
      </c>
      <c r="U288" s="3">
        <v>0</v>
      </c>
      <c r="V288" s="3">
        <v>0</v>
      </c>
      <c r="W288" s="175">
        <f t="shared" si="36"/>
        <v>29203</v>
      </c>
      <c r="X288" s="175">
        <f t="shared" si="36"/>
        <v>0</v>
      </c>
      <c r="Z288" s="2">
        <f>[2]credits!$M288-U288</f>
        <v>32503.5</v>
      </c>
      <c r="AA288" s="2">
        <f>[2]credits!$O288-V288</f>
        <v>6721.95</v>
      </c>
      <c r="AB288" s="2">
        <f>[2]credits!$Q288-W288</f>
        <v>0</v>
      </c>
      <c r="AC288" s="2">
        <f>[2]credits!$S288-X288</f>
        <v>0</v>
      </c>
    </row>
    <row r="289" spans="1:29" ht="15" x14ac:dyDescent="0.25">
      <c r="A289" s="5">
        <v>2164</v>
      </c>
      <c r="B289" s="5">
        <v>1</v>
      </c>
      <c r="C289" s="2" t="s">
        <v>286</v>
      </c>
      <c r="D289" s="3">
        <v>141615.67999999999</v>
      </c>
      <c r="E289" s="3">
        <v>155905.82999999999</v>
      </c>
      <c r="F289" s="171">
        <v>312465.33</v>
      </c>
      <c r="G289" s="171">
        <v>107276.24</v>
      </c>
      <c r="H289" s="171">
        <v>0</v>
      </c>
      <c r="I289" s="171">
        <v>270971.09999999998</v>
      </c>
      <c r="J289" s="172">
        <v>72238.03</v>
      </c>
      <c r="K289" s="171">
        <v>904522.86</v>
      </c>
      <c r="L289" s="171">
        <v>154591.41</v>
      </c>
      <c r="M289" s="3">
        <v>0</v>
      </c>
      <c r="N289" s="173">
        <v>155379</v>
      </c>
      <c r="O289" s="154">
        <f t="shared" si="30"/>
        <v>1977443.97</v>
      </c>
      <c r="P289" s="3">
        <f t="shared" si="31"/>
        <v>1557702.4</v>
      </c>
      <c r="Q289" s="3">
        <f t="shared" si="32"/>
        <v>270971.09999999998</v>
      </c>
      <c r="R289" s="3">
        <f t="shared" si="33"/>
        <v>72238.03</v>
      </c>
      <c r="S289" s="3">
        <f t="shared" si="34"/>
        <v>1059114.27</v>
      </c>
      <c r="T289" s="3">
        <f t="shared" si="35"/>
        <v>155379</v>
      </c>
      <c r="U289" s="3">
        <v>0</v>
      </c>
      <c r="V289" s="3">
        <v>0</v>
      </c>
      <c r="W289" s="175">
        <f t="shared" si="36"/>
        <v>106003.62</v>
      </c>
      <c r="X289" s="175">
        <f t="shared" si="36"/>
        <v>15551.42</v>
      </c>
      <c r="Z289" s="2">
        <f>[2]credits!$M289-U289</f>
        <v>27120.7</v>
      </c>
      <c r="AA289" s="2">
        <f>[2]credits!$O289-V289</f>
        <v>7230.09</v>
      </c>
      <c r="AB289" s="2">
        <f>[2]credits!$Q289-W289</f>
        <v>0</v>
      </c>
      <c r="AC289" s="2">
        <f>[2]credits!$S289-X289</f>
        <v>0</v>
      </c>
    </row>
    <row r="290" spans="1:29" ht="15" x14ac:dyDescent="0.25">
      <c r="A290" s="5">
        <v>2165</v>
      </c>
      <c r="B290" s="5">
        <v>1</v>
      </c>
      <c r="C290" s="2" t="s">
        <v>287</v>
      </c>
      <c r="D290" s="3">
        <v>119637.15000000001</v>
      </c>
      <c r="E290" s="3">
        <v>123130.89</v>
      </c>
      <c r="F290" s="171">
        <v>291361.14</v>
      </c>
      <c r="G290" s="171">
        <v>113915.9</v>
      </c>
      <c r="H290" s="171">
        <v>0</v>
      </c>
      <c r="I290" s="171">
        <v>319383.12</v>
      </c>
      <c r="J290" s="172">
        <v>82013.95</v>
      </c>
      <c r="K290" s="171">
        <v>432504.46</v>
      </c>
      <c r="L290" s="171">
        <v>417014.25</v>
      </c>
      <c r="M290" s="3">
        <v>0</v>
      </c>
      <c r="N290" s="173">
        <v>0</v>
      </c>
      <c r="O290" s="154">
        <f t="shared" si="30"/>
        <v>1656192.82</v>
      </c>
      <c r="P290" s="3">
        <f t="shared" si="31"/>
        <v>1250915.78</v>
      </c>
      <c r="Q290" s="3">
        <f t="shared" si="32"/>
        <v>319383.12</v>
      </c>
      <c r="R290" s="3">
        <f t="shared" si="33"/>
        <v>82013.95</v>
      </c>
      <c r="S290" s="3">
        <f t="shared" si="34"/>
        <v>849518.71</v>
      </c>
      <c r="T290" s="3">
        <f t="shared" si="35"/>
        <v>0</v>
      </c>
      <c r="U290" s="3">
        <v>0</v>
      </c>
      <c r="V290" s="3">
        <v>0</v>
      </c>
      <c r="W290" s="175">
        <f t="shared" si="36"/>
        <v>83620.33</v>
      </c>
      <c r="X290" s="175">
        <f t="shared" si="36"/>
        <v>0</v>
      </c>
      <c r="Z290" s="2">
        <f>[2]credits!$M290-U290</f>
        <v>31437.71</v>
      </c>
      <c r="AA290" s="2">
        <f>[2]credits!$O290-V290</f>
        <v>8072.85</v>
      </c>
      <c r="AB290" s="2">
        <f>[2]credits!$Q290-W290</f>
        <v>0</v>
      </c>
      <c r="AC290" s="2">
        <f>[2]credits!$S290-X290</f>
        <v>0</v>
      </c>
    </row>
    <row r="291" spans="1:29" ht="15" x14ac:dyDescent="0.25">
      <c r="A291" s="5">
        <v>2167</v>
      </c>
      <c r="B291" s="5">
        <v>1</v>
      </c>
      <c r="C291" s="2" t="s">
        <v>288</v>
      </c>
      <c r="D291" s="3">
        <v>68261.279999999999</v>
      </c>
      <c r="E291" s="3">
        <v>65987.25</v>
      </c>
      <c r="F291" s="171">
        <v>243196</v>
      </c>
      <c r="G291" s="171">
        <v>40064</v>
      </c>
      <c r="H291" s="171">
        <v>0</v>
      </c>
      <c r="I291" s="171">
        <v>284249</v>
      </c>
      <c r="J291" s="172">
        <v>33196</v>
      </c>
      <c r="K291" s="171">
        <v>806829</v>
      </c>
      <c r="L291" s="171">
        <v>0</v>
      </c>
      <c r="M291" s="3">
        <v>0</v>
      </c>
      <c r="N291" s="173">
        <v>0</v>
      </c>
      <c r="O291" s="154">
        <f t="shared" si="30"/>
        <v>1407534</v>
      </c>
      <c r="P291" s="3">
        <f t="shared" si="31"/>
        <v>1124274</v>
      </c>
      <c r="Q291" s="3">
        <f t="shared" si="32"/>
        <v>284249</v>
      </c>
      <c r="R291" s="3">
        <f t="shared" si="33"/>
        <v>33196</v>
      </c>
      <c r="S291" s="3">
        <f t="shared" si="34"/>
        <v>806829</v>
      </c>
      <c r="T291" s="3">
        <f t="shared" si="35"/>
        <v>0</v>
      </c>
      <c r="U291" s="3">
        <v>0</v>
      </c>
      <c r="V291" s="3">
        <v>0</v>
      </c>
      <c r="W291" s="175">
        <f t="shared" si="36"/>
        <v>47355.38</v>
      </c>
      <c r="X291" s="175">
        <f t="shared" si="36"/>
        <v>0</v>
      </c>
      <c r="Z291" s="2">
        <f>[2]credits!$M291-U291</f>
        <v>16683.47</v>
      </c>
      <c r="AA291" s="2">
        <f>[2]credits!$O291-V291</f>
        <v>1948.38</v>
      </c>
      <c r="AB291" s="2">
        <f>[2]credits!$Q291-W291</f>
        <v>3.0000000006111804E-2</v>
      </c>
      <c r="AC291" s="2">
        <f>[2]credits!$S291-X291</f>
        <v>0</v>
      </c>
    </row>
    <row r="292" spans="1:29" ht="15" x14ac:dyDescent="0.25">
      <c r="A292" s="5">
        <v>2168</v>
      </c>
      <c r="B292" s="5">
        <v>1</v>
      </c>
      <c r="C292" s="2" t="s">
        <v>289</v>
      </c>
      <c r="D292" s="3">
        <v>76299.34</v>
      </c>
      <c r="E292" s="3">
        <v>80775.23</v>
      </c>
      <c r="F292" s="171">
        <v>294249.13</v>
      </c>
      <c r="G292" s="171">
        <v>83529.509999999995</v>
      </c>
      <c r="H292" s="171">
        <v>0</v>
      </c>
      <c r="I292" s="171">
        <v>251997.92</v>
      </c>
      <c r="J292" s="172">
        <v>74335.09</v>
      </c>
      <c r="K292" s="171">
        <v>303396.06</v>
      </c>
      <c r="L292" s="171">
        <v>345793.98</v>
      </c>
      <c r="M292" s="3">
        <v>0</v>
      </c>
      <c r="N292" s="173">
        <v>0</v>
      </c>
      <c r="O292" s="154">
        <f t="shared" si="30"/>
        <v>1353301.69</v>
      </c>
      <c r="P292" s="3">
        <f t="shared" si="31"/>
        <v>975523.05</v>
      </c>
      <c r="Q292" s="3">
        <f t="shared" si="32"/>
        <v>251997.92</v>
      </c>
      <c r="R292" s="3">
        <f t="shared" si="33"/>
        <v>74335.09</v>
      </c>
      <c r="S292" s="3">
        <f t="shared" si="34"/>
        <v>649190.04</v>
      </c>
      <c r="T292" s="3">
        <f t="shared" si="35"/>
        <v>0</v>
      </c>
      <c r="U292" s="3">
        <v>0</v>
      </c>
      <c r="V292" s="3">
        <v>0</v>
      </c>
      <c r="W292" s="175">
        <f t="shared" si="36"/>
        <v>53754.21</v>
      </c>
      <c r="X292" s="175">
        <f t="shared" si="36"/>
        <v>0</v>
      </c>
      <c r="Z292" s="2">
        <f>[2]credits!$M292-U292</f>
        <v>20865.919999999998</v>
      </c>
      <c r="AA292" s="2">
        <f>[2]credits!$O292-V292</f>
        <v>6155.09</v>
      </c>
      <c r="AB292" s="2">
        <f>[2]credits!$Q292-W292</f>
        <v>0</v>
      </c>
      <c r="AC292" s="2">
        <f>[2]credits!$S292-X292</f>
        <v>0</v>
      </c>
    </row>
    <row r="293" spans="1:29" ht="15" x14ac:dyDescent="0.25">
      <c r="A293" s="5">
        <v>2169</v>
      </c>
      <c r="B293" s="5">
        <v>1</v>
      </c>
      <c r="C293" s="2" t="s">
        <v>290</v>
      </c>
      <c r="D293" s="3">
        <v>122384.23000000001</v>
      </c>
      <c r="E293" s="3">
        <v>110608.17</v>
      </c>
      <c r="F293" s="171">
        <v>732540</v>
      </c>
      <c r="G293" s="171">
        <v>36048</v>
      </c>
      <c r="H293" s="171">
        <v>0</v>
      </c>
      <c r="I293" s="171">
        <v>385518</v>
      </c>
      <c r="J293" s="172">
        <v>73403</v>
      </c>
      <c r="K293" s="171">
        <v>0</v>
      </c>
      <c r="L293" s="171">
        <v>554114</v>
      </c>
      <c r="M293" s="3">
        <v>0</v>
      </c>
      <c r="N293" s="173">
        <v>0</v>
      </c>
      <c r="O293" s="154">
        <f t="shared" si="30"/>
        <v>1781623</v>
      </c>
      <c r="P293" s="3">
        <f t="shared" si="31"/>
        <v>1013035</v>
      </c>
      <c r="Q293" s="3">
        <f t="shared" si="32"/>
        <v>385518</v>
      </c>
      <c r="R293" s="3">
        <f t="shared" si="33"/>
        <v>73403</v>
      </c>
      <c r="S293" s="3">
        <f t="shared" si="34"/>
        <v>554114</v>
      </c>
      <c r="T293" s="3">
        <f t="shared" si="35"/>
        <v>0</v>
      </c>
      <c r="U293" s="3">
        <v>0</v>
      </c>
      <c r="V293" s="3">
        <v>0</v>
      </c>
      <c r="W293" s="175">
        <f t="shared" si="36"/>
        <v>60500.91</v>
      </c>
      <c r="X293" s="175">
        <f t="shared" si="36"/>
        <v>0</v>
      </c>
      <c r="Z293" s="2">
        <f>[2]credits!$M293-U293</f>
        <v>42092.78</v>
      </c>
      <c r="AA293" s="2">
        <f>[2]credits!$O293-V293</f>
        <v>8014.46</v>
      </c>
      <c r="AB293" s="2">
        <f>[2]credits!$Q293-W293</f>
        <v>1.9999999996798579E-2</v>
      </c>
      <c r="AC293" s="2">
        <f>[2]credits!$S293-X293</f>
        <v>0</v>
      </c>
    </row>
    <row r="294" spans="1:29" ht="15" x14ac:dyDescent="0.25">
      <c r="A294" s="5">
        <v>2170</v>
      </c>
      <c r="B294" s="5">
        <v>1</v>
      </c>
      <c r="C294" s="2" t="s">
        <v>291</v>
      </c>
      <c r="D294" s="3">
        <v>145595.12</v>
      </c>
      <c r="E294" s="3">
        <v>118102.28</v>
      </c>
      <c r="F294" s="171">
        <v>507095.71</v>
      </c>
      <c r="G294" s="171">
        <v>157574.07999999999</v>
      </c>
      <c r="H294" s="171">
        <v>0</v>
      </c>
      <c r="I294" s="171">
        <v>478931.83999999997</v>
      </c>
      <c r="J294" s="172">
        <v>110437.31000000001</v>
      </c>
      <c r="K294" s="171">
        <v>0</v>
      </c>
      <c r="L294" s="171">
        <v>227979.28</v>
      </c>
      <c r="M294" s="3">
        <v>0</v>
      </c>
      <c r="N294" s="173">
        <v>125546.78</v>
      </c>
      <c r="O294" s="154">
        <f t="shared" si="30"/>
        <v>1607565</v>
      </c>
      <c r="P294" s="3">
        <f t="shared" si="31"/>
        <v>942895.21000000008</v>
      </c>
      <c r="Q294" s="3">
        <f t="shared" si="32"/>
        <v>478931.83999999997</v>
      </c>
      <c r="R294" s="3">
        <f t="shared" si="33"/>
        <v>110437.31000000001</v>
      </c>
      <c r="S294" s="3">
        <f t="shared" si="34"/>
        <v>227979.28</v>
      </c>
      <c r="T294" s="3">
        <f t="shared" si="35"/>
        <v>125546.78</v>
      </c>
      <c r="U294" s="3">
        <v>0</v>
      </c>
      <c r="V294" s="3">
        <v>0</v>
      </c>
      <c r="W294" s="175">
        <f t="shared" si="36"/>
        <v>28555.53</v>
      </c>
      <c r="X294" s="175">
        <f t="shared" si="36"/>
        <v>15725.35</v>
      </c>
      <c r="Z294" s="2">
        <f>[2]credits!$M294-U294</f>
        <v>59798.18</v>
      </c>
      <c r="AA294" s="2">
        <f>[2]credits!$O294-V294</f>
        <v>13816.03</v>
      </c>
      <c r="AB294" s="2">
        <f>[2]credits!$Q294-W294</f>
        <v>143.56999999999971</v>
      </c>
      <c r="AC294" s="2">
        <f>[2]credits!$S294-X294</f>
        <v>63.619999999998981</v>
      </c>
    </row>
    <row r="295" spans="1:29" ht="15" x14ac:dyDescent="0.25">
      <c r="A295" s="5">
        <v>2171</v>
      </c>
      <c r="B295" s="5">
        <v>1</v>
      </c>
      <c r="C295" s="2" t="s">
        <v>292</v>
      </c>
      <c r="D295" s="3">
        <v>23351.600000000002</v>
      </c>
      <c r="E295" s="3">
        <v>22664.53</v>
      </c>
      <c r="F295" s="171">
        <v>406637.58</v>
      </c>
      <c r="G295" s="171">
        <v>12058.47</v>
      </c>
      <c r="H295" s="171">
        <v>0</v>
      </c>
      <c r="I295" s="171">
        <v>157339.63</v>
      </c>
      <c r="J295" s="172">
        <v>31745.119999999999</v>
      </c>
      <c r="K295" s="171">
        <v>344190.11</v>
      </c>
      <c r="L295" s="171">
        <v>0</v>
      </c>
      <c r="M295" s="3">
        <v>0</v>
      </c>
      <c r="N295" s="173">
        <v>0</v>
      </c>
      <c r="O295" s="154">
        <f t="shared" si="30"/>
        <v>951970.90999999992</v>
      </c>
      <c r="P295" s="3">
        <f t="shared" si="31"/>
        <v>533274.86</v>
      </c>
      <c r="Q295" s="3">
        <f t="shared" si="32"/>
        <v>157339.63</v>
      </c>
      <c r="R295" s="3">
        <f t="shared" si="33"/>
        <v>31745.119999999999</v>
      </c>
      <c r="S295" s="3">
        <f t="shared" si="34"/>
        <v>344190.11</v>
      </c>
      <c r="T295" s="3">
        <f t="shared" si="35"/>
        <v>0</v>
      </c>
      <c r="U295" s="3">
        <v>0</v>
      </c>
      <c r="V295" s="3">
        <v>0</v>
      </c>
      <c r="W295" s="175">
        <f t="shared" si="36"/>
        <v>14628.3</v>
      </c>
      <c r="X295" s="175">
        <f t="shared" si="36"/>
        <v>0</v>
      </c>
      <c r="Z295" s="2">
        <f>[2]credits!$M295-U295</f>
        <v>6687.04</v>
      </c>
      <c r="AA295" s="2">
        <f>[2]credits!$O295-V295</f>
        <v>1349.19</v>
      </c>
      <c r="AB295" s="2">
        <f>[2]credits!$Q295-W295</f>
        <v>0</v>
      </c>
      <c r="AC295" s="2">
        <f>[2]credits!$S295-X295</f>
        <v>0</v>
      </c>
    </row>
    <row r="296" spans="1:29" ht="15" x14ac:dyDescent="0.25">
      <c r="A296" s="5">
        <v>2172</v>
      </c>
      <c r="B296" s="5">
        <v>1</v>
      </c>
      <c r="C296" s="2" t="s">
        <v>293</v>
      </c>
      <c r="D296" s="3">
        <v>119634.31</v>
      </c>
      <c r="E296" s="3">
        <v>127215.08</v>
      </c>
      <c r="F296" s="171">
        <v>577042</v>
      </c>
      <c r="G296" s="171">
        <v>78443</v>
      </c>
      <c r="H296" s="171">
        <v>0</v>
      </c>
      <c r="I296" s="171">
        <v>373373</v>
      </c>
      <c r="J296" s="172">
        <v>114529</v>
      </c>
      <c r="K296" s="171">
        <v>969982</v>
      </c>
      <c r="L296" s="171">
        <v>286145</v>
      </c>
      <c r="M296" s="3">
        <v>0</v>
      </c>
      <c r="N296" s="173">
        <v>0</v>
      </c>
      <c r="O296" s="154">
        <f t="shared" si="30"/>
        <v>2399514</v>
      </c>
      <c r="P296" s="3">
        <f t="shared" si="31"/>
        <v>1744029</v>
      </c>
      <c r="Q296" s="3">
        <f t="shared" si="32"/>
        <v>373373</v>
      </c>
      <c r="R296" s="3">
        <f t="shared" si="33"/>
        <v>114529</v>
      </c>
      <c r="S296" s="3">
        <f t="shared" si="34"/>
        <v>1256127</v>
      </c>
      <c r="T296" s="3">
        <f t="shared" si="35"/>
        <v>0</v>
      </c>
      <c r="U296" s="3">
        <v>0</v>
      </c>
      <c r="V296" s="3">
        <v>0</v>
      </c>
      <c r="W296" s="175">
        <f t="shared" si="36"/>
        <v>91625.94</v>
      </c>
      <c r="X296" s="175">
        <f t="shared" si="36"/>
        <v>0</v>
      </c>
      <c r="Z296" s="2">
        <f>[2]credits!$M296-U296</f>
        <v>27235.05</v>
      </c>
      <c r="AA296" s="2">
        <f>[2]credits!$O296-V296</f>
        <v>8354.1</v>
      </c>
      <c r="AB296" s="2">
        <f>[2]credits!$Q296-W296</f>
        <v>-1.0000000009313226E-2</v>
      </c>
      <c r="AC296" s="2">
        <f>[2]credits!$S296-X296</f>
        <v>0</v>
      </c>
    </row>
    <row r="297" spans="1:29" ht="15" x14ac:dyDescent="0.25">
      <c r="A297" s="5">
        <v>2174</v>
      </c>
      <c r="B297" s="5">
        <v>1</v>
      </c>
      <c r="C297" s="2" t="s">
        <v>294</v>
      </c>
      <c r="D297" s="3">
        <v>55894.17</v>
      </c>
      <c r="E297" s="3">
        <v>56485.89</v>
      </c>
      <c r="F297" s="171">
        <v>1154.26</v>
      </c>
      <c r="G297" s="171">
        <v>228256.46</v>
      </c>
      <c r="H297" s="171">
        <v>0</v>
      </c>
      <c r="I297" s="171">
        <v>160495.14000000001</v>
      </c>
      <c r="J297" s="172">
        <v>109173.99</v>
      </c>
      <c r="K297" s="171">
        <v>324976.82</v>
      </c>
      <c r="L297" s="171">
        <v>134961.15</v>
      </c>
      <c r="M297" s="3">
        <v>0</v>
      </c>
      <c r="N297" s="173">
        <v>0</v>
      </c>
      <c r="O297" s="154">
        <f t="shared" si="30"/>
        <v>959017.82</v>
      </c>
      <c r="P297" s="3">
        <f t="shared" si="31"/>
        <v>729607.1</v>
      </c>
      <c r="Q297" s="3">
        <f t="shared" si="32"/>
        <v>160495.14000000001</v>
      </c>
      <c r="R297" s="3">
        <f t="shared" si="33"/>
        <v>109173.99</v>
      </c>
      <c r="S297" s="3">
        <f t="shared" si="34"/>
        <v>459937.97</v>
      </c>
      <c r="T297" s="3">
        <f t="shared" si="35"/>
        <v>0</v>
      </c>
      <c r="U297" s="3">
        <v>0</v>
      </c>
      <c r="V297" s="3">
        <v>0</v>
      </c>
      <c r="W297" s="175">
        <f t="shared" si="36"/>
        <v>35608.21</v>
      </c>
      <c r="X297" s="175">
        <f t="shared" si="36"/>
        <v>0</v>
      </c>
      <c r="Z297" s="2">
        <f>[2]credits!$M297-U297</f>
        <v>12425.47</v>
      </c>
      <c r="AA297" s="2">
        <f>[2]credits!$O297-V297</f>
        <v>8452.2099999999991</v>
      </c>
      <c r="AB297" s="2">
        <f>[2]credits!$Q297-W297</f>
        <v>0</v>
      </c>
      <c r="AC297" s="2">
        <f>[2]credits!$S297-X297</f>
        <v>0</v>
      </c>
    </row>
    <row r="298" spans="1:29" ht="15" x14ac:dyDescent="0.25">
      <c r="A298" s="5">
        <v>2176</v>
      </c>
      <c r="B298" s="5">
        <v>1</v>
      </c>
      <c r="C298" s="2" t="s">
        <v>295</v>
      </c>
      <c r="D298" s="3">
        <v>24793.87</v>
      </c>
      <c r="E298" s="3">
        <v>29909.59</v>
      </c>
      <c r="F298" s="171">
        <v>514824</v>
      </c>
      <c r="G298" s="171">
        <v>9879</v>
      </c>
      <c r="H298" s="171">
        <v>0</v>
      </c>
      <c r="I298" s="171">
        <v>252405</v>
      </c>
      <c r="J298" s="172">
        <v>53380</v>
      </c>
      <c r="K298" s="171">
        <v>0</v>
      </c>
      <c r="L298" s="171">
        <v>0</v>
      </c>
      <c r="M298" s="3">
        <v>0</v>
      </c>
      <c r="N298" s="173">
        <v>0</v>
      </c>
      <c r="O298" s="154">
        <f t="shared" si="30"/>
        <v>830488</v>
      </c>
      <c r="P298" s="3">
        <f t="shared" si="31"/>
        <v>305785</v>
      </c>
      <c r="Q298" s="3">
        <f t="shared" si="32"/>
        <v>252405</v>
      </c>
      <c r="R298" s="3">
        <f t="shared" si="33"/>
        <v>53380</v>
      </c>
      <c r="S298" s="3">
        <f t="shared" si="34"/>
        <v>0</v>
      </c>
      <c r="T298" s="3">
        <f t="shared" si="35"/>
        <v>0</v>
      </c>
      <c r="U298" s="3">
        <v>0</v>
      </c>
      <c r="V298" s="3">
        <v>0</v>
      </c>
      <c r="W298" s="175">
        <f t="shared" si="36"/>
        <v>0</v>
      </c>
      <c r="X298" s="175">
        <f t="shared" si="36"/>
        <v>0</v>
      </c>
      <c r="Z298" s="2">
        <f>[2]credits!$M298-U298</f>
        <v>24688.32</v>
      </c>
      <c r="AA298" s="2">
        <f>[2]credits!$O298-V298</f>
        <v>5221.2700000000004</v>
      </c>
      <c r="AB298" s="2">
        <f>[2]credits!$Q298-W298</f>
        <v>0</v>
      </c>
      <c r="AC298" s="2">
        <f>[2]credits!$S298-X298</f>
        <v>0</v>
      </c>
    </row>
    <row r="299" spans="1:29" ht="15" x14ac:dyDescent="0.25">
      <c r="A299" s="5">
        <v>2180</v>
      </c>
      <c r="B299" s="5">
        <v>1</v>
      </c>
      <c r="C299" s="2" t="s">
        <v>296</v>
      </c>
      <c r="D299" s="3">
        <v>74690.710000000006</v>
      </c>
      <c r="E299" s="3">
        <v>75655.22</v>
      </c>
      <c r="F299" s="171">
        <v>985310.85</v>
      </c>
      <c r="G299" s="171">
        <v>31006.16</v>
      </c>
      <c r="H299" s="171">
        <v>0</v>
      </c>
      <c r="I299" s="171">
        <v>364227.36</v>
      </c>
      <c r="J299" s="172">
        <v>63274.720000000001</v>
      </c>
      <c r="K299" s="171">
        <v>606048.66</v>
      </c>
      <c r="L299" s="171">
        <v>0</v>
      </c>
      <c r="M299" s="3">
        <v>0</v>
      </c>
      <c r="N299" s="173">
        <v>0</v>
      </c>
      <c r="O299" s="154">
        <f t="shared" si="30"/>
        <v>2049867.75</v>
      </c>
      <c r="P299" s="3">
        <f t="shared" si="31"/>
        <v>1033550.74</v>
      </c>
      <c r="Q299" s="3">
        <f t="shared" si="32"/>
        <v>364227.36</v>
      </c>
      <c r="R299" s="3">
        <f t="shared" si="33"/>
        <v>63274.720000000001</v>
      </c>
      <c r="S299" s="3">
        <f t="shared" si="34"/>
        <v>606048.66</v>
      </c>
      <c r="T299" s="3">
        <f t="shared" si="35"/>
        <v>0</v>
      </c>
      <c r="U299" s="3">
        <v>0</v>
      </c>
      <c r="V299" s="3">
        <v>0</v>
      </c>
      <c r="W299" s="175">
        <f t="shared" si="36"/>
        <v>44362.35</v>
      </c>
      <c r="X299" s="175">
        <f t="shared" si="36"/>
        <v>0</v>
      </c>
      <c r="Z299" s="2">
        <f>[2]credits!$M299-U299</f>
        <v>26661.200000000001</v>
      </c>
      <c r="AA299" s="2">
        <f>[2]credits!$O299-V299</f>
        <v>4631.67</v>
      </c>
      <c r="AB299" s="2">
        <f>[2]credits!$Q299-W299</f>
        <v>0</v>
      </c>
      <c r="AC299" s="2">
        <f>[2]credits!$S299-X299</f>
        <v>0</v>
      </c>
    </row>
    <row r="300" spans="1:29" ht="15" x14ac:dyDescent="0.25">
      <c r="A300" s="5">
        <v>2184</v>
      </c>
      <c r="B300" s="5">
        <v>1</v>
      </c>
      <c r="C300" s="2" t="s">
        <v>297</v>
      </c>
      <c r="D300" s="3">
        <v>144599</v>
      </c>
      <c r="E300" s="3">
        <v>149155.34</v>
      </c>
      <c r="F300" s="171">
        <v>905240.9</v>
      </c>
      <c r="G300" s="171">
        <v>61203.79</v>
      </c>
      <c r="H300" s="171">
        <v>0</v>
      </c>
      <c r="I300" s="171">
        <v>447731.79</v>
      </c>
      <c r="J300" s="172">
        <v>83282.91</v>
      </c>
      <c r="K300" s="171">
        <v>982683.42</v>
      </c>
      <c r="L300" s="171">
        <v>0</v>
      </c>
      <c r="M300" s="3">
        <v>0</v>
      </c>
      <c r="N300" s="173">
        <v>0</v>
      </c>
      <c r="O300" s="154">
        <f t="shared" si="30"/>
        <v>2480142.81</v>
      </c>
      <c r="P300" s="3">
        <f t="shared" si="31"/>
        <v>1513698.12</v>
      </c>
      <c r="Q300" s="3">
        <f t="shared" si="32"/>
        <v>447731.79</v>
      </c>
      <c r="R300" s="3">
        <f t="shared" si="33"/>
        <v>83282.91</v>
      </c>
      <c r="S300" s="3">
        <f t="shared" si="34"/>
        <v>982683.42</v>
      </c>
      <c r="T300" s="3">
        <f t="shared" si="35"/>
        <v>0</v>
      </c>
      <c r="U300" s="3">
        <v>0</v>
      </c>
      <c r="V300" s="3">
        <v>0</v>
      </c>
      <c r="W300" s="175">
        <f t="shared" si="36"/>
        <v>96830.720000000001</v>
      </c>
      <c r="X300" s="175">
        <f t="shared" si="36"/>
        <v>0</v>
      </c>
      <c r="Z300" s="2">
        <f>[2]credits!$M300-U300</f>
        <v>44118.17</v>
      </c>
      <c r="AA300" s="2">
        <f>[2]credits!$O300-V300</f>
        <v>8206.4500000000007</v>
      </c>
      <c r="AB300" s="2">
        <f>[2]credits!$Q300-W300</f>
        <v>0</v>
      </c>
      <c r="AC300" s="2">
        <f>[2]credits!$S300-X300</f>
        <v>0</v>
      </c>
    </row>
    <row r="301" spans="1:29" ht="15" x14ac:dyDescent="0.25">
      <c r="A301" s="5">
        <v>2190</v>
      </c>
      <c r="B301" s="5">
        <v>1</v>
      </c>
      <c r="C301" s="2" t="s">
        <v>298</v>
      </c>
      <c r="D301" s="3">
        <v>85747.01</v>
      </c>
      <c r="E301" s="3">
        <v>102457.93</v>
      </c>
      <c r="F301" s="171">
        <v>753847</v>
      </c>
      <c r="G301" s="171">
        <v>42334</v>
      </c>
      <c r="H301" s="171">
        <v>0</v>
      </c>
      <c r="I301" s="171">
        <v>237544</v>
      </c>
      <c r="J301" s="172">
        <v>168676</v>
      </c>
      <c r="K301" s="171">
        <v>0</v>
      </c>
      <c r="L301" s="171">
        <v>746912</v>
      </c>
      <c r="M301" s="3">
        <v>0</v>
      </c>
      <c r="N301" s="173">
        <v>198183</v>
      </c>
      <c r="O301" s="154">
        <f t="shared" si="30"/>
        <v>2147496</v>
      </c>
      <c r="P301" s="3">
        <f t="shared" si="31"/>
        <v>1351315</v>
      </c>
      <c r="Q301" s="3">
        <f t="shared" si="32"/>
        <v>237544</v>
      </c>
      <c r="R301" s="3">
        <f t="shared" si="33"/>
        <v>168676</v>
      </c>
      <c r="S301" s="3">
        <f t="shared" si="34"/>
        <v>746912</v>
      </c>
      <c r="T301" s="3">
        <f t="shared" si="35"/>
        <v>198183</v>
      </c>
      <c r="U301" s="3">
        <v>0</v>
      </c>
      <c r="V301" s="3">
        <v>0</v>
      </c>
      <c r="W301" s="175">
        <f t="shared" si="36"/>
        <v>56631.55</v>
      </c>
      <c r="X301" s="175">
        <f t="shared" si="36"/>
        <v>15026.41</v>
      </c>
      <c r="Z301" s="2">
        <f>[2]credits!$M301-U301</f>
        <v>18010.77</v>
      </c>
      <c r="AA301" s="2">
        <f>[2]credits!$O301-V301</f>
        <v>12789.19</v>
      </c>
      <c r="AB301" s="2">
        <f>[2]credits!$Q301-W301</f>
        <v>0</v>
      </c>
      <c r="AC301" s="2">
        <f>[2]credits!$S301-X301</f>
        <v>1.0000000000218279E-2</v>
      </c>
    </row>
    <row r="302" spans="1:29" ht="15" x14ac:dyDescent="0.25">
      <c r="A302" s="5">
        <v>2198</v>
      </c>
      <c r="B302" s="5">
        <v>1</v>
      </c>
      <c r="C302" s="2" t="s">
        <v>299</v>
      </c>
      <c r="D302" s="3">
        <v>144079.25</v>
      </c>
      <c r="E302" s="3">
        <v>139451.71000000002</v>
      </c>
      <c r="F302" s="171">
        <v>574891.18999999994</v>
      </c>
      <c r="G302" s="171">
        <v>36133.93</v>
      </c>
      <c r="H302" s="171">
        <v>0</v>
      </c>
      <c r="I302" s="171">
        <v>224849.71</v>
      </c>
      <c r="J302" s="172">
        <v>72497.84</v>
      </c>
      <c r="K302" s="171">
        <v>242874.01</v>
      </c>
      <c r="L302" s="171">
        <v>271902.45</v>
      </c>
      <c r="M302" s="3">
        <v>0</v>
      </c>
      <c r="N302" s="173">
        <v>112968</v>
      </c>
      <c r="O302" s="154">
        <f t="shared" si="30"/>
        <v>1536117.13</v>
      </c>
      <c r="P302" s="3">
        <f t="shared" si="31"/>
        <v>925092.01</v>
      </c>
      <c r="Q302" s="3">
        <f t="shared" si="32"/>
        <v>224849.71</v>
      </c>
      <c r="R302" s="3">
        <f t="shared" si="33"/>
        <v>72497.84</v>
      </c>
      <c r="S302" s="3">
        <f t="shared" si="34"/>
        <v>514776.46</v>
      </c>
      <c r="T302" s="3">
        <f t="shared" si="35"/>
        <v>112968</v>
      </c>
      <c r="U302" s="3">
        <v>0</v>
      </c>
      <c r="V302" s="3">
        <v>0</v>
      </c>
      <c r="W302" s="175">
        <f t="shared" si="36"/>
        <v>77599.259999999995</v>
      </c>
      <c r="X302" s="175">
        <f t="shared" si="36"/>
        <v>17029.2</v>
      </c>
      <c r="Z302" s="2">
        <f>[2]credits!$M302-U302</f>
        <v>33894.660000000003</v>
      </c>
      <c r="AA302" s="2">
        <f>[2]credits!$O302-V302</f>
        <v>10928.59</v>
      </c>
      <c r="AB302" s="2">
        <f>[2]credits!$Q302-W302</f>
        <v>0</v>
      </c>
      <c r="AC302" s="2">
        <f>[2]credits!$S302-X302</f>
        <v>0</v>
      </c>
    </row>
    <row r="303" spans="1:29" ht="15" x14ac:dyDescent="0.25">
      <c r="A303" s="5">
        <v>2215</v>
      </c>
      <c r="B303" s="5">
        <v>1</v>
      </c>
      <c r="C303" s="2" t="s">
        <v>300</v>
      </c>
      <c r="D303" s="3">
        <v>65657.08</v>
      </c>
      <c r="E303" s="3">
        <v>57998.8</v>
      </c>
      <c r="F303" s="171">
        <v>301565.57</v>
      </c>
      <c r="G303" s="171">
        <v>4546.72</v>
      </c>
      <c r="H303" s="171">
        <v>0</v>
      </c>
      <c r="I303" s="171">
        <v>100762.27</v>
      </c>
      <c r="J303" s="172">
        <v>21696.36</v>
      </c>
      <c r="K303" s="171">
        <v>310585.65000000002</v>
      </c>
      <c r="L303" s="171">
        <v>0</v>
      </c>
      <c r="M303" s="3">
        <v>0</v>
      </c>
      <c r="N303" s="173">
        <v>0</v>
      </c>
      <c r="O303" s="154">
        <f t="shared" si="30"/>
        <v>739156.57000000007</v>
      </c>
      <c r="P303" s="3">
        <f t="shared" si="31"/>
        <v>433044.28</v>
      </c>
      <c r="Q303" s="3">
        <f t="shared" si="32"/>
        <v>100762.27</v>
      </c>
      <c r="R303" s="3">
        <f t="shared" si="33"/>
        <v>21696.36</v>
      </c>
      <c r="S303" s="3">
        <f t="shared" si="34"/>
        <v>310585.65000000002</v>
      </c>
      <c r="T303" s="3">
        <f t="shared" si="35"/>
        <v>0</v>
      </c>
      <c r="U303" s="3">
        <v>0</v>
      </c>
      <c r="V303" s="3">
        <v>0</v>
      </c>
      <c r="W303" s="175">
        <f t="shared" si="36"/>
        <v>41597.58</v>
      </c>
      <c r="X303" s="175">
        <f t="shared" si="36"/>
        <v>0</v>
      </c>
      <c r="Z303" s="2">
        <f>[2]credits!$M303-U303</f>
        <v>13495.37</v>
      </c>
      <c r="AA303" s="2">
        <f>[2]credits!$O303-V303</f>
        <v>2905.85</v>
      </c>
      <c r="AB303" s="2">
        <f>[2]credits!$Q303-W303</f>
        <v>0</v>
      </c>
      <c r="AC303" s="2">
        <f>[2]credits!$S303-X303</f>
        <v>0</v>
      </c>
    </row>
    <row r="304" spans="1:29" ht="15" x14ac:dyDescent="0.25">
      <c r="A304" s="5">
        <v>2310</v>
      </c>
      <c r="B304" s="5">
        <v>1</v>
      </c>
      <c r="C304" s="2" t="s">
        <v>301</v>
      </c>
      <c r="D304" s="3">
        <v>84101.36</v>
      </c>
      <c r="E304" s="3">
        <v>85874.78</v>
      </c>
      <c r="F304" s="171">
        <v>536640.88</v>
      </c>
      <c r="G304" s="171">
        <v>92053.9</v>
      </c>
      <c r="H304" s="171">
        <v>0</v>
      </c>
      <c r="I304" s="171">
        <v>579223.35</v>
      </c>
      <c r="J304" s="172">
        <v>96322.42</v>
      </c>
      <c r="K304" s="171">
        <v>0</v>
      </c>
      <c r="L304" s="171">
        <v>0</v>
      </c>
      <c r="M304" s="3">
        <v>0</v>
      </c>
      <c r="N304" s="173">
        <v>0</v>
      </c>
      <c r="O304" s="154">
        <f t="shared" si="30"/>
        <v>1304240.5499999998</v>
      </c>
      <c r="P304" s="3">
        <f t="shared" si="31"/>
        <v>675545.77</v>
      </c>
      <c r="Q304" s="3">
        <f t="shared" si="32"/>
        <v>579223.35</v>
      </c>
      <c r="R304" s="3">
        <f t="shared" si="33"/>
        <v>96322.42</v>
      </c>
      <c r="S304" s="3">
        <f t="shared" si="34"/>
        <v>0</v>
      </c>
      <c r="T304" s="3">
        <f t="shared" si="35"/>
        <v>0</v>
      </c>
      <c r="U304" s="3">
        <v>0</v>
      </c>
      <c r="V304" s="3">
        <v>0</v>
      </c>
      <c r="W304" s="175">
        <f t="shared" si="36"/>
        <v>0</v>
      </c>
      <c r="X304" s="175">
        <f t="shared" si="36"/>
        <v>0</v>
      </c>
      <c r="Z304" s="2">
        <f>[2]credits!$M304-U304</f>
        <v>73630.36</v>
      </c>
      <c r="AA304" s="2">
        <f>[2]credits!$O304-V304</f>
        <v>12244.42</v>
      </c>
      <c r="AB304" s="2">
        <f>[2]credits!$Q304-W304</f>
        <v>0</v>
      </c>
      <c r="AC304" s="2">
        <f>[2]credits!$S304-X304</f>
        <v>0</v>
      </c>
    </row>
    <row r="305" spans="1:29" ht="15" x14ac:dyDescent="0.25">
      <c r="A305" s="5">
        <v>2311</v>
      </c>
      <c r="B305" s="5">
        <v>1</v>
      </c>
      <c r="C305" s="2" t="s">
        <v>302</v>
      </c>
      <c r="D305" s="3">
        <v>89780.680000000008</v>
      </c>
      <c r="E305" s="3">
        <v>59470.18</v>
      </c>
      <c r="F305" s="171">
        <v>273736</v>
      </c>
      <c r="G305" s="171">
        <v>54006</v>
      </c>
      <c r="H305" s="171">
        <v>0</v>
      </c>
      <c r="I305" s="171">
        <v>57528</v>
      </c>
      <c r="J305" s="172">
        <v>40607</v>
      </c>
      <c r="K305" s="171">
        <v>743978</v>
      </c>
      <c r="L305" s="171">
        <v>0</v>
      </c>
      <c r="M305" s="3">
        <v>0</v>
      </c>
      <c r="N305" s="173">
        <v>0</v>
      </c>
      <c r="O305" s="154">
        <f t="shared" si="30"/>
        <v>1169855</v>
      </c>
      <c r="P305" s="3">
        <f t="shared" si="31"/>
        <v>842113</v>
      </c>
      <c r="Q305" s="3">
        <f t="shared" si="32"/>
        <v>57528</v>
      </c>
      <c r="R305" s="3">
        <f t="shared" si="33"/>
        <v>40607</v>
      </c>
      <c r="S305" s="3">
        <f t="shared" si="34"/>
        <v>743978</v>
      </c>
      <c r="T305" s="3">
        <f t="shared" si="35"/>
        <v>0</v>
      </c>
      <c r="U305" s="3">
        <v>0</v>
      </c>
      <c r="V305" s="3">
        <v>0</v>
      </c>
      <c r="W305" s="175">
        <f t="shared" si="36"/>
        <v>52539.87</v>
      </c>
      <c r="X305" s="175">
        <f t="shared" si="36"/>
        <v>0</v>
      </c>
      <c r="Z305" s="2">
        <f>[2]credits!$M305-U305</f>
        <v>4062.62</v>
      </c>
      <c r="AA305" s="2">
        <f>[2]credits!$O305-V305</f>
        <v>2867.69</v>
      </c>
      <c r="AB305" s="2">
        <f>[2]credits!$Q305-W305</f>
        <v>0</v>
      </c>
      <c r="AC305" s="2">
        <f>[2]credits!$S305-X305</f>
        <v>0</v>
      </c>
    </row>
    <row r="306" spans="1:29" ht="15" x14ac:dyDescent="0.25">
      <c r="A306" s="5">
        <v>2342</v>
      </c>
      <c r="B306" s="5">
        <v>1</v>
      </c>
      <c r="C306" s="2" t="s">
        <v>303</v>
      </c>
      <c r="D306" s="3">
        <v>74448.540000000008</v>
      </c>
      <c r="E306" s="3">
        <v>75015.710000000006</v>
      </c>
      <c r="F306" s="171">
        <v>871793</v>
      </c>
      <c r="G306" s="171">
        <v>47764</v>
      </c>
      <c r="H306" s="171">
        <v>0</v>
      </c>
      <c r="I306" s="171">
        <v>452985</v>
      </c>
      <c r="J306" s="172">
        <v>76542</v>
      </c>
      <c r="K306" s="171">
        <v>403380</v>
      </c>
      <c r="L306" s="171">
        <v>83264</v>
      </c>
      <c r="M306" s="3">
        <v>0</v>
      </c>
      <c r="N306" s="173">
        <v>0</v>
      </c>
      <c r="O306" s="154">
        <f t="shared" si="30"/>
        <v>1935728</v>
      </c>
      <c r="P306" s="3">
        <f t="shared" si="31"/>
        <v>1016171</v>
      </c>
      <c r="Q306" s="3">
        <f t="shared" si="32"/>
        <v>452985</v>
      </c>
      <c r="R306" s="3">
        <f t="shared" si="33"/>
        <v>76542</v>
      </c>
      <c r="S306" s="3">
        <f t="shared" si="34"/>
        <v>486644</v>
      </c>
      <c r="T306" s="3">
        <f t="shared" si="35"/>
        <v>0</v>
      </c>
      <c r="U306" s="3">
        <v>0</v>
      </c>
      <c r="V306" s="3">
        <v>0</v>
      </c>
      <c r="W306" s="175">
        <f t="shared" si="36"/>
        <v>35925</v>
      </c>
      <c r="X306" s="175">
        <f t="shared" si="36"/>
        <v>0</v>
      </c>
      <c r="Z306" s="2">
        <f>[2]credits!$M306-U306</f>
        <v>33440.21</v>
      </c>
      <c r="AA306" s="2">
        <f>[2]credits!$O306-V306</f>
        <v>5650.5</v>
      </c>
      <c r="AB306" s="2">
        <f>[2]credits!$Q306-W306</f>
        <v>0</v>
      </c>
      <c r="AC306" s="2">
        <f>[2]credits!$S306-X306</f>
        <v>0</v>
      </c>
    </row>
    <row r="307" spans="1:29" ht="15" x14ac:dyDescent="0.25">
      <c r="A307" s="5">
        <v>2358</v>
      </c>
      <c r="B307" s="5">
        <v>1</v>
      </c>
      <c r="C307" s="2" t="s">
        <v>304</v>
      </c>
      <c r="D307" s="3">
        <v>17004.920000000002</v>
      </c>
      <c r="E307" s="3">
        <v>38305.17</v>
      </c>
      <c r="F307" s="171">
        <v>107265.43</v>
      </c>
      <c r="G307" s="171">
        <v>9952.7099999999991</v>
      </c>
      <c r="H307" s="171">
        <v>0</v>
      </c>
      <c r="I307" s="171">
        <v>109587.7</v>
      </c>
      <c r="J307" s="172">
        <v>19775.099999999999</v>
      </c>
      <c r="K307" s="171">
        <v>0</v>
      </c>
      <c r="L307" s="171">
        <v>200049</v>
      </c>
      <c r="M307" s="3">
        <v>0</v>
      </c>
      <c r="N307" s="173">
        <v>0</v>
      </c>
      <c r="O307" s="154">
        <f t="shared" si="30"/>
        <v>446629.93999999994</v>
      </c>
      <c r="P307" s="3">
        <f t="shared" si="31"/>
        <v>329411.8</v>
      </c>
      <c r="Q307" s="3">
        <f t="shared" si="32"/>
        <v>109587.7</v>
      </c>
      <c r="R307" s="3">
        <f t="shared" si="33"/>
        <v>19775.099999999999</v>
      </c>
      <c r="S307" s="3">
        <f t="shared" si="34"/>
        <v>200049</v>
      </c>
      <c r="T307" s="3">
        <f t="shared" si="35"/>
        <v>0</v>
      </c>
      <c r="U307" s="3">
        <v>0</v>
      </c>
      <c r="V307" s="3">
        <v>0</v>
      </c>
      <c r="W307" s="175">
        <f t="shared" si="36"/>
        <v>23262.41</v>
      </c>
      <c r="X307" s="175">
        <f t="shared" si="36"/>
        <v>0</v>
      </c>
      <c r="Z307" s="2">
        <f>[2]credits!$M307-U307</f>
        <v>12743.25</v>
      </c>
      <c r="AA307" s="2">
        <f>[2]credits!$O307-V307</f>
        <v>2299.52</v>
      </c>
      <c r="AB307" s="2">
        <f>[2]credits!$Q307-W307</f>
        <v>0</v>
      </c>
      <c r="AC307" s="2">
        <f>[2]credits!$S307-X307</f>
        <v>0</v>
      </c>
    </row>
    <row r="308" spans="1:29" ht="15" x14ac:dyDescent="0.25">
      <c r="A308" s="5">
        <v>2364</v>
      </c>
      <c r="B308" s="5">
        <v>1</v>
      </c>
      <c r="C308" s="2" t="s">
        <v>305</v>
      </c>
      <c r="D308" s="3">
        <v>111028.12</v>
      </c>
      <c r="E308" s="3">
        <v>108123.66</v>
      </c>
      <c r="F308" s="171">
        <v>422397.34</v>
      </c>
      <c r="G308" s="171">
        <v>67208.460000000006</v>
      </c>
      <c r="H308" s="171">
        <v>0</v>
      </c>
      <c r="I308" s="171">
        <v>128698.51</v>
      </c>
      <c r="J308" s="172">
        <v>58326.44</v>
      </c>
      <c r="K308" s="171">
        <v>857121.24</v>
      </c>
      <c r="L308" s="171">
        <v>138133.63</v>
      </c>
      <c r="M308" s="3">
        <v>0</v>
      </c>
      <c r="N308" s="173">
        <v>0</v>
      </c>
      <c r="O308" s="154">
        <f t="shared" si="30"/>
        <v>1671885.62</v>
      </c>
      <c r="P308" s="3">
        <f t="shared" si="31"/>
        <v>1182279.8199999998</v>
      </c>
      <c r="Q308" s="3">
        <f t="shared" si="32"/>
        <v>128698.51</v>
      </c>
      <c r="R308" s="3">
        <f t="shared" si="33"/>
        <v>58326.44</v>
      </c>
      <c r="S308" s="3">
        <f t="shared" si="34"/>
        <v>995254.87</v>
      </c>
      <c r="T308" s="3">
        <f t="shared" si="35"/>
        <v>0</v>
      </c>
      <c r="U308" s="3">
        <v>0</v>
      </c>
      <c r="V308" s="3">
        <v>0</v>
      </c>
      <c r="W308" s="175">
        <f t="shared" si="36"/>
        <v>91019.57</v>
      </c>
      <c r="X308" s="175">
        <f t="shared" si="36"/>
        <v>0</v>
      </c>
      <c r="Z308" s="2">
        <f>[2]credits!$M308-U308</f>
        <v>11769.93</v>
      </c>
      <c r="AA308" s="2">
        <f>[2]credits!$O308-V308</f>
        <v>5334.16</v>
      </c>
      <c r="AB308" s="2">
        <f>[2]credits!$Q308-W308</f>
        <v>0</v>
      </c>
      <c r="AC308" s="2">
        <f>[2]credits!$S308-X308</f>
        <v>0</v>
      </c>
    </row>
    <row r="309" spans="1:29" ht="15" x14ac:dyDescent="0.25">
      <c r="A309" s="5">
        <v>2365</v>
      </c>
      <c r="B309" s="5">
        <v>1</v>
      </c>
      <c r="C309" s="2" t="s">
        <v>306</v>
      </c>
      <c r="D309" s="3">
        <v>115569.2</v>
      </c>
      <c r="E309" s="3">
        <v>112709.65</v>
      </c>
      <c r="F309" s="171">
        <v>313242.08</v>
      </c>
      <c r="G309" s="171">
        <v>52241.81</v>
      </c>
      <c r="H309" s="171">
        <v>0</v>
      </c>
      <c r="I309" s="171">
        <v>572647.17000000004</v>
      </c>
      <c r="J309" s="172">
        <v>101574.95</v>
      </c>
      <c r="K309" s="171">
        <v>318863.58</v>
      </c>
      <c r="L309" s="171">
        <v>116237.74</v>
      </c>
      <c r="M309" s="3">
        <v>0</v>
      </c>
      <c r="N309" s="173">
        <v>112041</v>
      </c>
      <c r="O309" s="154">
        <f t="shared" si="30"/>
        <v>1586848.33</v>
      </c>
      <c r="P309" s="3">
        <f t="shared" si="31"/>
        <v>1221364.44</v>
      </c>
      <c r="Q309" s="3">
        <f t="shared" si="32"/>
        <v>572647.17000000004</v>
      </c>
      <c r="R309" s="3">
        <f t="shared" si="33"/>
        <v>101574.95</v>
      </c>
      <c r="S309" s="3">
        <f t="shared" si="34"/>
        <v>435101.32</v>
      </c>
      <c r="T309" s="3">
        <f t="shared" si="35"/>
        <v>112041</v>
      </c>
      <c r="U309" s="3">
        <v>0</v>
      </c>
      <c r="V309" s="3">
        <v>0</v>
      </c>
      <c r="W309" s="175">
        <f t="shared" si="36"/>
        <v>40151.910000000003</v>
      </c>
      <c r="X309" s="175">
        <f t="shared" si="36"/>
        <v>10339.34</v>
      </c>
      <c r="Z309" s="2">
        <f>[2]credits!$M309-U309</f>
        <v>52844.88</v>
      </c>
      <c r="AA309" s="2">
        <f>[2]credits!$O309-V309</f>
        <v>9373.51</v>
      </c>
      <c r="AB309" s="2">
        <f>[2]credits!$Q309-W309</f>
        <v>0</v>
      </c>
      <c r="AC309" s="2">
        <f>[2]credits!$S309-X309</f>
        <v>0</v>
      </c>
    </row>
    <row r="310" spans="1:29" ht="15" x14ac:dyDescent="0.25">
      <c r="A310" s="5">
        <v>2396</v>
      </c>
      <c r="B310" s="5">
        <v>1</v>
      </c>
      <c r="C310" s="2" t="s">
        <v>307</v>
      </c>
      <c r="D310" s="3">
        <v>118498.97999999998</v>
      </c>
      <c r="E310" s="3">
        <v>115184.72</v>
      </c>
      <c r="F310" s="171">
        <v>870261</v>
      </c>
      <c r="G310" s="171">
        <v>71659</v>
      </c>
      <c r="H310" s="171">
        <v>0</v>
      </c>
      <c r="I310" s="171">
        <v>489928</v>
      </c>
      <c r="J310" s="172">
        <v>138282</v>
      </c>
      <c r="K310" s="171">
        <v>839802</v>
      </c>
      <c r="L310" s="171">
        <v>73636</v>
      </c>
      <c r="M310" s="3">
        <v>0</v>
      </c>
      <c r="N310" s="173">
        <v>0</v>
      </c>
      <c r="O310" s="154">
        <f t="shared" si="30"/>
        <v>2483568</v>
      </c>
      <c r="P310" s="3">
        <f t="shared" si="31"/>
        <v>1541648</v>
      </c>
      <c r="Q310" s="3">
        <f t="shared" si="32"/>
        <v>489928</v>
      </c>
      <c r="R310" s="3">
        <f t="shared" si="33"/>
        <v>138282</v>
      </c>
      <c r="S310" s="3">
        <f t="shared" si="34"/>
        <v>913438</v>
      </c>
      <c r="T310" s="3">
        <f t="shared" si="35"/>
        <v>0</v>
      </c>
      <c r="U310" s="3">
        <v>0</v>
      </c>
      <c r="V310" s="3">
        <v>0</v>
      </c>
      <c r="W310" s="175">
        <f t="shared" si="36"/>
        <v>68247.81</v>
      </c>
      <c r="X310" s="175">
        <f t="shared" si="36"/>
        <v>0</v>
      </c>
      <c r="Z310" s="2">
        <f>[2]credits!$M310-U310</f>
        <v>36605.15</v>
      </c>
      <c r="AA310" s="2">
        <f>[2]credits!$O310-V310</f>
        <v>10331.790000000001</v>
      </c>
      <c r="AB310" s="2">
        <f>[2]credits!$Q310-W310</f>
        <v>-2.9999999998835847E-2</v>
      </c>
      <c r="AC310" s="2">
        <f>[2]credits!$S310-X310</f>
        <v>0</v>
      </c>
    </row>
    <row r="311" spans="1:29" ht="15" x14ac:dyDescent="0.25">
      <c r="A311" s="5">
        <v>2397</v>
      </c>
      <c r="B311" s="5">
        <v>1</v>
      </c>
      <c r="C311" s="2" t="s">
        <v>308</v>
      </c>
      <c r="D311" s="3">
        <v>158423.22999999998</v>
      </c>
      <c r="E311" s="3">
        <v>139604.43</v>
      </c>
      <c r="F311" s="171">
        <v>329990.52</v>
      </c>
      <c r="G311" s="171">
        <v>142539.19</v>
      </c>
      <c r="H311" s="171">
        <v>0</v>
      </c>
      <c r="I311" s="171">
        <v>574398.21</v>
      </c>
      <c r="J311" s="172">
        <v>97204.84</v>
      </c>
      <c r="K311" s="171">
        <v>1166682.8799999999</v>
      </c>
      <c r="L311" s="171">
        <v>0</v>
      </c>
      <c r="M311" s="3">
        <v>0</v>
      </c>
      <c r="N311" s="173">
        <v>0</v>
      </c>
      <c r="O311" s="154">
        <f t="shared" si="30"/>
        <v>2310815.6399999997</v>
      </c>
      <c r="P311" s="3">
        <f t="shared" si="31"/>
        <v>1838285.9299999997</v>
      </c>
      <c r="Q311" s="3">
        <f t="shared" si="32"/>
        <v>574398.21</v>
      </c>
      <c r="R311" s="3">
        <f t="shared" si="33"/>
        <v>97204.84</v>
      </c>
      <c r="S311" s="3">
        <f t="shared" si="34"/>
        <v>1166682.8799999999</v>
      </c>
      <c r="T311" s="3">
        <f t="shared" si="35"/>
        <v>0</v>
      </c>
      <c r="U311" s="3">
        <v>0</v>
      </c>
      <c r="V311" s="3">
        <v>0</v>
      </c>
      <c r="W311" s="175">
        <f t="shared" si="36"/>
        <v>88601.07</v>
      </c>
      <c r="X311" s="175">
        <f t="shared" si="36"/>
        <v>0</v>
      </c>
      <c r="Z311" s="2">
        <f>[2]credits!$M311-U311</f>
        <v>43621.36</v>
      </c>
      <c r="AA311" s="2">
        <f>[2]credits!$O311-V311</f>
        <v>7382</v>
      </c>
      <c r="AB311" s="2">
        <f>[2]credits!$Q311-W311</f>
        <v>0</v>
      </c>
      <c r="AC311" s="2">
        <f>[2]credits!$S311-X311</f>
        <v>0</v>
      </c>
    </row>
    <row r="312" spans="1:29" ht="15" x14ac:dyDescent="0.25">
      <c r="A312" s="5">
        <v>2448</v>
      </c>
      <c r="B312" s="5">
        <v>1</v>
      </c>
      <c r="C312" s="2" t="s">
        <v>309</v>
      </c>
      <c r="D312" s="3">
        <v>56295.18</v>
      </c>
      <c r="E312" s="3">
        <v>60775.21</v>
      </c>
      <c r="F312" s="171">
        <v>916612.32</v>
      </c>
      <c r="G312" s="171">
        <v>44901.36</v>
      </c>
      <c r="H312" s="171">
        <v>0</v>
      </c>
      <c r="I312" s="171">
        <v>483019.04</v>
      </c>
      <c r="J312" s="172">
        <v>73055.42</v>
      </c>
      <c r="K312" s="171">
        <v>0</v>
      </c>
      <c r="L312" s="171">
        <v>136408.21</v>
      </c>
      <c r="M312" s="3">
        <v>0</v>
      </c>
      <c r="N312" s="173">
        <v>0</v>
      </c>
      <c r="O312" s="154">
        <f t="shared" si="30"/>
        <v>1653996.3499999999</v>
      </c>
      <c r="P312" s="3">
        <f t="shared" si="31"/>
        <v>692482.66999999993</v>
      </c>
      <c r="Q312" s="3">
        <f t="shared" si="32"/>
        <v>483019.04</v>
      </c>
      <c r="R312" s="3">
        <f t="shared" si="33"/>
        <v>73055.42</v>
      </c>
      <c r="S312" s="3">
        <f t="shared" si="34"/>
        <v>136408.21</v>
      </c>
      <c r="T312" s="3">
        <f t="shared" si="35"/>
        <v>0</v>
      </c>
      <c r="U312" s="3">
        <v>0</v>
      </c>
      <c r="V312" s="3">
        <v>0</v>
      </c>
      <c r="W312" s="175">
        <f t="shared" si="36"/>
        <v>11971.76</v>
      </c>
      <c r="X312" s="175">
        <f t="shared" si="36"/>
        <v>0</v>
      </c>
      <c r="Z312" s="2">
        <f>[2]credits!$M312-U312</f>
        <v>42391.8</v>
      </c>
      <c r="AA312" s="2">
        <f>[2]credits!$O312-V312</f>
        <v>6411.65</v>
      </c>
      <c r="AB312" s="2">
        <f>[2]credits!$Q312-W312</f>
        <v>0</v>
      </c>
      <c r="AC312" s="2">
        <f>[2]credits!$S312-X312</f>
        <v>0</v>
      </c>
    </row>
    <row r="313" spans="1:29" ht="15" x14ac:dyDescent="0.25">
      <c r="A313" s="5">
        <v>2527</v>
      </c>
      <c r="B313" s="5">
        <v>1</v>
      </c>
      <c r="C313" s="2" t="s">
        <v>310</v>
      </c>
      <c r="D313" s="3">
        <v>14985.880000000001</v>
      </c>
      <c r="E313" s="3">
        <v>13568.9</v>
      </c>
      <c r="F313" s="171">
        <v>245309.91</v>
      </c>
      <c r="G313" s="171">
        <v>10011.59</v>
      </c>
      <c r="H313" s="171">
        <v>0</v>
      </c>
      <c r="I313" s="171">
        <v>198230.41</v>
      </c>
      <c r="J313" s="172">
        <v>19136.240000000002</v>
      </c>
      <c r="K313" s="171">
        <v>0</v>
      </c>
      <c r="L313" s="171">
        <v>0</v>
      </c>
      <c r="M313" s="3">
        <v>0</v>
      </c>
      <c r="N313" s="173">
        <v>0</v>
      </c>
      <c r="O313" s="154">
        <f t="shared" si="30"/>
        <v>472688.15</v>
      </c>
      <c r="P313" s="3">
        <f t="shared" si="31"/>
        <v>217366.65</v>
      </c>
      <c r="Q313" s="3">
        <f t="shared" si="32"/>
        <v>198230.41</v>
      </c>
      <c r="R313" s="3">
        <f t="shared" si="33"/>
        <v>19136.240000000002</v>
      </c>
      <c r="S313" s="3">
        <f t="shared" si="34"/>
        <v>0</v>
      </c>
      <c r="T313" s="3">
        <f t="shared" si="35"/>
        <v>0</v>
      </c>
      <c r="U313" s="3">
        <v>0</v>
      </c>
      <c r="V313" s="3">
        <v>0</v>
      </c>
      <c r="W313" s="175">
        <f t="shared" si="36"/>
        <v>0</v>
      </c>
      <c r="X313" s="175">
        <f t="shared" si="36"/>
        <v>0</v>
      </c>
      <c r="Z313" s="2">
        <f>[2]credits!$M313-U313</f>
        <v>12374.34</v>
      </c>
      <c r="AA313" s="2">
        <f>[2]credits!$O313-V313</f>
        <v>1194.56</v>
      </c>
      <c r="AB313" s="2">
        <f>[2]credits!$Q313-W313</f>
        <v>0</v>
      </c>
      <c r="AC313" s="2">
        <f>[2]credits!$S313-X313</f>
        <v>0</v>
      </c>
    </row>
    <row r="314" spans="1:29" ht="15" x14ac:dyDescent="0.25">
      <c r="A314" s="5">
        <v>2534</v>
      </c>
      <c r="B314" s="5">
        <v>1</v>
      </c>
      <c r="C314" s="2" t="s">
        <v>311</v>
      </c>
      <c r="D314" s="3">
        <v>78488.36</v>
      </c>
      <c r="E314" s="3">
        <v>81452.899999999994</v>
      </c>
      <c r="F314" s="171">
        <v>376790.85</v>
      </c>
      <c r="G314" s="171">
        <v>39581.269999999997</v>
      </c>
      <c r="H314" s="171">
        <v>0</v>
      </c>
      <c r="I314" s="171">
        <v>443396.72</v>
      </c>
      <c r="J314" s="172">
        <v>68155.91</v>
      </c>
      <c r="K314" s="171">
        <v>380435.78</v>
      </c>
      <c r="L314" s="171">
        <v>0</v>
      </c>
      <c r="M314" s="3">
        <v>0</v>
      </c>
      <c r="N314" s="173">
        <v>0</v>
      </c>
      <c r="O314" s="154">
        <f t="shared" si="30"/>
        <v>1308360.53</v>
      </c>
      <c r="P314" s="3">
        <f t="shared" si="31"/>
        <v>891988.41</v>
      </c>
      <c r="Q314" s="3">
        <f t="shared" si="32"/>
        <v>443396.72</v>
      </c>
      <c r="R314" s="3">
        <f t="shared" si="33"/>
        <v>68155.91</v>
      </c>
      <c r="S314" s="3">
        <f t="shared" si="34"/>
        <v>380435.78</v>
      </c>
      <c r="T314" s="3">
        <f t="shared" si="35"/>
        <v>0</v>
      </c>
      <c r="U314" s="3">
        <v>0</v>
      </c>
      <c r="V314" s="3">
        <v>0</v>
      </c>
      <c r="W314" s="175">
        <f t="shared" si="36"/>
        <v>34739.910000000003</v>
      </c>
      <c r="X314" s="175">
        <f t="shared" si="36"/>
        <v>0</v>
      </c>
      <c r="Z314" s="2">
        <f>[2]credits!$M314-U314</f>
        <v>40489.26</v>
      </c>
      <c r="AA314" s="2">
        <f>[2]credits!$O314-V314</f>
        <v>6223.73</v>
      </c>
      <c r="AB314" s="2">
        <f>[2]credits!$Q314-W314</f>
        <v>0</v>
      </c>
      <c r="AC314" s="2">
        <f>[2]credits!$S314-X314</f>
        <v>0</v>
      </c>
    </row>
    <row r="315" spans="1:29" ht="15" x14ac:dyDescent="0.25">
      <c r="A315" s="5">
        <v>2536</v>
      </c>
      <c r="B315" s="5">
        <v>1</v>
      </c>
      <c r="C315" s="2" t="s">
        <v>312</v>
      </c>
      <c r="D315" s="3">
        <v>32988.54</v>
      </c>
      <c r="E315" s="3">
        <v>31684.26</v>
      </c>
      <c r="F315" s="171">
        <v>458218.11</v>
      </c>
      <c r="G315" s="171">
        <v>7621.57</v>
      </c>
      <c r="H315" s="171">
        <v>0</v>
      </c>
      <c r="I315" s="171">
        <v>161004.44</v>
      </c>
      <c r="J315" s="172">
        <v>35431.64</v>
      </c>
      <c r="K315" s="171">
        <v>0</v>
      </c>
      <c r="L315" s="171">
        <v>210285.29</v>
      </c>
      <c r="M315" s="3">
        <v>0</v>
      </c>
      <c r="N315" s="173">
        <v>0</v>
      </c>
      <c r="O315" s="154">
        <f t="shared" si="30"/>
        <v>872561.05</v>
      </c>
      <c r="P315" s="3">
        <f t="shared" si="31"/>
        <v>406721.37</v>
      </c>
      <c r="Q315" s="3">
        <f t="shared" si="32"/>
        <v>161004.44</v>
      </c>
      <c r="R315" s="3">
        <f t="shared" si="33"/>
        <v>35431.64</v>
      </c>
      <c r="S315" s="3">
        <f t="shared" si="34"/>
        <v>210285.29</v>
      </c>
      <c r="T315" s="3">
        <f t="shared" si="35"/>
        <v>0</v>
      </c>
      <c r="U315" s="3">
        <v>0</v>
      </c>
      <c r="V315" s="3">
        <v>0</v>
      </c>
      <c r="W315" s="175">
        <f t="shared" si="36"/>
        <v>16381.57</v>
      </c>
      <c r="X315" s="175">
        <f t="shared" si="36"/>
        <v>0</v>
      </c>
      <c r="Z315" s="2">
        <f>[2]credits!$M315-U315</f>
        <v>12542.51</v>
      </c>
      <c r="AA315" s="2">
        <f>[2]credits!$O315-V315</f>
        <v>2760.18</v>
      </c>
      <c r="AB315" s="2">
        <f>[2]credits!$Q315-W315</f>
        <v>0</v>
      </c>
      <c r="AC315" s="2">
        <f>[2]credits!$S315-X315</f>
        <v>0</v>
      </c>
    </row>
    <row r="316" spans="1:29" ht="15" x14ac:dyDescent="0.25">
      <c r="A316" s="5">
        <v>2580</v>
      </c>
      <c r="B316" s="5">
        <v>1</v>
      </c>
      <c r="C316" s="2" t="s">
        <v>313</v>
      </c>
      <c r="D316" s="3">
        <v>183594.94</v>
      </c>
      <c r="E316" s="3">
        <v>178856.88</v>
      </c>
      <c r="F316" s="171">
        <v>77750.13</v>
      </c>
      <c r="G316" s="171">
        <v>104930.84</v>
      </c>
      <c r="H316" s="171">
        <v>0</v>
      </c>
      <c r="I316" s="171">
        <v>224267.76</v>
      </c>
      <c r="J316" s="172">
        <v>82033.64</v>
      </c>
      <c r="K316" s="171">
        <v>1878814.7</v>
      </c>
      <c r="L316" s="171">
        <v>0</v>
      </c>
      <c r="M316" s="3">
        <v>0</v>
      </c>
      <c r="N316" s="173">
        <v>0</v>
      </c>
      <c r="O316" s="154">
        <f t="shared" si="30"/>
        <v>2367797.0699999998</v>
      </c>
      <c r="P316" s="3">
        <f t="shared" si="31"/>
        <v>2185116.1</v>
      </c>
      <c r="Q316" s="3">
        <f t="shared" si="32"/>
        <v>224267.76</v>
      </c>
      <c r="R316" s="3">
        <f t="shared" si="33"/>
        <v>82033.64</v>
      </c>
      <c r="S316" s="3">
        <f t="shared" si="34"/>
        <v>1878814.7</v>
      </c>
      <c r="T316" s="3">
        <f t="shared" si="35"/>
        <v>0</v>
      </c>
      <c r="U316" s="3">
        <v>0</v>
      </c>
      <c r="V316" s="3">
        <v>0</v>
      </c>
      <c r="W316" s="175">
        <f t="shared" si="36"/>
        <v>153785.39000000001</v>
      </c>
      <c r="X316" s="175">
        <f t="shared" si="36"/>
        <v>0</v>
      </c>
      <c r="Z316" s="2">
        <f>[2]credits!$M316-U316</f>
        <v>18356.84</v>
      </c>
      <c r="AA316" s="2">
        <f>[2]credits!$O316-V316</f>
        <v>6714.65</v>
      </c>
      <c r="AB316" s="2">
        <f>[2]credits!$Q316-W316</f>
        <v>0</v>
      </c>
      <c r="AC316" s="2">
        <f>[2]credits!$S316-X316</f>
        <v>0</v>
      </c>
    </row>
    <row r="317" spans="1:29" ht="15" x14ac:dyDescent="0.25">
      <c r="A317" s="5">
        <v>2609</v>
      </c>
      <c r="B317" s="5">
        <v>1</v>
      </c>
      <c r="C317" s="2" t="s">
        <v>314</v>
      </c>
      <c r="D317" s="3">
        <v>61080.709999999992</v>
      </c>
      <c r="E317" s="3">
        <v>60818.91</v>
      </c>
      <c r="F317" s="171">
        <v>265678.09000000003</v>
      </c>
      <c r="G317" s="171">
        <v>29799.56</v>
      </c>
      <c r="H317" s="171">
        <v>0</v>
      </c>
      <c r="I317" s="171">
        <v>191463.56</v>
      </c>
      <c r="J317" s="172">
        <v>1981.08</v>
      </c>
      <c r="K317" s="171">
        <v>539560.86</v>
      </c>
      <c r="L317" s="171">
        <v>0</v>
      </c>
      <c r="M317" s="3">
        <v>0</v>
      </c>
      <c r="N317" s="173">
        <v>0</v>
      </c>
      <c r="O317" s="154">
        <f t="shared" si="30"/>
        <v>1028483.15</v>
      </c>
      <c r="P317" s="3">
        <f t="shared" si="31"/>
        <v>733005.5</v>
      </c>
      <c r="Q317" s="3">
        <f t="shared" si="32"/>
        <v>191463.56</v>
      </c>
      <c r="R317" s="3">
        <f t="shared" si="33"/>
        <v>1981.08</v>
      </c>
      <c r="S317" s="3">
        <f t="shared" si="34"/>
        <v>539560.86</v>
      </c>
      <c r="T317" s="3">
        <f t="shared" si="35"/>
        <v>0</v>
      </c>
      <c r="U317" s="3">
        <v>0</v>
      </c>
      <c r="V317" s="3">
        <v>0</v>
      </c>
      <c r="W317" s="175">
        <f t="shared" si="36"/>
        <v>44768.43</v>
      </c>
      <c r="X317" s="175">
        <f t="shared" si="36"/>
        <v>0</v>
      </c>
      <c r="Z317" s="2">
        <f>[2]credits!$M317-U317</f>
        <v>15886.11</v>
      </c>
      <c r="AA317" s="2">
        <f>[2]credits!$O317-V317</f>
        <v>164.37</v>
      </c>
      <c r="AB317" s="2">
        <f>[2]credits!$Q317-W317</f>
        <v>0</v>
      </c>
      <c r="AC317" s="2">
        <f>[2]credits!$S317-X317</f>
        <v>0</v>
      </c>
    </row>
    <row r="318" spans="1:29" ht="15" x14ac:dyDescent="0.25">
      <c r="A318" s="5">
        <v>2683</v>
      </c>
      <c r="B318" s="5">
        <v>1</v>
      </c>
      <c r="C318" s="2" t="s">
        <v>315</v>
      </c>
      <c r="D318" s="3">
        <v>28435.43</v>
      </c>
      <c r="E318" s="3">
        <v>41684.11</v>
      </c>
      <c r="F318" s="171">
        <v>103757</v>
      </c>
      <c r="G318" s="171">
        <v>18553</v>
      </c>
      <c r="H318" s="171">
        <v>0</v>
      </c>
      <c r="I318" s="171">
        <v>151697</v>
      </c>
      <c r="J318" s="172">
        <v>25340</v>
      </c>
      <c r="K318" s="171">
        <v>0</v>
      </c>
      <c r="L318" s="171">
        <v>62355</v>
      </c>
      <c r="M318" s="3">
        <v>0</v>
      </c>
      <c r="N318" s="173">
        <v>0</v>
      </c>
      <c r="O318" s="154">
        <f t="shared" si="30"/>
        <v>361702</v>
      </c>
      <c r="P318" s="3">
        <f t="shared" si="31"/>
        <v>239392</v>
      </c>
      <c r="Q318" s="3">
        <f t="shared" si="32"/>
        <v>151697</v>
      </c>
      <c r="R318" s="3">
        <f t="shared" si="33"/>
        <v>25340</v>
      </c>
      <c r="S318" s="3">
        <f t="shared" si="34"/>
        <v>62355</v>
      </c>
      <c r="T318" s="3">
        <f t="shared" si="35"/>
        <v>0</v>
      </c>
      <c r="U318" s="3">
        <v>0</v>
      </c>
      <c r="V318" s="3">
        <v>0</v>
      </c>
      <c r="W318" s="175">
        <f t="shared" si="36"/>
        <v>10857.56</v>
      </c>
      <c r="X318" s="175">
        <f t="shared" si="36"/>
        <v>0</v>
      </c>
      <c r="Z318" s="2">
        <f>[2]credits!$M318-U318</f>
        <v>26414.16</v>
      </c>
      <c r="AA318" s="2">
        <f>[2]credits!$O318-V318</f>
        <v>4412.3900000000003</v>
      </c>
      <c r="AB318" s="2">
        <f>[2]credits!$Q318-W318</f>
        <v>1.0000000000218279E-2</v>
      </c>
      <c r="AC318" s="2">
        <f>[2]credits!$S318-X318</f>
        <v>0</v>
      </c>
    </row>
    <row r="319" spans="1:29" ht="15" x14ac:dyDescent="0.25">
      <c r="A319" s="5">
        <v>2687</v>
      </c>
      <c r="B319" s="5">
        <v>1</v>
      </c>
      <c r="C319" s="2" t="s">
        <v>316</v>
      </c>
      <c r="D319" s="3">
        <v>179747.55000000002</v>
      </c>
      <c r="E319" s="3">
        <v>197064.77</v>
      </c>
      <c r="F319" s="171">
        <v>835514.1</v>
      </c>
      <c r="G319" s="171">
        <v>113612.63</v>
      </c>
      <c r="H319" s="171">
        <v>0</v>
      </c>
      <c r="I319" s="171">
        <v>387271.24</v>
      </c>
      <c r="J319" s="172">
        <v>109886.33</v>
      </c>
      <c r="K319" s="171">
        <v>1926471.4</v>
      </c>
      <c r="L319" s="171">
        <v>0</v>
      </c>
      <c r="M319" s="3">
        <v>0</v>
      </c>
      <c r="N319" s="173">
        <v>0</v>
      </c>
      <c r="O319" s="154">
        <f t="shared" si="30"/>
        <v>3372755.7</v>
      </c>
      <c r="P319" s="3">
        <f t="shared" si="31"/>
        <v>2423628.9699999997</v>
      </c>
      <c r="Q319" s="3">
        <f t="shared" si="32"/>
        <v>387271.24</v>
      </c>
      <c r="R319" s="3">
        <f t="shared" si="33"/>
        <v>109886.33</v>
      </c>
      <c r="S319" s="3">
        <f t="shared" si="34"/>
        <v>1926471.4</v>
      </c>
      <c r="T319" s="3">
        <f t="shared" si="35"/>
        <v>0</v>
      </c>
      <c r="U319" s="3">
        <v>0</v>
      </c>
      <c r="V319" s="3">
        <v>0</v>
      </c>
      <c r="W319" s="175">
        <f t="shared" si="36"/>
        <v>156640.99</v>
      </c>
      <c r="X319" s="175">
        <f t="shared" si="36"/>
        <v>0</v>
      </c>
      <c r="Z319" s="2">
        <f>[2]credits!$M319-U319</f>
        <v>31488.94</v>
      </c>
      <c r="AA319" s="2">
        <f>[2]credits!$O319-V319</f>
        <v>8934.83</v>
      </c>
      <c r="AB319" s="2">
        <f>[2]credits!$Q319-W319</f>
        <v>0</v>
      </c>
      <c r="AC319" s="2">
        <f>[2]credits!$S319-X319</f>
        <v>0</v>
      </c>
    </row>
    <row r="320" spans="1:29" ht="15" x14ac:dyDescent="0.25">
      <c r="A320" s="5">
        <v>2689</v>
      </c>
      <c r="B320" s="5">
        <v>1</v>
      </c>
      <c r="C320" s="2" t="s">
        <v>317</v>
      </c>
      <c r="D320" s="3">
        <v>208769</v>
      </c>
      <c r="E320" s="3">
        <v>202471.59</v>
      </c>
      <c r="F320" s="171">
        <v>776075.25</v>
      </c>
      <c r="G320" s="171">
        <v>52281.61</v>
      </c>
      <c r="H320" s="171">
        <v>0</v>
      </c>
      <c r="I320" s="171">
        <v>408815.08</v>
      </c>
      <c r="J320" s="172">
        <v>91285.95</v>
      </c>
      <c r="K320" s="171">
        <v>1639616.31</v>
      </c>
      <c r="L320" s="171">
        <v>0</v>
      </c>
      <c r="M320" s="3">
        <v>0</v>
      </c>
      <c r="N320" s="173">
        <v>0</v>
      </c>
      <c r="O320" s="154">
        <f t="shared" si="30"/>
        <v>2968074.2</v>
      </c>
      <c r="P320" s="3">
        <f t="shared" si="31"/>
        <v>2139717.34</v>
      </c>
      <c r="Q320" s="3">
        <f t="shared" si="32"/>
        <v>408815.08</v>
      </c>
      <c r="R320" s="3">
        <f t="shared" si="33"/>
        <v>91285.95</v>
      </c>
      <c r="S320" s="3">
        <f t="shared" si="34"/>
        <v>1639616.31</v>
      </c>
      <c r="T320" s="3">
        <f t="shared" si="35"/>
        <v>0</v>
      </c>
      <c r="U320" s="3">
        <v>0</v>
      </c>
      <c r="V320" s="3">
        <v>0</v>
      </c>
      <c r="W320" s="175">
        <f t="shared" si="36"/>
        <v>155149.32999999999</v>
      </c>
      <c r="X320" s="175">
        <f t="shared" si="36"/>
        <v>0</v>
      </c>
      <c r="Z320" s="2">
        <f>[2]credits!$M320-U320</f>
        <v>38684.29</v>
      </c>
      <c r="AA320" s="2">
        <f>[2]credits!$O320-V320</f>
        <v>8637.9699999999993</v>
      </c>
      <c r="AB320" s="2">
        <f>[2]credits!$Q320-W320</f>
        <v>0</v>
      </c>
      <c r="AC320" s="2">
        <f>[2]credits!$S320-X320</f>
        <v>0</v>
      </c>
    </row>
    <row r="321" spans="1:29" ht="15" x14ac:dyDescent="0.25">
      <c r="A321" s="5">
        <v>2711</v>
      </c>
      <c r="B321" s="5">
        <v>1</v>
      </c>
      <c r="C321" s="2" t="s">
        <v>318</v>
      </c>
      <c r="D321" s="3">
        <v>507385.1</v>
      </c>
      <c r="E321" s="3">
        <v>349949.81</v>
      </c>
      <c r="F321" s="171">
        <v>0</v>
      </c>
      <c r="G321" s="171">
        <v>112476.49</v>
      </c>
      <c r="H321" s="171">
        <v>0</v>
      </c>
      <c r="I321" s="171">
        <v>502922.31</v>
      </c>
      <c r="J321" s="172">
        <v>0</v>
      </c>
      <c r="K321" s="171">
        <v>250490.04</v>
      </c>
      <c r="L321" s="171">
        <v>0</v>
      </c>
      <c r="M321" s="3">
        <v>0</v>
      </c>
      <c r="N321" s="173">
        <v>1320929</v>
      </c>
      <c r="O321" s="154">
        <f t="shared" si="30"/>
        <v>2186817.84</v>
      </c>
      <c r="P321" s="3">
        <f t="shared" si="31"/>
        <v>2074341.35</v>
      </c>
      <c r="Q321" s="3">
        <f t="shared" si="32"/>
        <v>502922.31</v>
      </c>
      <c r="R321" s="3">
        <f t="shared" si="33"/>
        <v>0</v>
      </c>
      <c r="S321" s="3">
        <f t="shared" si="34"/>
        <v>250490.04</v>
      </c>
      <c r="T321" s="3">
        <f t="shared" si="35"/>
        <v>1320929</v>
      </c>
      <c r="U321" s="3">
        <v>0</v>
      </c>
      <c r="V321" s="3">
        <v>0</v>
      </c>
      <c r="W321" s="175">
        <f>IF($P321=0,0,ROUND(S321/$P321*$E321,2))+19951.85</f>
        <v>62210.54</v>
      </c>
      <c r="X321" s="175">
        <f>IF($P321=0,0,ROUND(T321/$P321*$E321,2))+105209.1</f>
        <v>328055.19</v>
      </c>
      <c r="Z321" s="2">
        <f>[2]credits!$M321-U321</f>
        <v>126901.60999999999</v>
      </c>
      <c r="AA321" s="2">
        <f>[2]credits!$O321-V321</f>
        <v>0</v>
      </c>
      <c r="AB321" s="2">
        <f>[2]credits!$Q321-W321</f>
        <v>0</v>
      </c>
      <c r="AC321" s="2">
        <f>[2]credits!$S321-X321</f>
        <v>0</v>
      </c>
    </row>
    <row r="322" spans="1:29" ht="15" x14ac:dyDescent="0.25">
      <c r="A322" s="5">
        <v>2752</v>
      </c>
      <c r="B322" s="5">
        <v>1</v>
      </c>
      <c r="C322" s="2" t="s">
        <v>319</v>
      </c>
      <c r="D322" s="3">
        <v>299822.03999999998</v>
      </c>
      <c r="E322" s="3">
        <v>325078.77</v>
      </c>
      <c r="F322" s="171">
        <v>732588.02</v>
      </c>
      <c r="G322" s="171">
        <v>207404.98</v>
      </c>
      <c r="H322" s="171">
        <v>0</v>
      </c>
      <c r="I322" s="171">
        <v>1256715.81</v>
      </c>
      <c r="J322" s="172">
        <v>145133.54999999999</v>
      </c>
      <c r="K322" s="171">
        <v>1715351.62</v>
      </c>
      <c r="L322" s="171">
        <v>625342.18000000005</v>
      </c>
      <c r="M322" s="3">
        <v>0</v>
      </c>
      <c r="N322" s="173">
        <v>0</v>
      </c>
      <c r="O322" s="154">
        <f t="shared" si="30"/>
        <v>4682536.16</v>
      </c>
      <c r="P322" s="3">
        <f t="shared" si="31"/>
        <v>3742543.1600000006</v>
      </c>
      <c r="Q322" s="3">
        <f t="shared" si="32"/>
        <v>1256715.81</v>
      </c>
      <c r="R322" s="3">
        <f t="shared" si="33"/>
        <v>145133.54999999999</v>
      </c>
      <c r="S322" s="3">
        <f t="shared" si="34"/>
        <v>2340693.8000000003</v>
      </c>
      <c r="T322" s="3">
        <f t="shared" si="35"/>
        <v>0</v>
      </c>
      <c r="U322" s="3">
        <v>0</v>
      </c>
      <c r="V322" s="3">
        <v>0</v>
      </c>
      <c r="W322" s="175">
        <f t="shared" si="36"/>
        <v>203313.58</v>
      </c>
      <c r="X322" s="175">
        <f t="shared" si="36"/>
        <v>0</v>
      </c>
      <c r="Z322" s="2">
        <f>[2]credits!$M322-U322</f>
        <v>109158.83</v>
      </c>
      <c r="AA322" s="2">
        <f>[2]credits!$O322-V322</f>
        <v>12606.36</v>
      </c>
      <c r="AB322" s="2">
        <f>[2]credits!$Q322-W322</f>
        <v>0</v>
      </c>
      <c r="AC322" s="2">
        <f>[2]credits!$S322-X322</f>
        <v>0</v>
      </c>
    </row>
    <row r="323" spans="1:29" ht="15" x14ac:dyDescent="0.25">
      <c r="A323" s="5">
        <v>2753</v>
      </c>
      <c r="B323" s="5">
        <v>1</v>
      </c>
      <c r="C323" s="2" t="s">
        <v>320</v>
      </c>
      <c r="D323" s="3">
        <v>209585.77000000002</v>
      </c>
      <c r="E323" s="3">
        <v>195615.28</v>
      </c>
      <c r="F323" s="171">
        <v>588043.82999999996</v>
      </c>
      <c r="G323" s="171">
        <v>39938.49</v>
      </c>
      <c r="H323" s="171">
        <v>0</v>
      </c>
      <c r="I323" s="171">
        <v>563716.51</v>
      </c>
      <c r="J323" s="172">
        <v>81507.34</v>
      </c>
      <c r="K323" s="171">
        <v>1127513.58</v>
      </c>
      <c r="L323" s="171">
        <v>0</v>
      </c>
      <c r="M323" s="3">
        <v>0</v>
      </c>
      <c r="N323" s="173">
        <v>0</v>
      </c>
      <c r="O323" s="154">
        <f t="shared" si="30"/>
        <v>2400719.75</v>
      </c>
      <c r="P323" s="3">
        <f t="shared" si="31"/>
        <v>1772737.4300000002</v>
      </c>
      <c r="Q323" s="3">
        <f t="shared" si="32"/>
        <v>563716.51</v>
      </c>
      <c r="R323" s="3">
        <f t="shared" si="33"/>
        <v>81507.34</v>
      </c>
      <c r="S323" s="3">
        <f t="shared" si="34"/>
        <v>1127513.58</v>
      </c>
      <c r="T323" s="3">
        <f t="shared" si="35"/>
        <v>0</v>
      </c>
      <c r="U323" s="3">
        <v>0</v>
      </c>
      <c r="V323" s="3">
        <v>0</v>
      </c>
      <c r="W323" s="175">
        <f t="shared" si="36"/>
        <v>124417.12</v>
      </c>
      <c r="X323" s="175">
        <f t="shared" si="36"/>
        <v>0</v>
      </c>
      <c r="Z323" s="2">
        <f>[2]credits!$M323-U323</f>
        <v>62204.11</v>
      </c>
      <c r="AA323" s="2">
        <f>[2]credits!$O323-V323</f>
        <v>8994.0499999999993</v>
      </c>
      <c r="AB323" s="2">
        <f>[2]credits!$Q323-W323</f>
        <v>0</v>
      </c>
      <c r="AC323" s="2">
        <f>[2]credits!$S323-X323</f>
        <v>0</v>
      </c>
    </row>
    <row r="324" spans="1:29" ht="15" x14ac:dyDescent="0.25">
      <c r="A324" s="5">
        <v>2754</v>
      </c>
      <c r="B324" s="5">
        <v>1</v>
      </c>
      <c r="C324" s="2" t="s">
        <v>321</v>
      </c>
      <c r="D324" s="3">
        <v>54530.81</v>
      </c>
      <c r="E324" s="3">
        <v>51392.08</v>
      </c>
      <c r="F324" s="171">
        <v>125588</v>
      </c>
      <c r="G324" s="171">
        <v>26422</v>
      </c>
      <c r="H324" s="171">
        <v>0</v>
      </c>
      <c r="I324" s="171">
        <v>216357</v>
      </c>
      <c r="J324" s="172">
        <v>42923</v>
      </c>
      <c r="K324" s="171">
        <v>206372</v>
      </c>
      <c r="L324" s="171">
        <v>0</v>
      </c>
      <c r="M324" s="3">
        <v>0</v>
      </c>
      <c r="N324" s="173">
        <v>0</v>
      </c>
      <c r="O324" s="154">
        <f t="shared" si="30"/>
        <v>617662</v>
      </c>
      <c r="P324" s="3">
        <f t="shared" si="31"/>
        <v>465652</v>
      </c>
      <c r="Q324" s="3">
        <f t="shared" si="32"/>
        <v>216357</v>
      </c>
      <c r="R324" s="3">
        <f t="shared" si="33"/>
        <v>42923</v>
      </c>
      <c r="S324" s="3">
        <f t="shared" si="34"/>
        <v>206372</v>
      </c>
      <c r="T324" s="3">
        <f t="shared" si="35"/>
        <v>0</v>
      </c>
      <c r="U324" s="3">
        <v>0</v>
      </c>
      <c r="V324" s="3">
        <v>0</v>
      </c>
      <c r="W324" s="175">
        <f t="shared" si="36"/>
        <v>22776.42</v>
      </c>
      <c r="X324" s="175">
        <f t="shared" si="36"/>
        <v>0</v>
      </c>
      <c r="Z324" s="2">
        <f>[2]credits!$M324-U324</f>
        <v>23878.42</v>
      </c>
      <c r="AA324" s="2">
        <f>[2]credits!$O324-V324</f>
        <v>4737.28</v>
      </c>
      <c r="AB324" s="2">
        <f>[2]credits!$Q324-W324</f>
        <v>-3.9999999997235136E-2</v>
      </c>
      <c r="AC324" s="2">
        <f>[2]credits!$S324-X324</f>
        <v>0</v>
      </c>
    </row>
    <row r="325" spans="1:29" ht="15" x14ac:dyDescent="0.25">
      <c r="A325" s="5">
        <v>2759</v>
      </c>
      <c r="B325" s="5">
        <v>1</v>
      </c>
      <c r="C325" s="2" t="s">
        <v>322</v>
      </c>
      <c r="D325" s="3">
        <v>66663.61</v>
      </c>
      <c r="E325" s="3">
        <v>52181.5</v>
      </c>
      <c r="F325" s="171">
        <v>176498</v>
      </c>
      <c r="G325" s="171">
        <v>12792</v>
      </c>
      <c r="H325" s="171">
        <v>0</v>
      </c>
      <c r="I325" s="171">
        <v>141904</v>
      </c>
      <c r="J325" s="172">
        <v>23015</v>
      </c>
      <c r="K325" s="171">
        <v>19666</v>
      </c>
      <c r="L325" s="171">
        <v>0</v>
      </c>
      <c r="M325" s="3">
        <v>0</v>
      </c>
      <c r="N325" s="173">
        <v>0</v>
      </c>
      <c r="O325" s="154">
        <f t="shared" si="30"/>
        <v>373875</v>
      </c>
      <c r="P325" s="3">
        <f t="shared" si="31"/>
        <v>184585</v>
      </c>
      <c r="Q325" s="3">
        <f t="shared" si="32"/>
        <v>141904</v>
      </c>
      <c r="R325" s="3">
        <f t="shared" si="33"/>
        <v>23015</v>
      </c>
      <c r="S325" s="3">
        <f t="shared" si="34"/>
        <v>19666</v>
      </c>
      <c r="T325" s="3">
        <f t="shared" si="35"/>
        <v>0</v>
      </c>
      <c r="U325" s="3">
        <v>0</v>
      </c>
      <c r="V325" s="3">
        <v>0</v>
      </c>
      <c r="W325" s="175">
        <f t="shared" si="36"/>
        <v>5559.51</v>
      </c>
      <c r="X325" s="175">
        <f t="shared" si="36"/>
        <v>0</v>
      </c>
      <c r="Y325" s="175">
        <f>SUM(U325:X325)</f>
        <v>5559.51</v>
      </c>
      <c r="Z325" s="2">
        <f>[2]credits!$M325-U325</f>
        <v>36714.89</v>
      </c>
      <c r="AA325" s="2">
        <f>[2]credits!$O325-V325</f>
        <v>5954.69</v>
      </c>
      <c r="AB325" s="2">
        <f>[2]credits!$Q325-W325</f>
        <v>3952.42</v>
      </c>
      <c r="AC325" s="2">
        <f>[2]credits!$S325-X325</f>
        <v>0</v>
      </c>
    </row>
    <row r="326" spans="1:29" ht="15" x14ac:dyDescent="0.25">
      <c r="A326" s="5">
        <v>2805</v>
      </c>
      <c r="B326" s="5">
        <v>1</v>
      </c>
      <c r="C326" s="2" t="s">
        <v>323</v>
      </c>
      <c r="D326" s="3">
        <v>107368.76999999999</v>
      </c>
      <c r="E326" s="3">
        <v>118210.22</v>
      </c>
      <c r="F326" s="171">
        <v>1061566</v>
      </c>
      <c r="G326" s="171">
        <v>102121</v>
      </c>
      <c r="H326" s="171">
        <v>0</v>
      </c>
      <c r="I326" s="171">
        <v>431455</v>
      </c>
      <c r="J326" s="172">
        <v>130369</v>
      </c>
      <c r="K326" s="171">
        <v>351793</v>
      </c>
      <c r="L326" s="171">
        <v>369276</v>
      </c>
      <c r="M326" s="3">
        <v>0</v>
      </c>
      <c r="N326" s="173">
        <v>0</v>
      </c>
      <c r="O326" s="154">
        <f t="shared" si="30"/>
        <v>2446580</v>
      </c>
      <c r="P326" s="3">
        <f t="shared" si="31"/>
        <v>1282893</v>
      </c>
      <c r="Q326" s="3">
        <f t="shared" si="32"/>
        <v>431455</v>
      </c>
      <c r="R326" s="3">
        <f t="shared" si="33"/>
        <v>130369</v>
      </c>
      <c r="S326" s="3">
        <f t="shared" si="34"/>
        <v>721069</v>
      </c>
      <c r="T326" s="3">
        <f t="shared" si="35"/>
        <v>0</v>
      </c>
      <c r="U326" s="3">
        <v>0</v>
      </c>
      <c r="V326" s="3">
        <v>0</v>
      </c>
      <c r="W326" s="175">
        <f t="shared" si="36"/>
        <v>66441.8</v>
      </c>
      <c r="X326" s="175">
        <f t="shared" si="36"/>
        <v>0</v>
      </c>
      <c r="Z326" s="2">
        <f>[2]credits!$M326-U326</f>
        <v>39755.760000000002</v>
      </c>
      <c r="AA326" s="2">
        <f>[2]credits!$O326-V326</f>
        <v>12012.68</v>
      </c>
      <c r="AB326" s="2">
        <f>[2]credits!$Q326-W326</f>
        <v>-1.0000000009313226E-2</v>
      </c>
      <c r="AC326" s="2">
        <f>[2]credits!$S326-X326</f>
        <v>0</v>
      </c>
    </row>
    <row r="327" spans="1:29" ht="15" x14ac:dyDescent="0.25">
      <c r="A327" s="5">
        <v>2835</v>
      </c>
      <c r="B327" s="5">
        <v>1</v>
      </c>
      <c r="C327" s="2" t="s">
        <v>324</v>
      </c>
      <c r="D327" s="3">
        <v>97481.68</v>
      </c>
      <c r="E327" s="3">
        <v>93960.16</v>
      </c>
      <c r="F327" s="171">
        <v>294118</v>
      </c>
      <c r="G327" s="171">
        <v>50427</v>
      </c>
      <c r="H327" s="171">
        <v>0</v>
      </c>
      <c r="I327" s="171">
        <v>198385</v>
      </c>
      <c r="J327" s="172">
        <v>60895</v>
      </c>
      <c r="K327" s="171">
        <v>814812</v>
      </c>
      <c r="L327" s="171">
        <v>0</v>
      </c>
      <c r="M327" s="3">
        <v>0</v>
      </c>
      <c r="N327" s="173">
        <v>0</v>
      </c>
      <c r="O327" s="154">
        <f t="shared" si="30"/>
        <v>1418637</v>
      </c>
      <c r="P327" s="3">
        <f t="shared" si="31"/>
        <v>1074092</v>
      </c>
      <c r="Q327" s="3">
        <f t="shared" si="32"/>
        <v>198385</v>
      </c>
      <c r="R327" s="3">
        <f t="shared" si="33"/>
        <v>60895</v>
      </c>
      <c r="S327" s="3">
        <f t="shared" si="34"/>
        <v>814812</v>
      </c>
      <c r="T327" s="3">
        <f t="shared" si="35"/>
        <v>0</v>
      </c>
      <c r="U327" s="3">
        <v>0</v>
      </c>
      <c r="V327" s="3">
        <v>0</v>
      </c>
      <c r="W327" s="175">
        <f t="shared" si="36"/>
        <v>71278.69</v>
      </c>
      <c r="X327" s="175">
        <f t="shared" si="36"/>
        <v>0</v>
      </c>
      <c r="Z327" s="2">
        <f>[2]credits!$M327-U327</f>
        <v>17354.490000000002</v>
      </c>
      <c r="AA327" s="2">
        <f>[2]credits!$O327-V327</f>
        <v>5327.02</v>
      </c>
      <c r="AB327" s="2">
        <f>[2]credits!$Q327-W327</f>
        <v>-4.0000000008149073E-2</v>
      </c>
      <c r="AC327" s="2">
        <f>[2]credits!$S327-X327</f>
        <v>0</v>
      </c>
    </row>
    <row r="328" spans="1:29" ht="15" x14ac:dyDescent="0.25">
      <c r="A328" s="5">
        <v>2853</v>
      </c>
      <c r="B328" s="5">
        <v>1</v>
      </c>
      <c r="C328" s="2" t="s">
        <v>325</v>
      </c>
      <c r="D328" s="3">
        <v>104160.71</v>
      </c>
      <c r="E328" s="3">
        <v>103019.9</v>
      </c>
      <c r="F328" s="171">
        <v>766712.63</v>
      </c>
      <c r="G328" s="171">
        <v>44532.639999999999</v>
      </c>
      <c r="H328" s="171">
        <v>0</v>
      </c>
      <c r="I328" s="171">
        <v>460280.8</v>
      </c>
      <c r="J328" s="172">
        <v>123396.2</v>
      </c>
      <c r="K328" s="171">
        <v>0</v>
      </c>
      <c r="L328" s="171">
        <v>0</v>
      </c>
      <c r="M328" s="3">
        <v>0</v>
      </c>
      <c r="N328" s="173">
        <v>176555</v>
      </c>
      <c r="O328" s="154">
        <f t="shared" si="30"/>
        <v>1571477.27</v>
      </c>
      <c r="P328" s="3">
        <f t="shared" si="31"/>
        <v>760232</v>
      </c>
      <c r="Q328" s="3">
        <f t="shared" si="32"/>
        <v>460280.8</v>
      </c>
      <c r="R328" s="3">
        <f t="shared" si="33"/>
        <v>123396.2</v>
      </c>
      <c r="S328" s="3">
        <f t="shared" si="34"/>
        <v>0</v>
      </c>
      <c r="T328" s="3">
        <f t="shared" si="35"/>
        <v>176555</v>
      </c>
      <c r="U328" s="3">
        <v>0</v>
      </c>
      <c r="V328" s="3">
        <v>0</v>
      </c>
      <c r="W328" s="175">
        <f t="shared" si="36"/>
        <v>0</v>
      </c>
      <c r="X328" s="175">
        <f t="shared" si="36"/>
        <v>23925.17</v>
      </c>
      <c r="Z328" s="2">
        <f>[2]credits!$M328-U328</f>
        <v>62373.17</v>
      </c>
      <c r="AA328" s="2">
        <f>[2]credits!$O328-V328</f>
        <v>16721.560000000001</v>
      </c>
      <c r="AB328" s="2">
        <f>[2]credits!$Q328-W328</f>
        <v>0</v>
      </c>
      <c r="AC328" s="2">
        <f>[2]credits!$S328-X328</f>
        <v>0</v>
      </c>
    </row>
    <row r="329" spans="1:29" ht="15" x14ac:dyDescent="0.25">
      <c r="A329" s="5">
        <v>2854</v>
      </c>
      <c r="B329" s="5">
        <v>1</v>
      </c>
      <c r="C329" s="2" t="s">
        <v>326</v>
      </c>
      <c r="D329" s="3">
        <v>18199.600000000002</v>
      </c>
      <c r="E329" s="3">
        <v>19550.620000000003</v>
      </c>
      <c r="F329" s="171">
        <v>172014.71</v>
      </c>
      <c r="G329" s="171">
        <v>28697.85</v>
      </c>
      <c r="H329" s="171">
        <v>0</v>
      </c>
      <c r="I329" s="171">
        <v>138153.63</v>
      </c>
      <c r="J329" s="172">
        <v>32806.58</v>
      </c>
      <c r="K329" s="171">
        <v>0</v>
      </c>
      <c r="L329" s="171">
        <v>0</v>
      </c>
      <c r="M329" s="3">
        <v>0</v>
      </c>
      <c r="N329" s="173">
        <v>0</v>
      </c>
      <c r="O329" s="154">
        <f t="shared" ref="O329:O344" si="37">SUM(F329:N329)</f>
        <v>371672.77</v>
      </c>
      <c r="P329" s="3">
        <f t="shared" ref="P329:P344" si="38">SUM(H329:N329)</f>
        <v>170960.21000000002</v>
      </c>
      <c r="Q329" s="3">
        <f t="shared" ref="Q329:Q344" si="39">SUM(H329:I329)</f>
        <v>138153.63</v>
      </c>
      <c r="R329" s="3">
        <f t="shared" ref="R329:R344" si="40">J329</f>
        <v>32806.58</v>
      </c>
      <c r="S329" s="3">
        <f t="shared" ref="S329:S344" si="41">K329+L329</f>
        <v>0</v>
      </c>
      <c r="T329" s="3">
        <f t="shared" ref="T329:T344" si="42">N329+M329</f>
        <v>0</v>
      </c>
      <c r="U329" s="3">
        <v>0</v>
      </c>
      <c r="V329" s="3">
        <v>0</v>
      </c>
      <c r="W329" s="175">
        <f t="shared" si="36"/>
        <v>0</v>
      </c>
      <c r="X329" s="175">
        <f t="shared" si="36"/>
        <v>0</v>
      </c>
      <c r="Z329" s="2">
        <f>[2]credits!$M329-U329</f>
        <v>15798.93</v>
      </c>
      <c r="AA329" s="2">
        <f>[2]credits!$O329-V329</f>
        <v>3751.69</v>
      </c>
      <c r="AB329" s="2">
        <f>[2]credits!$Q329-W329</f>
        <v>0</v>
      </c>
      <c r="AC329" s="2">
        <f>[2]credits!$S329-X329</f>
        <v>0</v>
      </c>
    </row>
    <row r="330" spans="1:29" ht="15" x14ac:dyDescent="0.25">
      <c r="A330" s="5">
        <v>2856</v>
      </c>
      <c r="B330" s="5">
        <v>1</v>
      </c>
      <c r="C330" s="2" t="s">
        <v>327</v>
      </c>
      <c r="D330" s="3">
        <v>20317.54</v>
      </c>
      <c r="E330" s="3">
        <v>15672.67</v>
      </c>
      <c r="F330" s="171">
        <v>214836</v>
      </c>
      <c r="G330" s="171">
        <v>16224</v>
      </c>
      <c r="H330" s="171">
        <v>0</v>
      </c>
      <c r="I330" s="171">
        <v>211739</v>
      </c>
      <c r="J330" s="172">
        <v>47279</v>
      </c>
      <c r="K330" s="171">
        <v>0</v>
      </c>
      <c r="L330" s="171">
        <v>0</v>
      </c>
      <c r="M330" s="3">
        <v>0</v>
      </c>
      <c r="N330" s="173">
        <v>0</v>
      </c>
      <c r="O330" s="154">
        <f t="shared" si="37"/>
        <v>490078</v>
      </c>
      <c r="P330" s="3">
        <f t="shared" si="38"/>
        <v>259018</v>
      </c>
      <c r="Q330" s="3">
        <f t="shared" si="39"/>
        <v>211739</v>
      </c>
      <c r="R330" s="3">
        <f t="shared" si="40"/>
        <v>47279</v>
      </c>
      <c r="S330" s="3">
        <f t="shared" si="41"/>
        <v>0</v>
      </c>
      <c r="T330" s="3">
        <f t="shared" si="42"/>
        <v>0</v>
      </c>
      <c r="U330" s="3">
        <v>0</v>
      </c>
      <c r="V330" s="3">
        <v>0</v>
      </c>
      <c r="W330" s="175">
        <f t="shared" ref="W330:X344" si="43">IF($P330=0,0,ROUND(S330/$P330*$E330,2))</f>
        <v>0</v>
      </c>
      <c r="X330" s="175">
        <f t="shared" si="43"/>
        <v>0</v>
      </c>
      <c r="Z330" s="2">
        <f>[2]credits!$M330-U330</f>
        <v>12811.93</v>
      </c>
      <c r="AA330" s="2">
        <f>[2]credits!$O330-V330</f>
        <v>2860.74</v>
      </c>
      <c r="AB330" s="2">
        <f>[2]credits!$Q330-W330</f>
        <v>0</v>
      </c>
      <c r="AC330" s="2">
        <f>[2]credits!$S330-X330</f>
        <v>0</v>
      </c>
    </row>
    <row r="331" spans="1:29" ht="15" x14ac:dyDescent="0.25">
      <c r="A331" s="5">
        <v>2859</v>
      </c>
      <c r="B331" s="5">
        <v>1</v>
      </c>
      <c r="C331" s="2" t="s">
        <v>328</v>
      </c>
      <c r="D331" s="3">
        <v>115927.37</v>
      </c>
      <c r="E331" s="3">
        <v>114335.99</v>
      </c>
      <c r="F331" s="171">
        <v>1203630.82</v>
      </c>
      <c r="G331" s="171">
        <v>189313.95</v>
      </c>
      <c r="H331" s="171">
        <v>0</v>
      </c>
      <c r="I331" s="171">
        <v>559255.1</v>
      </c>
      <c r="J331" s="172">
        <v>168532.08</v>
      </c>
      <c r="K331" s="171">
        <v>0</v>
      </c>
      <c r="L331" s="171">
        <v>226797.97</v>
      </c>
      <c r="M331" s="3">
        <v>0</v>
      </c>
      <c r="N331" s="173">
        <v>0</v>
      </c>
      <c r="O331" s="154">
        <f t="shared" si="37"/>
        <v>2347529.9200000004</v>
      </c>
      <c r="P331" s="3">
        <f t="shared" si="38"/>
        <v>954585.14999999991</v>
      </c>
      <c r="Q331" s="3">
        <f t="shared" si="39"/>
        <v>559255.1</v>
      </c>
      <c r="R331" s="3">
        <f t="shared" si="40"/>
        <v>168532.08</v>
      </c>
      <c r="S331" s="3">
        <f t="shared" si="41"/>
        <v>226797.97</v>
      </c>
      <c r="T331" s="3">
        <f t="shared" si="42"/>
        <v>0</v>
      </c>
      <c r="U331" s="3">
        <v>0</v>
      </c>
      <c r="V331" s="3">
        <v>0</v>
      </c>
      <c r="W331" s="175">
        <f t="shared" si="43"/>
        <v>27164.86</v>
      </c>
      <c r="X331" s="175">
        <f t="shared" si="43"/>
        <v>0</v>
      </c>
      <c r="Z331" s="2">
        <f>[2]credits!$M331-U331</f>
        <v>66985.100000000006</v>
      </c>
      <c r="AA331" s="2">
        <f>[2]credits!$O331-V331</f>
        <v>20186.03</v>
      </c>
      <c r="AB331" s="2">
        <f>[2]credits!$Q331-W331</f>
        <v>0</v>
      </c>
      <c r="AC331" s="2">
        <f>[2]credits!$S331-X331</f>
        <v>0</v>
      </c>
    </row>
    <row r="332" spans="1:29" ht="15" x14ac:dyDescent="0.25">
      <c r="A332" s="5">
        <v>2860</v>
      </c>
      <c r="B332" s="5">
        <v>1</v>
      </c>
      <c r="C332" s="2" t="s">
        <v>329</v>
      </c>
      <c r="D332" s="3">
        <v>134472.23000000001</v>
      </c>
      <c r="E332" s="3">
        <v>134715.73000000001</v>
      </c>
      <c r="F332" s="171">
        <v>473965.62</v>
      </c>
      <c r="G332" s="171">
        <v>75468.91</v>
      </c>
      <c r="H332" s="171">
        <v>0</v>
      </c>
      <c r="I332" s="171">
        <v>472151.61</v>
      </c>
      <c r="J332" s="172">
        <v>128247.84</v>
      </c>
      <c r="K332" s="171">
        <v>255124.07</v>
      </c>
      <c r="L332" s="171">
        <v>0</v>
      </c>
      <c r="M332" s="3">
        <v>0</v>
      </c>
      <c r="N332" s="173">
        <v>0</v>
      </c>
      <c r="O332" s="154">
        <f t="shared" si="37"/>
        <v>1404958.05</v>
      </c>
      <c r="P332" s="3">
        <f t="shared" si="38"/>
        <v>855523.52</v>
      </c>
      <c r="Q332" s="3">
        <f t="shared" si="39"/>
        <v>472151.61</v>
      </c>
      <c r="R332" s="3">
        <f t="shared" si="40"/>
        <v>128247.84</v>
      </c>
      <c r="S332" s="3">
        <f t="shared" si="41"/>
        <v>255124.07</v>
      </c>
      <c r="T332" s="3">
        <f t="shared" si="42"/>
        <v>0</v>
      </c>
      <c r="U332" s="3">
        <v>0</v>
      </c>
      <c r="V332" s="3">
        <v>0</v>
      </c>
      <c r="W332" s="175">
        <f t="shared" si="43"/>
        <v>40173.33</v>
      </c>
      <c r="X332" s="175">
        <f t="shared" si="43"/>
        <v>0</v>
      </c>
      <c r="Z332" s="2">
        <f>[2]credits!$M332-U332</f>
        <v>74347.75</v>
      </c>
      <c r="AA332" s="2">
        <f>[2]credits!$O332-V332</f>
        <v>20194.650000000001</v>
      </c>
      <c r="AB332" s="2">
        <f>[2]credits!$Q332-W332</f>
        <v>0</v>
      </c>
      <c r="AC332" s="2">
        <f>[2]credits!$S332-X332</f>
        <v>0</v>
      </c>
    </row>
    <row r="333" spans="1:29" ht="15" x14ac:dyDescent="0.25">
      <c r="A333" s="5">
        <v>2884</v>
      </c>
      <c r="B333" s="5">
        <v>1</v>
      </c>
      <c r="C333" s="2" t="s">
        <v>330</v>
      </c>
      <c r="D333" s="3">
        <v>29270.66</v>
      </c>
      <c r="E333" s="3">
        <v>29365.91</v>
      </c>
      <c r="F333" s="171">
        <v>550683</v>
      </c>
      <c r="G333" s="171">
        <v>14276</v>
      </c>
      <c r="H333" s="171">
        <v>0</v>
      </c>
      <c r="I333" s="171">
        <v>266865</v>
      </c>
      <c r="J333" s="172">
        <v>20601</v>
      </c>
      <c r="K333" s="171">
        <v>0</v>
      </c>
      <c r="L333" s="171">
        <v>0</v>
      </c>
      <c r="M333" s="3">
        <v>0</v>
      </c>
      <c r="N333" s="173">
        <v>0</v>
      </c>
      <c r="O333" s="154">
        <f t="shared" si="37"/>
        <v>852425</v>
      </c>
      <c r="P333" s="3">
        <f t="shared" si="38"/>
        <v>287466</v>
      </c>
      <c r="Q333" s="3">
        <f t="shared" si="39"/>
        <v>266865</v>
      </c>
      <c r="R333" s="3">
        <f t="shared" si="40"/>
        <v>20601</v>
      </c>
      <c r="S333" s="3">
        <f t="shared" si="41"/>
        <v>0</v>
      </c>
      <c r="T333" s="3">
        <f t="shared" si="42"/>
        <v>0</v>
      </c>
      <c r="U333" s="3">
        <v>0</v>
      </c>
      <c r="V333" s="3">
        <v>0</v>
      </c>
      <c r="W333" s="175">
        <f t="shared" si="43"/>
        <v>0</v>
      </c>
      <c r="X333" s="175">
        <f t="shared" si="43"/>
        <v>0</v>
      </c>
      <c r="Z333" s="2">
        <f>[2]credits!$M333-U333</f>
        <v>27261.48</v>
      </c>
      <c r="AA333" s="2">
        <f>[2]credits!$O333-V333</f>
        <v>2104.4299999999998</v>
      </c>
      <c r="AB333" s="2">
        <f>[2]credits!$Q333-W333</f>
        <v>0</v>
      </c>
      <c r="AC333" s="2">
        <f>[2]credits!$S333-X333</f>
        <v>0</v>
      </c>
    </row>
    <row r="334" spans="1:29" ht="15" x14ac:dyDescent="0.25">
      <c r="A334" s="5">
        <v>2886</v>
      </c>
      <c r="B334" s="5">
        <v>1</v>
      </c>
      <c r="C334" s="2" t="s">
        <v>331</v>
      </c>
      <c r="D334" s="3">
        <v>21580.2</v>
      </c>
      <c r="E334" s="3">
        <v>18744.68</v>
      </c>
      <c r="F334" s="171">
        <v>219229.06</v>
      </c>
      <c r="G334" s="171">
        <v>26560.33</v>
      </c>
      <c r="H334" s="171">
        <v>0</v>
      </c>
      <c r="I334" s="171">
        <v>179070.48</v>
      </c>
      <c r="J334" s="172">
        <v>23392.79</v>
      </c>
      <c r="K334" s="171">
        <v>0</v>
      </c>
      <c r="L334" s="171">
        <v>0</v>
      </c>
      <c r="M334" s="3">
        <v>0</v>
      </c>
      <c r="N334" s="173">
        <v>0</v>
      </c>
      <c r="O334" s="154">
        <f t="shared" si="37"/>
        <v>448252.66</v>
      </c>
      <c r="P334" s="3">
        <f t="shared" si="38"/>
        <v>202463.27000000002</v>
      </c>
      <c r="Q334" s="3">
        <f t="shared" si="39"/>
        <v>179070.48</v>
      </c>
      <c r="R334" s="3">
        <f t="shared" si="40"/>
        <v>23392.79</v>
      </c>
      <c r="S334" s="3">
        <f t="shared" si="41"/>
        <v>0</v>
      </c>
      <c r="T334" s="3">
        <f t="shared" si="42"/>
        <v>0</v>
      </c>
      <c r="U334" s="3">
        <v>0</v>
      </c>
      <c r="V334" s="3">
        <v>0</v>
      </c>
      <c r="W334" s="175">
        <f t="shared" si="43"/>
        <v>0</v>
      </c>
      <c r="X334" s="175">
        <f t="shared" si="43"/>
        <v>0</v>
      </c>
      <c r="Z334" s="2">
        <f>[2]credits!$M334-U334</f>
        <v>16578.900000000001</v>
      </c>
      <c r="AA334" s="2">
        <f>[2]credits!$O334-V334</f>
        <v>2165.7800000000002</v>
      </c>
      <c r="AB334" s="2">
        <f>[2]credits!$Q334-W334</f>
        <v>0</v>
      </c>
      <c r="AC334" s="2">
        <f>[2]credits!$S334-X334</f>
        <v>0</v>
      </c>
    </row>
    <row r="335" spans="1:29" ht="15" x14ac:dyDescent="0.25">
      <c r="A335" s="5">
        <v>2888</v>
      </c>
      <c r="B335" s="5">
        <v>1</v>
      </c>
      <c r="C335" s="2" t="s">
        <v>332</v>
      </c>
      <c r="D335" s="3">
        <v>32902.99</v>
      </c>
      <c r="E335" s="3">
        <v>32009.73</v>
      </c>
      <c r="F335" s="171">
        <v>230060.21</v>
      </c>
      <c r="G335" s="171">
        <v>12256.42</v>
      </c>
      <c r="H335" s="171">
        <v>0</v>
      </c>
      <c r="I335" s="171">
        <v>152012.43</v>
      </c>
      <c r="J335" s="172">
        <v>34017.919999999998</v>
      </c>
      <c r="K335" s="171">
        <v>208589.88</v>
      </c>
      <c r="L335" s="171">
        <v>0</v>
      </c>
      <c r="M335" s="3">
        <v>0</v>
      </c>
      <c r="N335" s="173">
        <v>0</v>
      </c>
      <c r="O335" s="154">
        <f t="shared" si="37"/>
        <v>636936.86</v>
      </c>
      <c r="P335" s="3">
        <f t="shared" si="38"/>
        <v>394620.23</v>
      </c>
      <c r="Q335" s="3">
        <f t="shared" si="39"/>
        <v>152012.43</v>
      </c>
      <c r="R335" s="3">
        <f t="shared" si="40"/>
        <v>34017.919999999998</v>
      </c>
      <c r="S335" s="3">
        <f t="shared" si="41"/>
        <v>208589.88</v>
      </c>
      <c r="T335" s="3">
        <f t="shared" si="42"/>
        <v>0</v>
      </c>
      <c r="U335" s="3">
        <v>0</v>
      </c>
      <c r="V335" s="3">
        <v>0</v>
      </c>
      <c r="W335" s="175">
        <f t="shared" si="43"/>
        <v>16919.830000000002</v>
      </c>
      <c r="X335" s="175">
        <f t="shared" si="43"/>
        <v>0</v>
      </c>
      <c r="Z335" s="2">
        <f>[2]credits!$M335-U335</f>
        <v>12330.53</v>
      </c>
      <c r="AA335" s="2">
        <f>[2]credits!$O335-V335</f>
        <v>2759.37</v>
      </c>
      <c r="AB335" s="2">
        <f>[2]credits!$Q335-W335</f>
        <v>0</v>
      </c>
      <c r="AC335" s="2">
        <f>[2]credits!$S335-X335</f>
        <v>0</v>
      </c>
    </row>
    <row r="336" spans="1:29" ht="15" x14ac:dyDescent="0.25">
      <c r="A336" s="5">
        <v>2889</v>
      </c>
      <c r="B336" s="5">
        <v>1</v>
      </c>
      <c r="C336" s="2" t="s">
        <v>333</v>
      </c>
      <c r="D336" s="3">
        <v>22920.960000000003</v>
      </c>
      <c r="E336" s="3">
        <v>86355.37999999999</v>
      </c>
      <c r="F336" s="171">
        <v>564460.1</v>
      </c>
      <c r="G336" s="171">
        <v>54881.26</v>
      </c>
      <c r="H336" s="171">
        <v>0</v>
      </c>
      <c r="I336" s="171">
        <v>281911.45</v>
      </c>
      <c r="J336" s="172">
        <v>69633.98</v>
      </c>
      <c r="K336" s="171">
        <v>1375039.49</v>
      </c>
      <c r="L336" s="171">
        <v>0</v>
      </c>
      <c r="M336" s="3">
        <v>0</v>
      </c>
      <c r="N336" s="173">
        <v>0</v>
      </c>
      <c r="O336" s="154">
        <f t="shared" si="37"/>
        <v>2345926.2800000003</v>
      </c>
      <c r="P336" s="3">
        <f t="shared" si="38"/>
        <v>1726584.92</v>
      </c>
      <c r="Q336" s="3">
        <f t="shared" si="39"/>
        <v>281911.45</v>
      </c>
      <c r="R336" s="3">
        <f t="shared" si="40"/>
        <v>69633.98</v>
      </c>
      <c r="S336" s="3">
        <f t="shared" si="41"/>
        <v>1375039.49</v>
      </c>
      <c r="T336" s="3">
        <f t="shared" si="42"/>
        <v>0</v>
      </c>
      <c r="U336" s="3">
        <v>0</v>
      </c>
      <c r="V336" s="3">
        <v>0</v>
      </c>
      <c r="W336" s="175">
        <f t="shared" si="43"/>
        <v>68772.789999999994</v>
      </c>
      <c r="X336" s="175">
        <f t="shared" si="43"/>
        <v>0</v>
      </c>
      <c r="Z336" s="2">
        <f>[2]credits!$M336-U336</f>
        <v>14099.84</v>
      </c>
      <c r="AA336" s="2">
        <f>[2]credits!$O336-V336</f>
        <v>3482.75</v>
      </c>
      <c r="AB336" s="2">
        <f>[2]credits!$Q336-W336</f>
        <v>0</v>
      </c>
      <c r="AC336" s="2">
        <f>[2]credits!$S336-X336</f>
        <v>0</v>
      </c>
    </row>
    <row r="337" spans="1:29" ht="15" x14ac:dyDescent="0.25">
      <c r="A337" s="5">
        <v>2890</v>
      </c>
      <c r="B337" s="5">
        <v>1</v>
      </c>
      <c r="C337" s="2" t="s">
        <v>334</v>
      </c>
      <c r="D337" s="3">
        <v>30290.089999999997</v>
      </c>
      <c r="E337" s="3">
        <v>40050.61</v>
      </c>
      <c r="F337" s="171">
        <v>1041455.99</v>
      </c>
      <c r="G337" s="171">
        <v>17927.28</v>
      </c>
      <c r="H337" s="171">
        <v>0</v>
      </c>
      <c r="I337" s="171">
        <v>259783.33</v>
      </c>
      <c r="J337" s="172">
        <v>64806.53</v>
      </c>
      <c r="K337" s="171">
        <v>0</v>
      </c>
      <c r="L337" s="171">
        <v>0</v>
      </c>
      <c r="M337" s="3">
        <v>0</v>
      </c>
      <c r="N337" s="173">
        <v>0</v>
      </c>
      <c r="O337" s="154">
        <f t="shared" si="37"/>
        <v>1383973.1300000001</v>
      </c>
      <c r="P337" s="3">
        <f t="shared" si="38"/>
        <v>324589.86</v>
      </c>
      <c r="Q337" s="3">
        <f t="shared" si="39"/>
        <v>259783.33</v>
      </c>
      <c r="R337" s="3">
        <f t="shared" si="40"/>
        <v>64806.53</v>
      </c>
      <c r="S337" s="3">
        <f t="shared" si="41"/>
        <v>0</v>
      </c>
      <c r="T337" s="3">
        <f t="shared" si="42"/>
        <v>0</v>
      </c>
      <c r="U337" s="3">
        <v>0</v>
      </c>
      <c r="V337" s="3">
        <v>0</v>
      </c>
      <c r="W337" s="175">
        <f t="shared" si="43"/>
        <v>0</v>
      </c>
      <c r="X337" s="175">
        <f t="shared" si="43"/>
        <v>0</v>
      </c>
      <c r="Z337" s="2">
        <f>[2]credits!$M337-U337</f>
        <v>32054.240000000002</v>
      </c>
      <c r="AA337" s="2">
        <f>[2]credits!$O337-V337</f>
        <v>7996.37</v>
      </c>
      <c r="AB337" s="2">
        <f>[2]credits!$Q337-W337</f>
        <v>0</v>
      </c>
      <c r="AC337" s="2">
        <f>[2]credits!$S337-X337</f>
        <v>0</v>
      </c>
    </row>
    <row r="338" spans="1:29" ht="15" x14ac:dyDescent="0.25">
      <c r="A338" s="5">
        <v>2895</v>
      </c>
      <c r="B338" s="5">
        <v>1</v>
      </c>
      <c r="C338" s="2" t="s">
        <v>335</v>
      </c>
      <c r="D338" s="3">
        <v>214739.39</v>
      </c>
      <c r="E338" s="3">
        <v>208461.54</v>
      </c>
      <c r="F338" s="171">
        <v>956741</v>
      </c>
      <c r="G338" s="171">
        <v>69137</v>
      </c>
      <c r="H338" s="171">
        <v>0</v>
      </c>
      <c r="I338" s="171">
        <v>521446</v>
      </c>
      <c r="J338" s="172">
        <v>120421</v>
      </c>
      <c r="K338" s="171">
        <v>1531104</v>
      </c>
      <c r="L338" s="171">
        <v>0</v>
      </c>
      <c r="M338" s="3">
        <v>0</v>
      </c>
      <c r="N338" s="173">
        <v>0</v>
      </c>
      <c r="O338" s="154">
        <f t="shared" si="37"/>
        <v>3198849</v>
      </c>
      <c r="P338" s="3">
        <f t="shared" si="38"/>
        <v>2172971</v>
      </c>
      <c r="Q338" s="3">
        <f t="shared" si="39"/>
        <v>521446</v>
      </c>
      <c r="R338" s="3">
        <f t="shared" si="40"/>
        <v>120421</v>
      </c>
      <c r="S338" s="3">
        <f t="shared" si="41"/>
        <v>1531104</v>
      </c>
      <c r="T338" s="3">
        <f t="shared" si="42"/>
        <v>0</v>
      </c>
      <c r="U338" s="3">
        <v>0</v>
      </c>
      <c r="V338" s="3">
        <v>0</v>
      </c>
      <c r="W338" s="175">
        <f t="shared" si="43"/>
        <v>146884.75</v>
      </c>
      <c r="X338" s="175">
        <f t="shared" si="43"/>
        <v>0</v>
      </c>
      <c r="Z338" s="2">
        <f>[2]credits!$M338-U338</f>
        <v>50024.32</v>
      </c>
      <c r="AA338" s="2">
        <f>[2]credits!$O338-V338</f>
        <v>11552.46</v>
      </c>
      <c r="AB338" s="2">
        <f>[2]credits!$Q338-W338</f>
        <v>1.0000000009313226E-2</v>
      </c>
      <c r="AC338" s="2">
        <f>[2]credits!$S338-X338</f>
        <v>0</v>
      </c>
    </row>
    <row r="339" spans="1:29" ht="15" x14ac:dyDescent="0.25">
      <c r="A339" s="5">
        <v>2897</v>
      </c>
      <c r="B339" s="5">
        <v>1</v>
      </c>
      <c r="C339" s="2" t="s">
        <v>336</v>
      </c>
      <c r="D339" s="3">
        <v>155103.13999999998</v>
      </c>
      <c r="E339" s="3">
        <v>165977.23000000001</v>
      </c>
      <c r="F339" s="171">
        <v>373155</v>
      </c>
      <c r="G339" s="171">
        <v>94565</v>
      </c>
      <c r="H339" s="171">
        <v>0</v>
      </c>
      <c r="I339" s="171">
        <v>275131</v>
      </c>
      <c r="J339" s="172">
        <v>108758</v>
      </c>
      <c r="K339" s="171">
        <v>1882029.9</v>
      </c>
      <c r="L339" s="171">
        <v>0</v>
      </c>
      <c r="M339" s="3">
        <v>0</v>
      </c>
      <c r="N339" s="173">
        <v>0</v>
      </c>
      <c r="O339" s="154">
        <f t="shared" si="37"/>
        <v>2733638.9</v>
      </c>
      <c r="P339" s="3">
        <f t="shared" si="38"/>
        <v>2265918.9</v>
      </c>
      <c r="Q339" s="3">
        <f t="shared" si="39"/>
        <v>275131</v>
      </c>
      <c r="R339" s="3">
        <f t="shared" si="40"/>
        <v>108758</v>
      </c>
      <c r="S339" s="3">
        <f t="shared" si="41"/>
        <v>1882029.9</v>
      </c>
      <c r="T339" s="3">
        <f t="shared" si="42"/>
        <v>0</v>
      </c>
      <c r="U339" s="3">
        <v>0</v>
      </c>
      <c r="V339" s="3">
        <v>0</v>
      </c>
      <c r="W339" s="175">
        <f t="shared" si="43"/>
        <v>137857.59</v>
      </c>
      <c r="X339" s="175">
        <f t="shared" si="43"/>
        <v>0</v>
      </c>
      <c r="Z339" s="2">
        <f>[2]credits!$M339-U339</f>
        <v>20153.18</v>
      </c>
      <c r="AA339" s="2">
        <f>[2]credits!$O339-V339</f>
        <v>7966.49</v>
      </c>
      <c r="AB339" s="2">
        <f>[2]credits!$Q339-W339</f>
        <v>-2.9999999998835847E-2</v>
      </c>
      <c r="AC339" s="2">
        <f>[2]credits!$S339-X339</f>
        <v>0</v>
      </c>
    </row>
    <row r="340" spans="1:29" ht="15" x14ac:dyDescent="0.25">
      <c r="A340" s="5">
        <v>2898</v>
      </c>
      <c r="B340" s="5">
        <v>1</v>
      </c>
      <c r="C340" s="2" t="s">
        <v>337</v>
      </c>
      <c r="D340" s="3">
        <v>25667.200000000001</v>
      </c>
      <c r="E340" s="3">
        <v>27696.26</v>
      </c>
      <c r="F340" s="171">
        <v>138690</v>
      </c>
      <c r="G340" s="171">
        <v>40067</v>
      </c>
      <c r="H340" s="171">
        <v>0</v>
      </c>
      <c r="I340" s="171">
        <v>233051</v>
      </c>
      <c r="J340" s="172">
        <v>39019</v>
      </c>
      <c r="K340" s="171">
        <v>0</v>
      </c>
      <c r="L340" s="171">
        <v>0</v>
      </c>
      <c r="M340" s="3">
        <v>0</v>
      </c>
      <c r="N340" s="173">
        <v>0</v>
      </c>
      <c r="O340" s="154">
        <f t="shared" si="37"/>
        <v>450827</v>
      </c>
      <c r="P340" s="3">
        <f t="shared" si="38"/>
        <v>272070</v>
      </c>
      <c r="Q340" s="3">
        <f t="shared" si="39"/>
        <v>233051</v>
      </c>
      <c r="R340" s="3">
        <f t="shared" si="40"/>
        <v>39019</v>
      </c>
      <c r="S340" s="3">
        <f t="shared" si="41"/>
        <v>0</v>
      </c>
      <c r="T340" s="3">
        <f t="shared" si="42"/>
        <v>0</v>
      </c>
      <c r="U340" s="3">
        <v>0</v>
      </c>
      <c r="V340" s="3">
        <v>0</v>
      </c>
      <c r="W340" s="175">
        <f t="shared" si="43"/>
        <v>0</v>
      </c>
      <c r="X340" s="175">
        <f t="shared" si="43"/>
        <v>0</v>
      </c>
      <c r="Z340" s="2">
        <f>[2]credits!$M340-U340</f>
        <v>23724.18</v>
      </c>
      <c r="AA340" s="2">
        <f>[2]credits!$O340-V340</f>
        <v>3972.08</v>
      </c>
      <c r="AB340" s="2">
        <f>[2]credits!$Q340-W340</f>
        <v>0</v>
      </c>
      <c r="AC340" s="2">
        <f>[2]credits!$S340-X340</f>
        <v>0</v>
      </c>
    </row>
    <row r="341" spans="1:29" ht="15" x14ac:dyDescent="0.25">
      <c r="A341" s="5">
        <v>2899</v>
      </c>
      <c r="B341" s="5">
        <v>1</v>
      </c>
      <c r="C341" s="2" t="s">
        <v>503</v>
      </c>
      <c r="D341" s="3">
        <v>135332.06</v>
      </c>
      <c r="E341" s="3">
        <v>125149.25</v>
      </c>
      <c r="F341" s="171">
        <v>304383</v>
      </c>
      <c r="G341" s="171">
        <v>127677</v>
      </c>
      <c r="H341" s="171">
        <v>0</v>
      </c>
      <c r="I341" s="171">
        <v>437589</v>
      </c>
      <c r="J341" s="172">
        <v>75903</v>
      </c>
      <c r="K341" s="171">
        <v>537152</v>
      </c>
      <c r="L341" s="171">
        <v>509361</v>
      </c>
      <c r="M341" s="3">
        <v>0</v>
      </c>
      <c r="N341" s="173">
        <v>0</v>
      </c>
      <c r="O341" s="154">
        <f t="shared" si="37"/>
        <v>1992065</v>
      </c>
      <c r="P341" s="3">
        <f t="shared" si="38"/>
        <v>1560005</v>
      </c>
      <c r="Q341" s="3">
        <f t="shared" si="39"/>
        <v>437589</v>
      </c>
      <c r="R341" s="3">
        <f t="shared" si="40"/>
        <v>75903</v>
      </c>
      <c r="S341" s="3">
        <f t="shared" si="41"/>
        <v>1046513</v>
      </c>
      <c r="T341" s="3">
        <f t="shared" si="42"/>
        <v>0</v>
      </c>
      <c r="U341" s="3">
        <v>0</v>
      </c>
      <c r="V341" s="3">
        <v>0</v>
      </c>
      <c r="W341" s="175">
        <f t="shared" si="43"/>
        <v>83955.06</v>
      </c>
      <c r="X341" s="175">
        <f t="shared" si="43"/>
        <v>0</v>
      </c>
      <c r="Z341" s="2">
        <f>[2]credits!$M341-U341</f>
        <v>35104.97</v>
      </c>
      <c r="AA341" s="2">
        <f>[2]credits!$O341-V341</f>
        <v>6089.23</v>
      </c>
      <c r="AB341" s="2">
        <f>[2]credits!$Q341-W341</f>
        <v>-2.0000000004074536E-2</v>
      </c>
      <c r="AC341" s="2">
        <f>[2]credits!$S341-X341</f>
        <v>0</v>
      </c>
    </row>
    <row r="342" spans="1:29" ht="15" x14ac:dyDescent="0.25">
      <c r="A342" s="5">
        <v>2902</v>
      </c>
      <c r="B342" s="5">
        <v>1</v>
      </c>
      <c r="C342" s="2" t="s">
        <v>502</v>
      </c>
      <c r="D342" s="3">
        <v>65486.34</v>
      </c>
      <c r="E342" s="3">
        <v>53707.43</v>
      </c>
      <c r="F342" s="171">
        <v>224844</v>
      </c>
      <c r="G342" s="171">
        <v>36837</v>
      </c>
      <c r="H342" s="171">
        <v>0</v>
      </c>
      <c r="I342" s="171">
        <v>221969</v>
      </c>
      <c r="J342" s="172">
        <v>93522</v>
      </c>
      <c r="K342" s="171">
        <v>61288</v>
      </c>
      <c r="L342" s="171">
        <v>0</v>
      </c>
      <c r="M342" s="3">
        <v>0</v>
      </c>
      <c r="N342" s="173">
        <v>0</v>
      </c>
      <c r="O342" s="154">
        <f t="shared" si="37"/>
        <v>638460</v>
      </c>
      <c r="P342" s="3">
        <f t="shared" si="38"/>
        <v>376779</v>
      </c>
      <c r="Q342" s="3">
        <f t="shared" si="39"/>
        <v>221969</v>
      </c>
      <c r="R342" s="3">
        <f t="shared" si="40"/>
        <v>93522</v>
      </c>
      <c r="S342" s="3">
        <f t="shared" si="41"/>
        <v>61288</v>
      </c>
      <c r="T342" s="3">
        <f t="shared" si="42"/>
        <v>0</v>
      </c>
      <c r="U342" s="3">
        <v>0</v>
      </c>
      <c r="V342" s="3">
        <v>0</v>
      </c>
      <c r="W342" s="175">
        <f t="shared" si="43"/>
        <v>8736.2099999999991</v>
      </c>
      <c r="X342" s="175">
        <f t="shared" si="43"/>
        <v>0</v>
      </c>
      <c r="Z342" s="2">
        <f>[2]credits!$M342-U342</f>
        <v>31640.26</v>
      </c>
      <c r="AA342" s="2">
        <f>[2]credits!$O342-V342</f>
        <v>13330.89</v>
      </c>
      <c r="AB342" s="2">
        <f>[2]credits!$Q342-W342</f>
        <v>7.0000000001527951E-2</v>
      </c>
      <c r="AC342" s="2">
        <f>[2]credits!$S342-X342</f>
        <v>0</v>
      </c>
    </row>
    <row r="343" spans="1:29" ht="15" x14ac:dyDescent="0.25">
      <c r="A343" s="5">
        <v>2903</v>
      </c>
      <c r="B343" s="5">
        <v>1</v>
      </c>
      <c r="C343" s="2" t="s">
        <v>649</v>
      </c>
      <c r="D343" s="3">
        <v>169745.66</v>
      </c>
      <c r="E343" s="3">
        <v>170149.57</v>
      </c>
      <c r="F343" s="171">
        <v>364865.48</v>
      </c>
      <c r="G343" s="171">
        <v>25432.73</v>
      </c>
      <c r="H343" s="171">
        <v>0</v>
      </c>
      <c r="I343" s="171">
        <v>492126.37</v>
      </c>
      <c r="J343" s="172">
        <v>50041.79</v>
      </c>
      <c r="K343" s="171">
        <v>739273.07</v>
      </c>
      <c r="L343" s="171">
        <v>75060</v>
      </c>
      <c r="M343" s="3">
        <v>0</v>
      </c>
      <c r="N343" s="173">
        <v>0</v>
      </c>
      <c r="O343" s="154">
        <f t="shared" si="37"/>
        <v>1746799.44</v>
      </c>
      <c r="P343" s="3">
        <f t="shared" si="38"/>
        <v>1356501.23</v>
      </c>
      <c r="Q343" s="3">
        <f t="shared" si="39"/>
        <v>492126.37</v>
      </c>
      <c r="R343" s="3">
        <f t="shared" si="40"/>
        <v>50041.79</v>
      </c>
      <c r="S343" s="3">
        <f t="shared" si="41"/>
        <v>814333.07</v>
      </c>
      <c r="T343" s="3">
        <f t="shared" si="42"/>
        <v>0</v>
      </c>
      <c r="U343" s="3">
        <v>0</v>
      </c>
      <c r="V343" s="3">
        <v>0</v>
      </c>
      <c r="W343" s="175">
        <f t="shared" si="43"/>
        <v>102143.97</v>
      </c>
      <c r="X343" s="175">
        <f t="shared" si="43"/>
        <v>0</v>
      </c>
      <c r="Z343" s="2">
        <f>[2]credits!$M343-U343</f>
        <v>51352.83</v>
      </c>
      <c r="AA343" s="2">
        <f>[2]credits!$O343-V343</f>
        <v>6877.57</v>
      </c>
      <c r="AB343" s="2">
        <f>[2]credits!$Q343-W343</f>
        <v>9775.1999999999971</v>
      </c>
      <c r="AC343" s="2">
        <f>[2]credits!$S343-X343</f>
        <v>0</v>
      </c>
    </row>
    <row r="344" spans="1:29" ht="15" x14ac:dyDescent="0.25">
      <c r="A344" s="5">
        <v>2904</v>
      </c>
      <c r="B344" s="5">
        <v>1</v>
      </c>
      <c r="C344" s="2" t="s">
        <v>650</v>
      </c>
      <c r="D344" s="3">
        <v>55444.12</v>
      </c>
      <c r="E344" s="3">
        <v>53953.45</v>
      </c>
      <c r="F344" s="171">
        <v>531902</v>
      </c>
      <c r="G344" s="171">
        <v>77507</v>
      </c>
      <c r="H344" s="171">
        <v>0</v>
      </c>
      <c r="I344" s="171">
        <v>387108</v>
      </c>
      <c r="J344" s="172">
        <v>74003</v>
      </c>
      <c r="K344" s="171">
        <v>0</v>
      </c>
      <c r="L344" s="171">
        <v>0</v>
      </c>
      <c r="M344" s="3">
        <v>0</v>
      </c>
      <c r="N344" s="173">
        <v>0</v>
      </c>
      <c r="O344" s="154">
        <f t="shared" si="37"/>
        <v>1070520</v>
      </c>
      <c r="P344" s="3">
        <f t="shared" si="38"/>
        <v>461111</v>
      </c>
      <c r="Q344" s="3">
        <f t="shared" si="39"/>
        <v>387108</v>
      </c>
      <c r="R344" s="3">
        <f t="shared" si="40"/>
        <v>74003</v>
      </c>
      <c r="S344" s="3">
        <f t="shared" si="41"/>
        <v>0</v>
      </c>
      <c r="T344" s="3">
        <f t="shared" si="42"/>
        <v>0</v>
      </c>
      <c r="U344" s="3">
        <v>0</v>
      </c>
      <c r="V344" s="3">
        <v>0</v>
      </c>
      <c r="W344" s="175">
        <f t="shared" si="43"/>
        <v>0</v>
      </c>
      <c r="X344" s="175">
        <f t="shared" si="43"/>
        <v>0</v>
      </c>
      <c r="Z344" s="2">
        <f>[2]credits!$M344-U344</f>
        <v>45294.55</v>
      </c>
      <c r="AA344" s="2">
        <f>[2]credits!$O344-V344</f>
        <v>8658.9</v>
      </c>
      <c r="AB344" s="2">
        <f>[2]credits!$Q344-W344</f>
        <v>0</v>
      </c>
      <c r="AC344" s="2">
        <f>[2]credits!$S344-X344</f>
        <v>0</v>
      </c>
    </row>
  </sheetData>
  <phoneticPr fontId="0" type="noConversion"/>
  <pageMargins left="0.75" right="0.75" top="1" bottom="1" header="0.5" footer="0.5"/>
  <pageSetup scale="37" fitToHeight="0" orientation="portrait" horizontalDpi="300" verticalDpi="300" r:id="rId1"/>
  <headerFooter alignWithMargins="0">
    <oddFooter>&amp;C&amp;P of &amp;N</oddFooter>
  </headerFooter>
  <ignoredErrors>
    <ignoredError sqref="P8:Q344 O8:O344" formulaRange="1"/>
  </ignoredError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344"/>
  <sheetViews>
    <sheetView workbookViewId="0"/>
  </sheetViews>
  <sheetFormatPr defaultRowHeight="11.25" x14ac:dyDescent="0.2"/>
  <cols>
    <col min="1" max="2" width="6.83203125" style="5" customWidth="1"/>
    <col min="3" max="3" width="20.83203125" style="2" customWidth="1"/>
    <col min="4" max="6" width="14.83203125" style="3" customWidth="1"/>
    <col min="7" max="7" width="19" style="3" customWidth="1"/>
    <col min="8" max="8" width="5.83203125" style="3" customWidth="1"/>
    <col min="9" max="11" width="14.83203125" style="3" customWidth="1"/>
    <col min="12" max="12" width="18.83203125" style="3" customWidth="1"/>
    <col min="13" max="13" width="11.5" style="3" customWidth="1"/>
    <col min="14" max="14" width="15.1640625" style="3" customWidth="1"/>
    <col min="15" max="15" width="16.6640625" style="2" customWidth="1"/>
    <col min="16" max="16" width="14.83203125" style="2" customWidth="1"/>
    <col min="17" max="17" width="16.6640625" style="2" customWidth="1"/>
    <col min="18" max="16384" width="9.33203125" style="2"/>
  </cols>
  <sheetData>
    <row r="1" spans="1:17" s="3" customFormat="1" x14ac:dyDescent="0.2">
      <c r="A1" s="22" t="str">
        <f>"Compare "&amp;Instructions!P1&amp;" Gross Shift to Tax Receipts"</f>
        <v>Compare Pay 2011 Gross Shift to Tax Receipts</v>
      </c>
      <c r="B1" s="18"/>
      <c r="L1" s="148">
        <f>Report!I1</f>
        <v>40795</v>
      </c>
      <c r="M1" s="148"/>
      <c r="N1" s="148"/>
    </row>
    <row r="2" spans="1:17" s="3" customFormat="1" x14ac:dyDescent="0.2">
      <c r="A2" s="18"/>
      <c r="B2" s="18"/>
    </row>
    <row r="3" spans="1:17" s="3" customFormat="1" ht="11.25" customHeight="1" x14ac:dyDescent="0.2">
      <c r="A3" s="18" t="s">
        <v>465</v>
      </c>
      <c r="B3" s="151">
        <f>Shift11!B3</f>
        <v>0.48599999999999999</v>
      </c>
      <c r="D3" s="183" t="s">
        <v>466</v>
      </c>
      <c r="E3" s="184"/>
      <c r="F3" s="184"/>
      <c r="G3" s="184"/>
      <c r="I3" s="183" t="s">
        <v>508</v>
      </c>
      <c r="J3" s="184"/>
      <c r="K3" s="184"/>
      <c r="L3" s="184"/>
      <c r="M3" s="161"/>
      <c r="N3" s="187" t="s">
        <v>671</v>
      </c>
      <c r="O3" s="185" t="str">
        <f>Instructions!P1&amp;" General + Comm Service Levies"</f>
        <v>Pay 2011 General + Comm Service Levies</v>
      </c>
      <c r="P3" s="186"/>
      <c r="Q3" s="186"/>
    </row>
    <row r="4" spans="1:17" s="8" customFormat="1" ht="55.5" customHeight="1" x14ac:dyDescent="0.2">
      <c r="A4" s="6"/>
      <c r="B4" s="6"/>
      <c r="D4" s="9" t="s">
        <v>500</v>
      </c>
      <c r="E4" s="9" t="str">
        <f>"Est Tax Receipts
May-July "&amp;Instructions!O1</f>
        <v>Est Tax Receipts
May-July 2011</v>
      </c>
      <c r="F4" s="9" t="s">
        <v>494</v>
      </c>
      <c r="G4" s="9" t="s">
        <v>621</v>
      </c>
      <c r="H4" s="9"/>
      <c r="I4" s="9" t="s">
        <v>500</v>
      </c>
      <c r="J4" s="9" t="str">
        <f>"Est Tax Receipts
May-July "&amp;Instructions!O1</f>
        <v>Est Tax Receipts
May-July 2011</v>
      </c>
      <c r="K4" s="9" t="s">
        <v>494</v>
      </c>
      <c r="L4" s="9" t="s">
        <v>621</v>
      </c>
      <c r="M4" s="9"/>
      <c r="N4" s="188"/>
      <c r="O4" s="164" t="s">
        <v>667</v>
      </c>
      <c r="P4" s="164" t="s">
        <v>668</v>
      </c>
      <c r="Q4" s="164" t="s">
        <v>669</v>
      </c>
    </row>
    <row r="6" spans="1:17" x14ac:dyDescent="0.2">
      <c r="C6" s="2" t="s">
        <v>347</v>
      </c>
      <c r="D6" s="3">
        <f>SUM(D8:D344)</f>
        <v>668125908.05999959</v>
      </c>
      <c r="E6" s="3">
        <f t="shared" ref="E6:Q6" si="0">SUM(E8:E344)</f>
        <v>651885119.15999937</v>
      </c>
      <c r="F6" s="3">
        <f t="shared" si="0"/>
        <v>20755549.320000015</v>
      </c>
      <c r="G6" s="3">
        <f t="shared" si="0"/>
        <v>647370358.73999977</v>
      </c>
      <c r="I6" s="3">
        <f t="shared" si="0"/>
        <v>35601748.930000007</v>
      </c>
      <c r="J6" s="3">
        <f t="shared" si="0"/>
        <v>36627314.309999973</v>
      </c>
      <c r="K6" s="3">
        <f t="shared" si="0"/>
        <v>0</v>
      </c>
      <c r="L6" s="3">
        <f t="shared" si="0"/>
        <v>35601748.930000007</v>
      </c>
      <c r="N6" s="3">
        <f t="shared" si="0"/>
        <v>682972107.6700002</v>
      </c>
      <c r="O6" s="3">
        <f t="shared" si="0"/>
        <v>1377024864.8300011</v>
      </c>
      <c r="P6" s="3">
        <f t="shared" si="0"/>
        <v>0</v>
      </c>
      <c r="Q6" s="3">
        <f t="shared" si="0"/>
        <v>1377024864.8300011</v>
      </c>
    </row>
    <row r="8" spans="1:17" x14ac:dyDescent="0.2">
      <c r="A8" s="5">
        <v>1</v>
      </c>
      <c r="B8" s="5">
        <v>1</v>
      </c>
      <c r="C8" s="2" t="s">
        <v>6</v>
      </c>
      <c r="D8" s="3">
        <f>SUM(Shift11!D8:L8)</f>
        <v>586810.59999999986</v>
      </c>
      <c r="E8" s="3">
        <f>ROUND(MAX(0,(Levy!Q8+Data!D8+Data!E8-Levy!U8)*0.5),2)</f>
        <v>443190.23</v>
      </c>
      <c r="F8" s="3">
        <f>IF(D8&gt;E8,D8-E8,0)</f>
        <v>143620.36999999988</v>
      </c>
      <c r="G8" s="3">
        <f>MAX(0,MIN(D8,E8))</f>
        <v>443190.23</v>
      </c>
      <c r="I8" s="3">
        <f>SUM(Shift11!M8:N8)</f>
        <v>2504.5700000000002</v>
      </c>
      <c r="J8" s="3">
        <f>ROUND(MAX(0,(Levy!R8-Levy!V8)*0.5),2)</f>
        <v>2576.7199999999998</v>
      </c>
      <c r="K8" s="3">
        <f>IF(I8&gt;J8,I8-J8,0)</f>
        <v>0</v>
      </c>
      <c r="L8" s="3">
        <f>MAX(0,MIN(I8,J8))</f>
        <v>2504.5700000000002</v>
      </c>
      <c r="N8" s="3">
        <f>G8+L8</f>
        <v>445694.8</v>
      </c>
      <c r="O8" s="2">
        <f>SUM(Levy!F8:J8)</f>
        <v>891533.8899999999</v>
      </c>
      <c r="P8" s="2">
        <f>SUM(Levy!U8:V8)</f>
        <v>0</v>
      </c>
      <c r="Q8" s="2">
        <f>O8-P8</f>
        <v>891533.8899999999</v>
      </c>
    </row>
    <row r="9" spans="1:17" x14ac:dyDescent="0.2">
      <c r="A9" s="5">
        <v>1.2</v>
      </c>
      <c r="B9" s="5">
        <v>3</v>
      </c>
      <c r="C9" s="2" t="s">
        <v>7</v>
      </c>
      <c r="D9" s="3">
        <f>SUM(Shift11!D9:L9)</f>
        <v>58813471.270000003</v>
      </c>
      <c r="E9" s="3">
        <f>ROUND(MAX(0,(Levy!Q9+Data!D9+Data!E9-Levy!U9)*0.5),2)</f>
        <v>53971520.43</v>
      </c>
      <c r="F9" s="3">
        <f t="shared" ref="F9:F71" si="1">IF(D9&gt;E9,D9-E9,0)</f>
        <v>4841950.8400000036</v>
      </c>
      <c r="G9" s="3">
        <f t="shared" ref="G9:G71" si="2">MAX(0,MIN(D9,E9))</f>
        <v>53971520.43</v>
      </c>
      <c r="I9" s="3">
        <f>SUM(Shift11!M9:N9)</f>
        <v>1994567.95</v>
      </c>
      <c r="J9" s="3">
        <f>ROUND(MAX(0,(Levy!R9-Levy!V9)*0.5),2)</f>
        <v>2052024.64</v>
      </c>
      <c r="K9" s="3">
        <f t="shared" ref="K9:K71" si="3">IF(I9&gt;J9,I9-J9,0)</f>
        <v>0</v>
      </c>
      <c r="L9" s="3">
        <f t="shared" ref="L9:L71" si="4">MAX(0,MIN(I9,J9))</f>
        <v>1994567.95</v>
      </c>
      <c r="N9" s="3">
        <f t="shared" ref="N9:N72" si="5">G9+L9</f>
        <v>55966088.380000003</v>
      </c>
      <c r="O9" s="2">
        <f>SUM(Levy!F9:J9)</f>
        <v>112047090.14000002</v>
      </c>
      <c r="P9" s="2">
        <f>SUM(Levy!U9:V9)</f>
        <v>0</v>
      </c>
      <c r="Q9" s="2">
        <f t="shared" ref="Q9:Q72" si="6">O9-P9</f>
        <v>112047090.14000002</v>
      </c>
    </row>
    <row r="10" spans="1:17" x14ac:dyDescent="0.2">
      <c r="A10" s="5">
        <v>2</v>
      </c>
      <c r="B10" s="5">
        <v>1</v>
      </c>
      <c r="C10" s="2" t="s">
        <v>8</v>
      </c>
      <c r="D10" s="3">
        <f>SUM(Shift11!D10:L10)</f>
        <v>61511.59</v>
      </c>
      <c r="E10" s="3">
        <f>ROUND(MAX(0,(Levy!Q10+Data!D10+Data!E10-Levy!U10)*0.5),2)</f>
        <v>55673.03</v>
      </c>
      <c r="F10" s="3">
        <f t="shared" si="1"/>
        <v>5838.5599999999977</v>
      </c>
      <c r="G10" s="3">
        <f t="shared" si="2"/>
        <v>55673.03</v>
      </c>
      <c r="I10" s="3">
        <f>SUM(Shift11!M10:N10)</f>
        <v>9191.86</v>
      </c>
      <c r="J10" s="3">
        <f>ROUND(MAX(0,(Levy!R10-Levy!V10)*0.5),2)</f>
        <v>9456.65</v>
      </c>
      <c r="K10" s="3">
        <f t="shared" si="3"/>
        <v>0</v>
      </c>
      <c r="L10" s="3">
        <f t="shared" si="4"/>
        <v>9191.86</v>
      </c>
      <c r="N10" s="3">
        <f t="shared" si="5"/>
        <v>64864.89</v>
      </c>
      <c r="O10" s="2">
        <f>SUM(Levy!F10:J10)</f>
        <v>130259.35</v>
      </c>
      <c r="P10" s="2">
        <f>SUM(Levy!U10:V10)</f>
        <v>0</v>
      </c>
      <c r="Q10" s="2">
        <f t="shared" si="6"/>
        <v>130259.35</v>
      </c>
    </row>
    <row r="11" spans="1:17" x14ac:dyDescent="0.2">
      <c r="A11" s="5">
        <v>4</v>
      </c>
      <c r="B11" s="5">
        <v>1</v>
      </c>
      <c r="C11" s="2" t="s">
        <v>9</v>
      </c>
      <c r="D11" s="3">
        <f>SUM(Shift11!D11:L11)</f>
        <v>254445.94999999998</v>
      </c>
      <c r="E11" s="3">
        <f>ROUND(MAX(0,(Levy!Q11+Data!D11+Data!E11-Levy!U11)*0.5),2)</f>
        <v>192919.43</v>
      </c>
      <c r="F11" s="3">
        <f t="shared" si="1"/>
        <v>61526.51999999999</v>
      </c>
      <c r="G11" s="3">
        <f t="shared" si="2"/>
        <v>192919.43</v>
      </c>
      <c r="I11" s="3">
        <f>SUM(Shift11!M11:N11)</f>
        <v>25328.41</v>
      </c>
      <c r="J11" s="3">
        <f>ROUND(MAX(0,(Levy!R11-Levy!V11)*0.5),2)</f>
        <v>26058.03</v>
      </c>
      <c r="K11" s="3">
        <f t="shared" si="3"/>
        <v>0</v>
      </c>
      <c r="L11" s="3">
        <f t="shared" si="4"/>
        <v>25328.41</v>
      </c>
      <c r="N11" s="3">
        <f t="shared" si="5"/>
        <v>218247.84</v>
      </c>
      <c r="O11" s="2">
        <f>SUM(Levy!F11:J11)</f>
        <v>437954.92</v>
      </c>
      <c r="P11" s="2">
        <f>SUM(Levy!U11:V11)</f>
        <v>0</v>
      </c>
      <c r="Q11" s="2">
        <f t="shared" si="6"/>
        <v>437954.92</v>
      </c>
    </row>
    <row r="12" spans="1:17" x14ac:dyDescent="0.2">
      <c r="A12" s="5">
        <v>6</v>
      </c>
      <c r="B12" s="5">
        <v>3</v>
      </c>
      <c r="C12" s="2" t="s">
        <v>10</v>
      </c>
      <c r="D12" s="3">
        <f>SUM(Shift11!D12:L12)</f>
        <v>2949477.1699999995</v>
      </c>
      <c r="E12" s="3">
        <f>ROUND(MAX(0,(Levy!Q12+Data!D12+Data!E12-Levy!U12)*0.5),2)</f>
        <v>2985917</v>
      </c>
      <c r="F12" s="3">
        <f t="shared" si="1"/>
        <v>0</v>
      </c>
      <c r="G12" s="3">
        <f t="shared" si="2"/>
        <v>2949477.1699999995</v>
      </c>
      <c r="I12" s="3">
        <f>SUM(Shift11!M12:N12)</f>
        <v>146893.99</v>
      </c>
      <c r="J12" s="3">
        <f>ROUND(MAX(0,(Levy!R12-Levy!V12)*0.5),2)</f>
        <v>151125.5</v>
      </c>
      <c r="K12" s="3">
        <f t="shared" si="3"/>
        <v>0</v>
      </c>
      <c r="L12" s="3">
        <f t="shared" si="4"/>
        <v>146893.99</v>
      </c>
      <c r="N12" s="3">
        <f t="shared" si="5"/>
        <v>3096371.1599999992</v>
      </c>
      <c r="O12" s="2">
        <f>SUM(Levy!F12:J12)</f>
        <v>6274085</v>
      </c>
      <c r="P12" s="2">
        <f>SUM(Levy!U12:V12)</f>
        <v>0</v>
      </c>
      <c r="Q12" s="2">
        <f t="shared" si="6"/>
        <v>6274085</v>
      </c>
    </row>
    <row r="13" spans="1:17" x14ac:dyDescent="0.2">
      <c r="A13" s="5">
        <v>11</v>
      </c>
      <c r="B13" s="5">
        <v>1</v>
      </c>
      <c r="C13" s="2" t="s">
        <v>11</v>
      </c>
      <c r="D13" s="3">
        <f>SUM(Shift11!D13:L13)</f>
        <v>38050413.390000001</v>
      </c>
      <c r="E13" s="3">
        <f>ROUND(MAX(0,(Levy!Q13+Data!D13+Data!E13-Levy!U13)*0.5),2)</f>
        <v>38280782.009999998</v>
      </c>
      <c r="F13" s="3">
        <f t="shared" si="1"/>
        <v>0</v>
      </c>
      <c r="G13" s="3">
        <f t="shared" si="2"/>
        <v>38050413.390000001</v>
      </c>
      <c r="I13" s="3">
        <f>SUM(Shift11!M13:N13)</f>
        <v>1584570.55</v>
      </c>
      <c r="J13" s="3">
        <f>ROUND(MAX(0,(Levy!R13-Levy!V13)*0.5),2)</f>
        <v>1630216.62</v>
      </c>
      <c r="K13" s="3">
        <f t="shared" si="3"/>
        <v>0</v>
      </c>
      <c r="L13" s="3">
        <f t="shared" si="4"/>
        <v>1584570.55</v>
      </c>
      <c r="N13" s="3">
        <f t="shared" si="5"/>
        <v>39634983.939999998</v>
      </c>
      <c r="O13" s="2">
        <f>SUM(Levy!F13:J13)</f>
        <v>79821997.25</v>
      </c>
      <c r="P13" s="2">
        <f>SUM(Levy!U13:V13)</f>
        <v>0</v>
      </c>
      <c r="Q13" s="2">
        <f t="shared" si="6"/>
        <v>79821997.25</v>
      </c>
    </row>
    <row r="14" spans="1:17" x14ac:dyDescent="0.2">
      <c r="A14" s="5">
        <v>12</v>
      </c>
      <c r="B14" s="5">
        <v>1</v>
      </c>
      <c r="C14" s="2" t="s">
        <v>12</v>
      </c>
      <c r="D14" s="3">
        <f>SUM(Shift11!D14:L14)</f>
        <v>3880293.5599999996</v>
      </c>
      <c r="E14" s="3">
        <f>ROUND(MAX(0,(Levy!Q14+Data!D14+Data!E14-Levy!U14)*0.5),2)</f>
        <v>3861686.04</v>
      </c>
      <c r="F14" s="3">
        <f t="shared" si="1"/>
        <v>18607.519999999553</v>
      </c>
      <c r="G14" s="3">
        <f t="shared" si="2"/>
        <v>3861686.04</v>
      </c>
      <c r="I14" s="3">
        <f>SUM(Shift11!M14:N14)</f>
        <v>225346.88</v>
      </c>
      <c r="J14" s="3">
        <f>ROUND(MAX(0,(Levy!R14-Levy!V14)*0.5),2)</f>
        <v>231838.36</v>
      </c>
      <c r="K14" s="3">
        <f t="shared" si="3"/>
        <v>0</v>
      </c>
      <c r="L14" s="3">
        <f t="shared" si="4"/>
        <v>225346.88</v>
      </c>
      <c r="N14" s="3">
        <f t="shared" si="5"/>
        <v>4087032.92</v>
      </c>
      <c r="O14" s="2">
        <f>SUM(Levy!F14:J14)</f>
        <v>8187048.79</v>
      </c>
      <c r="P14" s="2">
        <f>SUM(Levy!U14:V14)</f>
        <v>0</v>
      </c>
      <c r="Q14" s="2">
        <f t="shared" si="6"/>
        <v>8187048.79</v>
      </c>
    </row>
    <row r="15" spans="1:17" x14ac:dyDescent="0.2">
      <c r="A15" s="5">
        <v>13</v>
      </c>
      <c r="B15" s="5">
        <v>1</v>
      </c>
      <c r="C15" s="2" t="s">
        <v>13</v>
      </c>
      <c r="D15" s="3">
        <f>SUM(Shift11!D15:L15)</f>
        <v>2646798.6399999997</v>
      </c>
      <c r="E15" s="3">
        <f>ROUND(MAX(0,(Levy!Q15+Data!D15+Data!E15-Levy!U15)*0.5),2)</f>
        <v>2674437.73</v>
      </c>
      <c r="F15" s="3">
        <f t="shared" si="1"/>
        <v>0</v>
      </c>
      <c r="G15" s="3">
        <f t="shared" si="2"/>
        <v>2646798.6399999997</v>
      </c>
      <c r="I15" s="3">
        <f>SUM(Shift11!M15:N15)</f>
        <v>139529.13</v>
      </c>
      <c r="J15" s="3">
        <f>ROUND(MAX(0,(Levy!R15-Levy!V15)*0.5),2)</f>
        <v>143548.49</v>
      </c>
      <c r="K15" s="3">
        <f t="shared" si="3"/>
        <v>0</v>
      </c>
      <c r="L15" s="3">
        <f t="shared" si="4"/>
        <v>139529.13</v>
      </c>
      <c r="N15" s="3">
        <f t="shared" si="5"/>
        <v>2786327.7699999996</v>
      </c>
      <c r="O15" s="2">
        <f>SUM(Levy!F15:J15)</f>
        <v>5635972.4299999997</v>
      </c>
      <c r="P15" s="2">
        <f>SUM(Levy!U15:V15)</f>
        <v>0</v>
      </c>
      <c r="Q15" s="2">
        <f t="shared" si="6"/>
        <v>5635972.4299999997</v>
      </c>
    </row>
    <row r="16" spans="1:17" x14ac:dyDescent="0.2">
      <c r="A16" s="5">
        <v>14</v>
      </c>
      <c r="B16" s="5">
        <v>1</v>
      </c>
      <c r="C16" s="2" t="s">
        <v>14</v>
      </c>
      <c r="D16" s="3">
        <f>SUM(Shift11!D16:L16)</f>
        <v>2759054.36</v>
      </c>
      <c r="E16" s="3">
        <f>ROUND(MAX(0,(Levy!Q16+Data!D16+Data!E16-Levy!U16)*0.5),2)</f>
        <v>2764154.79</v>
      </c>
      <c r="F16" s="3">
        <f t="shared" si="1"/>
        <v>0</v>
      </c>
      <c r="G16" s="3">
        <f t="shared" si="2"/>
        <v>2759054.36</v>
      </c>
      <c r="I16" s="3">
        <f>SUM(Shift11!M16:N16)</f>
        <v>219361.65</v>
      </c>
      <c r="J16" s="3">
        <f>ROUND(MAX(0,(Levy!R16-Levy!V16)*0.5),2)</f>
        <v>225680.71</v>
      </c>
      <c r="K16" s="3">
        <f t="shared" si="3"/>
        <v>0</v>
      </c>
      <c r="L16" s="3">
        <f t="shared" si="4"/>
        <v>219361.65</v>
      </c>
      <c r="N16" s="3">
        <f t="shared" si="5"/>
        <v>2978416.01</v>
      </c>
      <c r="O16" s="2">
        <f>SUM(Levy!F16:J16)</f>
        <v>5979670.9900000002</v>
      </c>
      <c r="P16" s="2">
        <f>SUM(Levy!U16:V16)</f>
        <v>0</v>
      </c>
      <c r="Q16" s="2">
        <f t="shared" si="6"/>
        <v>5979670.9900000002</v>
      </c>
    </row>
    <row r="17" spans="1:17" x14ac:dyDescent="0.2">
      <c r="A17" s="5">
        <v>15</v>
      </c>
      <c r="B17" s="5">
        <v>1</v>
      </c>
      <c r="C17" s="2" t="s">
        <v>15</v>
      </c>
      <c r="D17" s="3">
        <f>SUM(Shift11!D17:L17)</f>
        <v>2635713.9899999998</v>
      </c>
      <c r="E17" s="3">
        <f>ROUND(MAX(0,(Levy!Q17+Data!D17+Data!E17-Levy!U17)*0.5),2)</f>
        <v>2595151.0099999998</v>
      </c>
      <c r="F17" s="3">
        <f t="shared" si="1"/>
        <v>40562.979999999981</v>
      </c>
      <c r="G17" s="3">
        <f t="shared" si="2"/>
        <v>2595151.0099999998</v>
      </c>
      <c r="I17" s="3">
        <f>SUM(Shift11!M17:N17)</f>
        <v>194944.64000000001</v>
      </c>
      <c r="J17" s="3">
        <f>ROUND(MAX(0,(Levy!R17-Levy!V17)*0.5),2)</f>
        <v>200560.33</v>
      </c>
      <c r="K17" s="3">
        <f t="shared" si="3"/>
        <v>0</v>
      </c>
      <c r="L17" s="3">
        <f t="shared" si="4"/>
        <v>194944.64000000001</v>
      </c>
      <c r="N17" s="3">
        <f t="shared" si="5"/>
        <v>2790095.65</v>
      </c>
      <c r="O17" s="2">
        <f>SUM(Levy!F17:J17)</f>
        <v>5591422.6699999999</v>
      </c>
      <c r="P17" s="2">
        <f>SUM(Levy!U17:V17)</f>
        <v>0</v>
      </c>
      <c r="Q17" s="2">
        <f t="shared" si="6"/>
        <v>5591422.6699999999</v>
      </c>
    </row>
    <row r="18" spans="1:17" x14ac:dyDescent="0.2">
      <c r="A18" s="5">
        <v>16</v>
      </c>
      <c r="B18" s="5">
        <v>1</v>
      </c>
      <c r="C18" s="2" t="s">
        <v>16</v>
      </c>
      <c r="D18" s="3">
        <f>SUM(Shift11!D18:L18)</f>
        <v>4339041.51</v>
      </c>
      <c r="E18" s="3">
        <f>ROUND(MAX(0,(Levy!Q18+Data!D18+Data!E18-Levy!U18)*0.5),2)</f>
        <v>4362235.3099999996</v>
      </c>
      <c r="F18" s="3">
        <f t="shared" si="1"/>
        <v>0</v>
      </c>
      <c r="G18" s="3">
        <f t="shared" si="2"/>
        <v>4339041.51</v>
      </c>
      <c r="I18" s="3">
        <f>SUM(Shift11!M18:N18)</f>
        <v>206222.85</v>
      </c>
      <c r="J18" s="3">
        <f>ROUND(MAX(0,(Levy!R18-Levy!V18)*0.5),2)</f>
        <v>212163.43</v>
      </c>
      <c r="K18" s="3">
        <f t="shared" si="3"/>
        <v>0</v>
      </c>
      <c r="L18" s="3">
        <f t="shared" si="4"/>
        <v>206222.85</v>
      </c>
      <c r="N18" s="3">
        <f t="shared" si="5"/>
        <v>4545264.3599999994</v>
      </c>
      <c r="O18" s="2">
        <f>SUM(Levy!F18:J18)</f>
        <v>9148797.4699999988</v>
      </c>
      <c r="P18" s="2">
        <f>SUM(Levy!U18:V18)</f>
        <v>0</v>
      </c>
      <c r="Q18" s="2">
        <f t="shared" si="6"/>
        <v>9148797.4699999988</v>
      </c>
    </row>
    <row r="19" spans="1:17" x14ac:dyDescent="0.2">
      <c r="A19" s="5">
        <v>22</v>
      </c>
      <c r="B19" s="5">
        <v>1</v>
      </c>
      <c r="C19" s="2" t="s">
        <v>17</v>
      </c>
      <c r="D19" s="3">
        <f>SUM(Shift11!D19:L19)</f>
        <v>1421020.6100000003</v>
      </c>
      <c r="E19" s="3">
        <f>ROUND(MAX(0,(Levy!Q19+Data!D19+Data!E19-Levy!U19)*0.5),2)</f>
        <v>1427866.69</v>
      </c>
      <c r="F19" s="3">
        <f t="shared" si="1"/>
        <v>0</v>
      </c>
      <c r="G19" s="3">
        <f t="shared" si="2"/>
        <v>1421020.6100000003</v>
      </c>
      <c r="I19" s="3">
        <f>SUM(Shift11!M19:N19)</f>
        <v>96544.98</v>
      </c>
      <c r="J19" s="3">
        <f>ROUND(MAX(0,(Levy!R19-Levy!V19)*0.5),2)</f>
        <v>99326.12</v>
      </c>
      <c r="K19" s="3">
        <f t="shared" si="3"/>
        <v>0</v>
      </c>
      <c r="L19" s="3">
        <f t="shared" si="4"/>
        <v>96544.98</v>
      </c>
      <c r="N19" s="3">
        <f t="shared" si="5"/>
        <v>1517565.5900000003</v>
      </c>
      <c r="O19" s="2">
        <f>SUM(Levy!F19:J19)</f>
        <v>3054385.61</v>
      </c>
      <c r="P19" s="2">
        <f>SUM(Levy!U19:V19)</f>
        <v>0</v>
      </c>
      <c r="Q19" s="2">
        <f t="shared" si="6"/>
        <v>3054385.61</v>
      </c>
    </row>
    <row r="20" spans="1:17" x14ac:dyDescent="0.2">
      <c r="A20" s="5">
        <v>23</v>
      </c>
      <c r="B20" s="5">
        <v>1</v>
      </c>
      <c r="C20" s="2" t="s">
        <v>18</v>
      </c>
      <c r="D20" s="3">
        <f>SUM(Shift11!D20:L20)</f>
        <v>689490.44000000006</v>
      </c>
      <c r="E20" s="3">
        <f>ROUND(MAX(0,(Levy!Q20+Data!D20+Data!E20-Levy!U20)*0.5),2)</f>
        <v>691255.29</v>
      </c>
      <c r="F20" s="3">
        <f t="shared" si="1"/>
        <v>0</v>
      </c>
      <c r="G20" s="3">
        <f t="shared" si="2"/>
        <v>689490.44000000006</v>
      </c>
      <c r="I20" s="3">
        <f>SUM(Shift11!M20:N20)</f>
        <v>40453.61</v>
      </c>
      <c r="J20" s="3">
        <f>ROUND(MAX(0,(Levy!R20-Levy!V20)*0.5),2)</f>
        <v>41618.949999999997</v>
      </c>
      <c r="K20" s="3">
        <f t="shared" si="3"/>
        <v>0</v>
      </c>
      <c r="L20" s="3">
        <f t="shared" si="4"/>
        <v>40453.61</v>
      </c>
      <c r="N20" s="3">
        <f t="shared" si="5"/>
        <v>729944.05</v>
      </c>
      <c r="O20" s="2">
        <f>SUM(Levy!F20:J20)</f>
        <v>1465748.4699999997</v>
      </c>
      <c r="P20" s="2">
        <f>SUM(Levy!U20:V20)</f>
        <v>0</v>
      </c>
      <c r="Q20" s="2">
        <f t="shared" si="6"/>
        <v>1465748.4699999997</v>
      </c>
    </row>
    <row r="21" spans="1:17" x14ac:dyDescent="0.2">
      <c r="A21" s="5">
        <v>25</v>
      </c>
      <c r="B21" s="5">
        <v>1</v>
      </c>
      <c r="C21" s="2" t="s">
        <v>348</v>
      </c>
      <c r="D21" s="3">
        <f>SUM(Shift11!D21:L21)</f>
        <v>0</v>
      </c>
      <c r="E21" s="3">
        <f>ROUND(MAX(0,(Levy!Q21+Data!D21+Data!E21-Levy!U21)*0.5),2)</f>
        <v>0</v>
      </c>
      <c r="F21" s="3">
        <f t="shared" si="1"/>
        <v>0</v>
      </c>
      <c r="G21" s="3">
        <f t="shared" si="2"/>
        <v>0</v>
      </c>
      <c r="I21" s="3">
        <f>SUM(Shift11!M21:N21)</f>
        <v>0</v>
      </c>
      <c r="J21" s="3">
        <f>ROUND(MAX(0,(Levy!R21-Levy!V21)*0.5),2)</f>
        <v>0</v>
      </c>
      <c r="K21" s="3">
        <f t="shared" si="3"/>
        <v>0</v>
      </c>
      <c r="L21" s="3">
        <f t="shared" si="4"/>
        <v>0</v>
      </c>
      <c r="N21" s="3">
        <f t="shared" si="5"/>
        <v>0</v>
      </c>
      <c r="O21" s="2">
        <f>SUM(Levy!F21:J21)</f>
        <v>0</v>
      </c>
      <c r="P21" s="2">
        <f>SUM(Levy!U21:V21)</f>
        <v>0</v>
      </c>
      <c r="Q21" s="2">
        <f t="shared" si="6"/>
        <v>0</v>
      </c>
    </row>
    <row r="22" spans="1:17" x14ac:dyDescent="0.2">
      <c r="A22" s="5">
        <v>31</v>
      </c>
      <c r="B22" s="5">
        <v>1</v>
      </c>
      <c r="C22" s="2" t="s">
        <v>19</v>
      </c>
      <c r="D22" s="3">
        <f>SUM(Shift11!D22:L22)</f>
        <v>2186750.2000000002</v>
      </c>
      <c r="E22" s="3">
        <f>ROUND(MAX(0,(Levy!Q22+Data!D22+Data!E22-Levy!U22)*0.5),2)</f>
        <v>2180879.37</v>
      </c>
      <c r="F22" s="3">
        <f t="shared" si="1"/>
        <v>5870.8300000000745</v>
      </c>
      <c r="G22" s="3">
        <f t="shared" si="2"/>
        <v>2180879.37</v>
      </c>
      <c r="I22" s="3">
        <f>SUM(Shift11!M22:N22)</f>
        <v>175146.08</v>
      </c>
      <c r="J22" s="3">
        <f>ROUND(MAX(0,(Levy!R22-Levy!V22)*0.5),2)</f>
        <v>180191.45</v>
      </c>
      <c r="K22" s="3">
        <f t="shared" si="3"/>
        <v>0</v>
      </c>
      <c r="L22" s="3">
        <f t="shared" si="4"/>
        <v>175146.08</v>
      </c>
      <c r="N22" s="3">
        <f t="shared" si="5"/>
        <v>2356025.4500000002</v>
      </c>
      <c r="O22" s="2">
        <f>SUM(Levy!F22:J22)</f>
        <v>4722141.6199999992</v>
      </c>
      <c r="P22" s="2">
        <f>SUM(Levy!U22:V22)</f>
        <v>0</v>
      </c>
      <c r="Q22" s="2">
        <f t="shared" si="6"/>
        <v>4722141.6199999992</v>
      </c>
    </row>
    <row r="23" spans="1:17" x14ac:dyDescent="0.2">
      <c r="A23" s="5">
        <v>32</v>
      </c>
      <c r="B23" s="5">
        <v>1</v>
      </c>
      <c r="C23" s="2" t="s">
        <v>20</v>
      </c>
      <c r="D23" s="3">
        <f>SUM(Shift11!D23:L23)</f>
        <v>158194.46</v>
      </c>
      <c r="E23" s="3">
        <f>ROUND(MAX(0,(Levy!Q23+Data!D23+Data!E23-Levy!U23)*0.5),2)</f>
        <v>153793.72</v>
      </c>
      <c r="F23" s="3">
        <f t="shared" si="1"/>
        <v>4400.7399999999907</v>
      </c>
      <c r="G23" s="3">
        <f t="shared" si="2"/>
        <v>153793.72</v>
      </c>
      <c r="I23" s="3">
        <f>SUM(Shift11!M23:N23)</f>
        <v>17072.07</v>
      </c>
      <c r="J23" s="3">
        <f>ROUND(MAX(0,(Levy!R23-Levy!V23)*0.5),2)</f>
        <v>17563.86</v>
      </c>
      <c r="K23" s="3">
        <f t="shared" si="3"/>
        <v>0</v>
      </c>
      <c r="L23" s="3">
        <f t="shared" si="4"/>
        <v>17072.07</v>
      </c>
      <c r="N23" s="3">
        <f t="shared" si="5"/>
        <v>170865.79</v>
      </c>
      <c r="O23" s="2">
        <f>SUM(Levy!F23:J23)</f>
        <v>342715.14</v>
      </c>
      <c r="P23" s="2">
        <f>SUM(Levy!U23:V23)</f>
        <v>0</v>
      </c>
      <c r="Q23" s="2">
        <f t="shared" si="6"/>
        <v>342715.14</v>
      </c>
    </row>
    <row r="24" spans="1:17" x14ac:dyDescent="0.2">
      <c r="A24" s="5">
        <v>36</v>
      </c>
      <c r="B24" s="5">
        <v>1</v>
      </c>
      <c r="C24" s="2" t="s">
        <v>21</v>
      </c>
      <c r="D24" s="3">
        <f>SUM(Shift11!D24:L24)</f>
        <v>14617.32</v>
      </c>
      <c r="E24" s="3">
        <f>ROUND(MAX(0,(Levy!Q24+Data!D24+Data!E24-Levy!U24)*0.5),2)</f>
        <v>15038.39</v>
      </c>
      <c r="F24" s="3">
        <f t="shared" si="1"/>
        <v>0</v>
      </c>
      <c r="G24" s="3">
        <f t="shared" si="2"/>
        <v>14617.32</v>
      </c>
      <c r="I24" s="3">
        <f>SUM(Shift11!M24:N24)</f>
        <v>6083.69</v>
      </c>
      <c r="J24" s="3">
        <f>ROUND(MAX(0,(Levy!R24-Levy!V24)*0.5),2)</f>
        <v>6258.94</v>
      </c>
      <c r="K24" s="3">
        <f t="shared" si="3"/>
        <v>0</v>
      </c>
      <c r="L24" s="3">
        <f t="shared" si="4"/>
        <v>6083.69</v>
      </c>
      <c r="N24" s="3">
        <f t="shared" si="5"/>
        <v>20701.009999999998</v>
      </c>
      <c r="O24" s="2">
        <f>SUM(Levy!F24:J24)</f>
        <v>42594.659999999996</v>
      </c>
      <c r="P24" s="2">
        <f>SUM(Levy!U24:V24)</f>
        <v>0</v>
      </c>
      <c r="Q24" s="2">
        <f t="shared" si="6"/>
        <v>42594.659999999996</v>
      </c>
    </row>
    <row r="25" spans="1:17" x14ac:dyDescent="0.2">
      <c r="A25" s="5">
        <v>38</v>
      </c>
      <c r="B25" s="5">
        <v>1</v>
      </c>
      <c r="C25" s="2" t="s">
        <v>22</v>
      </c>
      <c r="D25" s="3">
        <f>SUM(Shift11!D25:L25)</f>
        <v>2181.6799999999998</v>
      </c>
      <c r="E25" s="3">
        <f>ROUND(MAX(0,(Levy!Q25+Data!D25+Data!E25-Levy!U25)*0.5),2)</f>
        <v>2471.16</v>
      </c>
      <c r="F25" s="3">
        <f t="shared" si="1"/>
        <v>0</v>
      </c>
      <c r="G25" s="3">
        <f t="shared" si="2"/>
        <v>2181.6799999999998</v>
      </c>
      <c r="I25" s="3">
        <f>SUM(Shift11!M25:N25)</f>
        <v>58.28</v>
      </c>
      <c r="J25" s="3">
        <f>ROUND(MAX(0,(Levy!R25-Levy!V25)*0.5),2)</f>
        <v>59.96</v>
      </c>
      <c r="K25" s="3">
        <f t="shared" si="3"/>
        <v>0</v>
      </c>
      <c r="L25" s="3">
        <f t="shared" si="4"/>
        <v>58.28</v>
      </c>
      <c r="N25" s="3">
        <f t="shared" si="5"/>
        <v>2239.96</v>
      </c>
      <c r="O25" s="2">
        <f>SUM(Levy!F25:J25)</f>
        <v>5062.24</v>
      </c>
      <c r="P25" s="2">
        <f>SUM(Levy!U25:V25)</f>
        <v>0</v>
      </c>
      <c r="Q25" s="2">
        <f t="shared" si="6"/>
        <v>5062.24</v>
      </c>
    </row>
    <row r="26" spans="1:17" x14ac:dyDescent="0.2">
      <c r="A26" s="5">
        <v>47</v>
      </c>
      <c r="B26" s="5">
        <v>1</v>
      </c>
      <c r="C26" s="2" t="s">
        <v>23</v>
      </c>
      <c r="D26" s="3">
        <f>SUM(Shift11!D26:L26)</f>
        <v>861937.52</v>
      </c>
      <c r="E26" s="3">
        <f>ROUND(MAX(0,(Levy!Q26+Data!D26+Data!E26-Levy!U26)*0.5),2)</f>
        <v>690811.66</v>
      </c>
      <c r="F26" s="3">
        <f t="shared" si="1"/>
        <v>171125.86</v>
      </c>
      <c r="G26" s="3">
        <f t="shared" si="2"/>
        <v>690811.66</v>
      </c>
      <c r="I26" s="3">
        <f>SUM(Shift11!M26:N26)</f>
        <v>127806.94</v>
      </c>
      <c r="J26" s="3">
        <f>ROUND(MAX(0,(Levy!R26-Levy!V26)*0.5),2)</f>
        <v>131488.63</v>
      </c>
      <c r="K26" s="3">
        <f t="shared" si="3"/>
        <v>0</v>
      </c>
      <c r="L26" s="3">
        <f t="shared" si="4"/>
        <v>127806.94</v>
      </c>
      <c r="N26" s="3">
        <f t="shared" si="5"/>
        <v>818618.60000000009</v>
      </c>
      <c r="O26" s="2">
        <f>SUM(Levy!F26:J26)</f>
        <v>1644600.56</v>
      </c>
      <c r="P26" s="2">
        <f>SUM(Levy!U26:V26)</f>
        <v>0</v>
      </c>
      <c r="Q26" s="2">
        <f t="shared" si="6"/>
        <v>1644600.56</v>
      </c>
    </row>
    <row r="27" spans="1:17" x14ac:dyDescent="0.2">
      <c r="A27" s="5">
        <v>51</v>
      </c>
      <c r="B27" s="5">
        <v>1</v>
      </c>
      <c r="C27" s="2" t="s">
        <v>24</v>
      </c>
      <c r="D27" s="3">
        <f>SUM(Shift11!D27:L27)</f>
        <v>418246.80000000005</v>
      </c>
      <c r="E27" s="3">
        <f>ROUND(MAX(0,(Levy!Q27+Data!D27+Data!E27-Levy!U27)*0.5),2)</f>
        <v>403487.76</v>
      </c>
      <c r="F27" s="3">
        <f t="shared" si="1"/>
        <v>14759.040000000037</v>
      </c>
      <c r="G27" s="3">
        <f t="shared" si="2"/>
        <v>403487.76</v>
      </c>
      <c r="I27" s="3">
        <f>SUM(Shift11!M27:N27)</f>
        <v>47834.29</v>
      </c>
      <c r="J27" s="3">
        <f>ROUND(MAX(0,(Levy!R27-Levy!V27)*0.5),2)</f>
        <v>49212.24</v>
      </c>
      <c r="K27" s="3">
        <f t="shared" si="3"/>
        <v>0</v>
      </c>
      <c r="L27" s="3">
        <f t="shared" si="4"/>
        <v>47834.29</v>
      </c>
      <c r="N27" s="3">
        <f t="shared" si="5"/>
        <v>451322.05</v>
      </c>
      <c r="O27" s="2">
        <f>SUM(Levy!F27:J27)</f>
        <v>905399.99</v>
      </c>
      <c r="P27" s="2">
        <f>SUM(Levy!U27:V27)</f>
        <v>0</v>
      </c>
      <c r="Q27" s="2">
        <f t="shared" si="6"/>
        <v>905399.99</v>
      </c>
    </row>
    <row r="28" spans="1:17" x14ac:dyDescent="0.2">
      <c r="A28" s="5">
        <v>75</v>
      </c>
      <c r="B28" s="5">
        <v>1</v>
      </c>
      <c r="C28" s="2" t="s">
        <v>25</v>
      </c>
      <c r="D28" s="3">
        <f>SUM(Shift11!D28:L28)</f>
        <v>253308.37</v>
      </c>
      <c r="E28" s="3">
        <f>ROUND(MAX(0,(Levy!Q28+Data!D28+Data!E28-Levy!U28)*0.5),2)</f>
        <v>251649.08</v>
      </c>
      <c r="F28" s="3">
        <f t="shared" si="1"/>
        <v>1659.2900000000081</v>
      </c>
      <c r="G28" s="3">
        <f t="shared" si="2"/>
        <v>251649.08</v>
      </c>
      <c r="I28" s="3">
        <f>SUM(Shift11!M28:N28)</f>
        <v>14942.9</v>
      </c>
      <c r="J28" s="3">
        <f>ROUND(MAX(0,(Levy!R28-Levy!V28)*0.5),2)</f>
        <v>15373.36</v>
      </c>
      <c r="K28" s="3">
        <f t="shared" si="3"/>
        <v>0</v>
      </c>
      <c r="L28" s="3">
        <f t="shared" si="4"/>
        <v>14942.9</v>
      </c>
      <c r="N28" s="3">
        <f t="shared" si="5"/>
        <v>266591.98</v>
      </c>
      <c r="O28" s="2">
        <f>SUM(Levy!F28:J28)</f>
        <v>534044.86</v>
      </c>
      <c r="P28" s="2">
        <f>SUM(Levy!U28:V28)</f>
        <v>0</v>
      </c>
      <c r="Q28" s="2">
        <f t="shared" si="6"/>
        <v>534044.86</v>
      </c>
    </row>
    <row r="29" spans="1:17" x14ac:dyDescent="0.2">
      <c r="A29" s="5">
        <v>77</v>
      </c>
      <c r="B29" s="5">
        <v>1</v>
      </c>
      <c r="C29" s="2" t="s">
        <v>26</v>
      </c>
      <c r="D29" s="3">
        <f>SUM(Shift11!D29:L29)</f>
        <v>5055322.04</v>
      </c>
      <c r="E29" s="3">
        <f>ROUND(MAX(0,(Levy!Q29+Data!D29+Data!E29-Levy!U29)*0.5),2)</f>
        <v>5100260.51</v>
      </c>
      <c r="F29" s="3">
        <f t="shared" si="1"/>
        <v>0</v>
      </c>
      <c r="G29" s="3">
        <f t="shared" si="2"/>
        <v>5055322.04</v>
      </c>
      <c r="I29" s="3">
        <f>SUM(Shift11!M29:N29)</f>
        <v>325186.45</v>
      </c>
      <c r="J29" s="3">
        <f>ROUND(MAX(0,(Levy!R29-Levy!V29)*0.5),2)</f>
        <v>334553.96999999997</v>
      </c>
      <c r="K29" s="3">
        <f t="shared" si="3"/>
        <v>0</v>
      </c>
      <c r="L29" s="3">
        <f t="shared" si="4"/>
        <v>325186.45</v>
      </c>
      <c r="N29" s="3">
        <f t="shared" si="5"/>
        <v>5380508.4900000002</v>
      </c>
      <c r="O29" s="2">
        <f>SUM(Levy!F29:J29)</f>
        <v>10869628.949999999</v>
      </c>
      <c r="P29" s="2">
        <f>SUM(Levy!U29:V29)</f>
        <v>0</v>
      </c>
      <c r="Q29" s="2">
        <f t="shared" si="6"/>
        <v>10869628.949999999</v>
      </c>
    </row>
    <row r="30" spans="1:17" x14ac:dyDescent="0.2">
      <c r="A30" s="5">
        <v>81</v>
      </c>
      <c r="B30" s="5">
        <v>1</v>
      </c>
      <c r="C30" s="2" t="s">
        <v>27</v>
      </c>
      <c r="D30" s="3">
        <f>SUM(Shift11!D30:L30)</f>
        <v>155453.78999999998</v>
      </c>
      <c r="E30" s="3">
        <f>ROUND(MAX(0,(Levy!Q30+Data!D30+Data!E30-Levy!U30)*0.5),2)</f>
        <v>153506.85999999999</v>
      </c>
      <c r="F30" s="3">
        <f t="shared" si="1"/>
        <v>1946.929999999993</v>
      </c>
      <c r="G30" s="3">
        <f t="shared" si="2"/>
        <v>153506.85999999999</v>
      </c>
      <c r="I30" s="3">
        <f>SUM(Shift11!M30:N30)</f>
        <v>11990.73</v>
      </c>
      <c r="J30" s="3">
        <f>ROUND(MAX(0,(Levy!R30-Levy!V30)*0.5),2)</f>
        <v>12336.14</v>
      </c>
      <c r="K30" s="3">
        <f t="shared" si="3"/>
        <v>0</v>
      </c>
      <c r="L30" s="3">
        <f t="shared" si="4"/>
        <v>11990.73</v>
      </c>
      <c r="N30" s="3">
        <f t="shared" si="5"/>
        <v>165497.59</v>
      </c>
      <c r="O30" s="2">
        <f>SUM(Levy!F30:J30)</f>
        <v>331686</v>
      </c>
      <c r="P30" s="2">
        <f>SUM(Levy!U30:V30)</f>
        <v>0</v>
      </c>
      <c r="Q30" s="2">
        <f t="shared" si="6"/>
        <v>331686</v>
      </c>
    </row>
    <row r="31" spans="1:17" x14ac:dyDescent="0.2">
      <c r="A31" s="5">
        <v>84</v>
      </c>
      <c r="B31" s="5">
        <v>1</v>
      </c>
      <c r="C31" s="2" t="s">
        <v>28</v>
      </c>
      <c r="D31" s="3">
        <f>SUM(Shift11!D31:L31)</f>
        <v>237411.43999999997</v>
      </c>
      <c r="E31" s="3">
        <f>ROUND(MAX(0,(Levy!Q31+Data!D31+Data!E31-Levy!U31)*0.5),2)</f>
        <v>165936.76999999999</v>
      </c>
      <c r="F31" s="3">
        <f t="shared" si="1"/>
        <v>71474.669999999984</v>
      </c>
      <c r="G31" s="3">
        <f t="shared" si="2"/>
        <v>165936.76999999999</v>
      </c>
      <c r="I31" s="3">
        <f>SUM(Shift11!M31:N31)</f>
        <v>35011.9</v>
      </c>
      <c r="J31" s="3">
        <f>ROUND(MAX(0,(Levy!R31-Levy!V31)*0.5),2)</f>
        <v>36020.47</v>
      </c>
      <c r="K31" s="3">
        <f t="shared" si="3"/>
        <v>0</v>
      </c>
      <c r="L31" s="3">
        <f t="shared" si="4"/>
        <v>35011.9</v>
      </c>
      <c r="N31" s="3">
        <f t="shared" si="5"/>
        <v>200948.66999999998</v>
      </c>
      <c r="O31" s="2">
        <f>SUM(Levy!F31:J31)</f>
        <v>403914.48000000004</v>
      </c>
      <c r="P31" s="2">
        <f>SUM(Levy!U31:V31)</f>
        <v>0</v>
      </c>
      <c r="Q31" s="2">
        <f t="shared" si="6"/>
        <v>403914.48000000004</v>
      </c>
    </row>
    <row r="32" spans="1:17" x14ac:dyDescent="0.2">
      <c r="A32" s="5">
        <v>85</v>
      </c>
      <c r="B32" s="5">
        <v>1</v>
      </c>
      <c r="C32" s="2" t="s">
        <v>29</v>
      </c>
      <c r="D32" s="3">
        <f>SUM(Shift11!D32:L32)</f>
        <v>210569.69999999998</v>
      </c>
      <c r="E32" s="3">
        <f>ROUND(MAX(0,(Levy!Q32+Data!D32+Data!E32-Levy!U32)*0.5),2)</f>
        <v>203123.21</v>
      </c>
      <c r="F32" s="3">
        <f t="shared" si="1"/>
        <v>7446.4899999999907</v>
      </c>
      <c r="G32" s="3">
        <f t="shared" si="2"/>
        <v>203123.21</v>
      </c>
      <c r="I32" s="3">
        <f>SUM(Shift11!M32:N32)</f>
        <v>16413.759999999998</v>
      </c>
      <c r="J32" s="3">
        <f>ROUND(MAX(0,(Levy!R32-Levy!V32)*0.5),2)</f>
        <v>16886.59</v>
      </c>
      <c r="K32" s="3">
        <f t="shared" si="3"/>
        <v>0</v>
      </c>
      <c r="L32" s="3">
        <f t="shared" si="4"/>
        <v>16413.759999999998</v>
      </c>
      <c r="N32" s="3">
        <f t="shared" si="5"/>
        <v>219536.97</v>
      </c>
      <c r="O32" s="2">
        <f>SUM(Levy!F32:J32)</f>
        <v>440019.59</v>
      </c>
      <c r="P32" s="2">
        <f>SUM(Levy!U32:V32)</f>
        <v>0</v>
      </c>
      <c r="Q32" s="2">
        <f t="shared" si="6"/>
        <v>440019.59</v>
      </c>
    </row>
    <row r="33" spans="1:17" x14ac:dyDescent="0.2">
      <c r="A33" s="5">
        <v>88</v>
      </c>
      <c r="B33" s="5">
        <v>1</v>
      </c>
      <c r="C33" s="2" t="s">
        <v>30</v>
      </c>
      <c r="D33" s="3">
        <f>SUM(Shift11!D33:L33)</f>
        <v>1647126.32</v>
      </c>
      <c r="E33" s="3">
        <f>ROUND(MAX(0,(Levy!Q33+Data!D33+Data!E33-Levy!U33)*0.5),2)</f>
        <v>1609380.57</v>
      </c>
      <c r="F33" s="3">
        <f t="shared" si="1"/>
        <v>37745.75</v>
      </c>
      <c r="G33" s="3">
        <f t="shared" si="2"/>
        <v>1609380.57</v>
      </c>
      <c r="I33" s="3">
        <f>SUM(Shift11!M33:N33)</f>
        <v>99158.68</v>
      </c>
      <c r="J33" s="3">
        <f>ROUND(MAX(0,(Levy!R33-Levy!V33)*0.5),2)</f>
        <v>102015.11</v>
      </c>
      <c r="K33" s="3">
        <f t="shared" si="3"/>
        <v>0</v>
      </c>
      <c r="L33" s="3">
        <f t="shared" si="4"/>
        <v>99158.68</v>
      </c>
      <c r="N33" s="3">
        <f t="shared" si="5"/>
        <v>1708539.25</v>
      </c>
      <c r="O33" s="2">
        <f>SUM(Levy!F33:J33)</f>
        <v>3422791.3499999996</v>
      </c>
      <c r="P33" s="2">
        <f>SUM(Levy!U33:V33)</f>
        <v>0</v>
      </c>
      <c r="Q33" s="2">
        <f t="shared" si="6"/>
        <v>3422791.3499999996</v>
      </c>
    </row>
    <row r="34" spans="1:17" x14ac:dyDescent="0.2">
      <c r="A34" s="5">
        <v>91</v>
      </c>
      <c r="B34" s="5">
        <v>1</v>
      </c>
      <c r="C34" s="2" t="s">
        <v>31</v>
      </c>
      <c r="D34" s="3">
        <f>SUM(Shift11!D34:L34)</f>
        <v>192304.28</v>
      </c>
      <c r="E34" s="3">
        <f>ROUND(MAX(0,(Levy!Q34+Data!D34+Data!E34-Levy!U34)*0.5),2)</f>
        <v>183745.49</v>
      </c>
      <c r="F34" s="3">
        <f t="shared" si="1"/>
        <v>8558.7900000000081</v>
      </c>
      <c r="G34" s="3">
        <f t="shared" si="2"/>
        <v>183745.49</v>
      </c>
      <c r="I34" s="3">
        <f>SUM(Shift11!M34:N34)</f>
        <v>24432.86</v>
      </c>
      <c r="J34" s="3">
        <f>ROUND(MAX(0,(Levy!R34-Levy!V34)*0.5),2)</f>
        <v>25136.69</v>
      </c>
      <c r="K34" s="3">
        <f t="shared" si="3"/>
        <v>0</v>
      </c>
      <c r="L34" s="3">
        <f t="shared" si="4"/>
        <v>24432.86</v>
      </c>
      <c r="N34" s="3">
        <f t="shared" si="5"/>
        <v>208178.34999999998</v>
      </c>
      <c r="O34" s="2">
        <f>SUM(Levy!F34:J34)</f>
        <v>417764.33999999997</v>
      </c>
      <c r="P34" s="2">
        <f>SUM(Levy!U34:V34)</f>
        <v>0</v>
      </c>
      <c r="Q34" s="2">
        <f t="shared" si="6"/>
        <v>417764.33999999997</v>
      </c>
    </row>
    <row r="35" spans="1:17" x14ac:dyDescent="0.2">
      <c r="A35" s="5">
        <v>93</v>
      </c>
      <c r="B35" s="5">
        <v>1</v>
      </c>
      <c r="C35" s="2" t="s">
        <v>32</v>
      </c>
      <c r="D35" s="3">
        <f>SUM(Shift11!D35:L35)</f>
        <v>475867.48</v>
      </c>
      <c r="E35" s="3">
        <f>ROUND(MAX(0,(Levy!Q35+Data!D35+Data!E35-Levy!U35)*0.5),2)</f>
        <v>481959.07</v>
      </c>
      <c r="F35" s="3">
        <f t="shared" si="1"/>
        <v>0</v>
      </c>
      <c r="G35" s="3">
        <f t="shared" si="2"/>
        <v>475867.48</v>
      </c>
      <c r="I35" s="3">
        <f>SUM(Shift11!M35:N35)</f>
        <v>19006.11</v>
      </c>
      <c r="J35" s="3">
        <f>ROUND(MAX(0,(Levy!R35-Levy!V35)*0.5),2)</f>
        <v>19553.62</v>
      </c>
      <c r="K35" s="3">
        <f t="shared" si="3"/>
        <v>0</v>
      </c>
      <c r="L35" s="3">
        <f t="shared" si="4"/>
        <v>19006.11</v>
      </c>
      <c r="N35" s="3">
        <f t="shared" si="5"/>
        <v>494873.58999999997</v>
      </c>
      <c r="O35" s="2">
        <f>SUM(Levy!F35:J35)</f>
        <v>1003025.3699999999</v>
      </c>
      <c r="P35" s="2">
        <f>SUM(Levy!U35:V35)</f>
        <v>0</v>
      </c>
      <c r="Q35" s="2">
        <f t="shared" si="6"/>
        <v>1003025.3699999999</v>
      </c>
    </row>
    <row r="36" spans="1:17" x14ac:dyDescent="0.2">
      <c r="A36" s="5">
        <v>94</v>
      </c>
      <c r="B36" s="5">
        <v>1</v>
      </c>
      <c r="C36" s="2" t="s">
        <v>33</v>
      </c>
      <c r="D36" s="3">
        <f>SUM(Shift11!D36:L36)</f>
        <v>481616.50000000006</v>
      </c>
      <c r="E36" s="3">
        <f>ROUND(MAX(0,(Levy!Q36+Data!D36+Data!E36-Levy!U36)*0.5),2)</f>
        <v>448199.03</v>
      </c>
      <c r="F36" s="3">
        <f t="shared" si="1"/>
        <v>33417.47000000003</v>
      </c>
      <c r="G36" s="3">
        <f t="shared" si="2"/>
        <v>448199.03</v>
      </c>
      <c r="I36" s="3">
        <f>SUM(Shift11!M36:N36)</f>
        <v>119697.56</v>
      </c>
      <c r="J36" s="3">
        <f>ROUND(MAX(0,(Levy!R36-Levy!V36)*0.5),2)</f>
        <v>123145.64</v>
      </c>
      <c r="K36" s="3">
        <f t="shared" si="3"/>
        <v>0</v>
      </c>
      <c r="L36" s="3">
        <f t="shared" si="4"/>
        <v>119697.56</v>
      </c>
      <c r="N36" s="3">
        <f t="shared" si="5"/>
        <v>567896.59000000008</v>
      </c>
      <c r="O36" s="2">
        <f>SUM(Levy!F36:J36)</f>
        <v>1142689.32</v>
      </c>
      <c r="P36" s="2">
        <f>SUM(Levy!U36:V36)</f>
        <v>0</v>
      </c>
      <c r="Q36" s="2">
        <f t="shared" si="6"/>
        <v>1142689.32</v>
      </c>
    </row>
    <row r="37" spans="1:17" x14ac:dyDescent="0.2">
      <c r="A37" s="5">
        <v>95</v>
      </c>
      <c r="B37" s="5">
        <v>1</v>
      </c>
      <c r="C37" s="2" t="s">
        <v>34</v>
      </c>
      <c r="D37" s="3">
        <f>SUM(Shift11!D37:L37)</f>
        <v>64596.51</v>
      </c>
      <c r="E37" s="3">
        <f>ROUND(MAX(0,(Levy!Q37+Data!D37+Data!E37-Levy!U37)*0.5),2)</f>
        <v>59492.65</v>
      </c>
      <c r="F37" s="3">
        <f t="shared" si="1"/>
        <v>5103.8600000000006</v>
      </c>
      <c r="G37" s="3">
        <f t="shared" si="2"/>
        <v>59492.65</v>
      </c>
      <c r="I37" s="3">
        <f>SUM(Shift11!M37:N37)</f>
        <v>10289.59</v>
      </c>
      <c r="J37" s="3">
        <f>ROUND(MAX(0,(Levy!R37-Levy!V37)*0.5),2)</f>
        <v>10586</v>
      </c>
      <c r="K37" s="3">
        <f t="shared" si="3"/>
        <v>0</v>
      </c>
      <c r="L37" s="3">
        <f t="shared" si="4"/>
        <v>10289.59</v>
      </c>
      <c r="N37" s="3">
        <f t="shared" si="5"/>
        <v>69782.240000000005</v>
      </c>
      <c r="O37" s="2">
        <f>SUM(Levy!F37:J37)</f>
        <v>140157.28</v>
      </c>
      <c r="P37" s="2">
        <f>SUM(Levy!U37:V37)</f>
        <v>0</v>
      </c>
      <c r="Q37" s="2">
        <f t="shared" si="6"/>
        <v>140157.28</v>
      </c>
    </row>
    <row r="38" spans="1:17" x14ac:dyDescent="0.2">
      <c r="A38" s="5">
        <v>97</v>
      </c>
      <c r="B38" s="5">
        <v>1</v>
      </c>
      <c r="C38" s="2" t="s">
        <v>35</v>
      </c>
      <c r="D38" s="3">
        <f>SUM(Shift11!D38:L38)</f>
        <v>277010.94</v>
      </c>
      <c r="E38" s="3">
        <f>ROUND(MAX(0,(Levy!Q38+Data!D38+Data!E38-Levy!U38)*0.5),2)</f>
        <v>272130.27</v>
      </c>
      <c r="F38" s="3">
        <f t="shared" si="1"/>
        <v>4880.6699999999837</v>
      </c>
      <c r="G38" s="3">
        <f t="shared" si="2"/>
        <v>272130.27</v>
      </c>
      <c r="I38" s="3">
        <f>SUM(Shift11!M38:N38)</f>
        <v>29268.74</v>
      </c>
      <c r="J38" s="3">
        <f>ROUND(MAX(0,(Levy!R38-Levy!V38)*0.5),2)</f>
        <v>30111.88</v>
      </c>
      <c r="K38" s="3">
        <f t="shared" si="3"/>
        <v>0</v>
      </c>
      <c r="L38" s="3">
        <f t="shared" si="4"/>
        <v>29268.74</v>
      </c>
      <c r="N38" s="3">
        <f t="shared" si="5"/>
        <v>301399.01</v>
      </c>
      <c r="O38" s="2">
        <f>SUM(Levy!F38:J38)</f>
        <v>604484.28</v>
      </c>
      <c r="P38" s="2">
        <f>SUM(Levy!U38:V38)</f>
        <v>0</v>
      </c>
      <c r="Q38" s="2">
        <f t="shared" si="6"/>
        <v>604484.28</v>
      </c>
    </row>
    <row r="39" spans="1:17" x14ac:dyDescent="0.2">
      <c r="A39" s="5">
        <v>99</v>
      </c>
      <c r="B39" s="5">
        <v>1</v>
      </c>
      <c r="C39" s="2" t="s">
        <v>36</v>
      </c>
      <c r="D39" s="3">
        <f>SUM(Shift11!D39:L39)</f>
        <v>262827.96000000002</v>
      </c>
      <c r="E39" s="3">
        <f>ROUND(MAX(0,(Levy!Q39+Data!D39+Data!E39-Levy!U39)*0.5),2)</f>
        <v>222653.63</v>
      </c>
      <c r="F39" s="3">
        <f t="shared" si="1"/>
        <v>40174.330000000016</v>
      </c>
      <c r="G39" s="3">
        <f t="shared" si="2"/>
        <v>222653.63</v>
      </c>
      <c r="I39" s="3">
        <f>SUM(Shift11!M39:N39)</f>
        <v>27121.93</v>
      </c>
      <c r="J39" s="3">
        <f>ROUND(MAX(0,(Levy!R39-Levy!V39)*0.5),2)</f>
        <v>27903.23</v>
      </c>
      <c r="K39" s="3">
        <f t="shared" si="3"/>
        <v>0</v>
      </c>
      <c r="L39" s="3">
        <f t="shared" si="4"/>
        <v>27121.93</v>
      </c>
      <c r="N39" s="3">
        <f t="shared" si="5"/>
        <v>249775.56</v>
      </c>
      <c r="O39" s="2">
        <f>SUM(Levy!F39:J39)</f>
        <v>501113.7</v>
      </c>
      <c r="P39" s="2">
        <f>SUM(Levy!U39:V39)</f>
        <v>0</v>
      </c>
      <c r="Q39" s="2">
        <f t="shared" si="6"/>
        <v>501113.7</v>
      </c>
    </row>
    <row r="40" spans="1:17" x14ac:dyDescent="0.2">
      <c r="A40" s="5">
        <v>100</v>
      </c>
      <c r="B40" s="5">
        <v>1</v>
      </c>
      <c r="C40" s="2" t="s">
        <v>37</v>
      </c>
      <c r="D40" s="3">
        <f>SUM(Shift11!D40:L40)</f>
        <v>198268.47</v>
      </c>
      <c r="E40" s="3">
        <f>ROUND(MAX(0,(Levy!Q40+Data!D40+Data!E40-Levy!U40)*0.5),2)</f>
        <v>184001.78</v>
      </c>
      <c r="F40" s="3">
        <f t="shared" si="1"/>
        <v>14266.690000000002</v>
      </c>
      <c r="G40" s="3">
        <f t="shared" si="2"/>
        <v>184001.78</v>
      </c>
      <c r="I40" s="3">
        <f>SUM(Shift11!M40:N40)</f>
        <v>10808.41</v>
      </c>
      <c r="J40" s="3">
        <f>ROUND(MAX(0,(Levy!R40-Levy!V40)*0.5),2)</f>
        <v>11119.76</v>
      </c>
      <c r="K40" s="3">
        <f t="shared" si="3"/>
        <v>0</v>
      </c>
      <c r="L40" s="3">
        <f t="shared" si="4"/>
        <v>10808.41</v>
      </c>
      <c r="N40" s="3">
        <f t="shared" si="5"/>
        <v>194810.19</v>
      </c>
      <c r="O40" s="2">
        <f>SUM(Levy!F40:J40)</f>
        <v>390243.07</v>
      </c>
      <c r="P40" s="2">
        <f>SUM(Levy!U40:V40)</f>
        <v>0</v>
      </c>
      <c r="Q40" s="2">
        <f t="shared" si="6"/>
        <v>390243.07</v>
      </c>
    </row>
    <row r="41" spans="1:17" x14ac:dyDescent="0.2">
      <c r="A41" s="5">
        <v>108</v>
      </c>
      <c r="B41" s="5">
        <v>1</v>
      </c>
      <c r="C41" s="2" t="s">
        <v>38</v>
      </c>
      <c r="D41" s="3">
        <f>SUM(Shift11!D41:L41)</f>
        <v>646006.6</v>
      </c>
      <c r="E41" s="3">
        <f>ROUND(MAX(0,(Levy!Q41+Data!D41+Data!E41-Levy!U41)*0.5),2)</f>
        <v>651207.31000000006</v>
      </c>
      <c r="F41" s="3">
        <f t="shared" si="1"/>
        <v>0</v>
      </c>
      <c r="G41" s="3">
        <f t="shared" si="2"/>
        <v>646006.6</v>
      </c>
      <c r="I41" s="3">
        <f>SUM(Shift11!M41:N41)</f>
        <v>91543.96</v>
      </c>
      <c r="J41" s="3">
        <f>ROUND(MAX(0,(Levy!R41-Levy!V41)*0.5),2)</f>
        <v>94181.03</v>
      </c>
      <c r="K41" s="3">
        <f t="shared" si="3"/>
        <v>0</v>
      </c>
      <c r="L41" s="3">
        <f t="shared" si="4"/>
        <v>91543.96</v>
      </c>
      <c r="N41" s="3">
        <f t="shared" si="5"/>
        <v>737550.55999999994</v>
      </c>
      <c r="O41" s="2">
        <f>SUM(Levy!F41:J41)</f>
        <v>1490776.6800000002</v>
      </c>
      <c r="P41" s="2">
        <f>SUM(Levy!U41:V41)</f>
        <v>0</v>
      </c>
      <c r="Q41" s="2">
        <f t="shared" si="6"/>
        <v>1490776.6800000002</v>
      </c>
    </row>
    <row r="42" spans="1:17" x14ac:dyDescent="0.2">
      <c r="A42" s="5">
        <v>110</v>
      </c>
      <c r="B42" s="5">
        <v>1</v>
      </c>
      <c r="C42" s="2" t="s">
        <v>39</v>
      </c>
      <c r="D42" s="3">
        <f>SUM(Shift11!D42:L42)</f>
        <v>2434651.7299999995</v>
      </c>
      <c r="E42" s="3">
        <f>ROUND(MAX(0,(Levy!Q42+Data!D42+Data!E42-Levy!U42)*0.5),2)</f>
        <v>2438860.41</v>
      </c>
      <c r="F42" s="3">
        <f t="shared" si="1"/>
        <v>0</v>
      </c>
      <c r="G42" s="3">
        <f t="shared" si="2"/>
        <v>2434651.7299999995</v>
      </c>
      <c r="I42" s="3">
        <f>SUM(Shift11!M42:N42)</f>
        <v>145364.23000000001</v>
      </c>
      <c r="J42" s="3">
        <f>ROUND(MAX(0,(Levy!R42-Levy!V42)*0.5),2)</f>
        <v>149551.67999999999</v>
      </c>
      <c r="K42" s="3">
        <f t="shared" si="3"/>
        <v>0</v>
      </c>
      <c r="L42" s="3">
        <f t="shared" si="4"/>
        <v>145364.23000000001</v>
      </c>
      <c r="N42" s="3">
        <f t="shared" si="5"/>
        <v>2580015.9599999995</v>
      </c>
      <c r="O42" s="2">
        <f>SUM(Levy!F42:J42)</f>
        <v>5176824.1700000009</v>
      </c>
      <c r="P42" s="2">
        <f>SUM(Levy!U42:V42)</f>
        <v>0</v>
      </c>
      <c r="Q42" s="2">
        <f t="shared" si="6"/>
        <v>5176824.1700000009</v>
      </c>
    </row>
    <row r="43" spans="1:17" x14ac:dyDescent="0.2">
      <c r="A43" s="5">
        <v>111</v>
      </c>
      <c r="B43" s="5">
        <v>1</v>
      </c>
      <c r="C43" s="2" t="s">
        <v>40</v>
      </c>
      <c r="D43" s="3">
        <f>SUM(Shift11!D43:L43)</f>
        <v>701313.11</v>
      </c>
      <c r="E43" s="3">
        <f>ROUND(MAX(0,(Levy!Q43+Data!D43+Data!E43-Levy!U43)*0.5),2)</f>
        <v>680951.31</v>
      </c>
      <c r="F43" s="3">
        <f t="shared" si="1"/>
        <v>20361.79999999993</v>
      </c>
      <c r="G43" s="3">
        <f t="shared" si="2"/>
        <v>680951.31</v>
      </c>
      <c r="I43" s="3">
        <f>SUM(Shift11!M43:N43)</f>
        <v>102405.88</v>
      </c>
      <c r="J43" s="3">
        <f>ROUND(MAX(0,(Levy!R43-Levy!V43)*0.5),2)</f>
        <v>105355.85</v>
      </c>
      <c r="K43" s="3">
        <f t="shared" si="3"/>
        <v>0</v>
      </c>
      <c r="L43" s="3">
        <f t="shared" si="4"/>
        <v>102405.88</v>
      </c>
      <c r="N43" s="3">
        <f t="shared" si="5"/>
        <v>783357.19000000006</v>
      </c>
      <c r="O43" s="2">
        <f>SUM(Levy!F43:J43)</f>
        <v>1572614.31</v>
      </c>
      <c r="P43" s="2">
        <f>SUM(Levy!U43:V43)</f>
        <v>0</v>
      </c>
      <c r="Q43" s="2">
        <f t="shared" si="6"/>
        <v>1572614.31</v>
      </c>
    </row>
    <row r="44" spans="1:17" x14ac:dyDescent="0.2">
      <c r="A44" s="5">
        <v>112</v>
      </c>
      <c r="B44" s="5">
        <v>1</v>
      </c>
      <c r="C44" s="2" t="s">
        <v>41</v>
      </c>
      <c r="D44" s="3">
        <f>SUM(Shift11!D44:L44)</f>
        <v>8700552.1100000013</v>
      </c>
      <c r="E44" s="3">
        <f>ROUND(MAX(0,(Levy!Q44+Data!D44+Data!E44-Levy!U44)*0.5),2)</f>
        <v>8812564.6199999992</v>
      </c>
      <c r="F44" s="3">
        <f t="shared" si="1"/>
        <v>0</v>
      </c>
      <c r="G44" s="3">
        <f t="shared" si="2"/>
        <v>8700552.1100000013</v>
      </c>
      <c r="I44" s="3">
        <f>SUM(Shift11!M44:N44)</f>
        <v>405714.51</v>
      </c>
      <c r="J44" s="3">
        <f>ROUND(MAX(0,(Levy!R44-Levy!V44)*0.5),2)</f>
        <v>417401.76</v>
      </c>
      <c r="K44" s="3">
        <f t="shared" si="3"/>
        <v>0</v>
      </c>
      <c r="L44" s="3">
        <f t="shared" si="4"/>
        <v>405714.51</v>
      </c>
      <c r="N44" s="3">
        <f t="shared" si="5"/>
        <v>9106266.620000001</v>
      </c>
      <c r="O44" s="2">
        <f>SUM(Levy!F44:J44)</f>
        <v>18459932.740000002</v>
      </c>
      <c r="P44" s="2">
        <f>SUM(Levy!U44:V44)</f>
        <v>0</v>
      </c>
      <c r="Q44" s="2">
        <f t="shared" si="6"/>
        <v>18459932.740000002</v>
      </c>
    </row>
    <row r="45" spans="1:17" x14ac:dyDescent="0.2">
      <c r="A45" s="5">
        <v>113</v>
      </c>
      <c r="B45" s="5">
        <v>1</v>
      </c>
      <c r="C45" s="2" t="s">
        <v>42</v>
      </c>
      <c r="D45" s="3">
        <f>SUM(Shift11!D45:L45)</f>
        <v>291786.44</v>
      </c>
      <c r="E45" s="3">
        <f>ROUND(MAX(0,(Levy!Q45+Data!D45+Data!E45-Levy!U45)*0.5),2)</f>
        <v>288852.74</v>
      </c>
      <c r="F45" s="3">
        <f t="shared" si="1"/>
        <v>2933.7000000000116</v>
      </c>
      <c r="G45" s="3">
        <f t="shared" si="2"/>
        <v>288852.74</v>
      </c>
      <c r="I45" s="3">
        <f>SUM(Shift11!M45:N45)</f>
        <v>41737.14</v>
      </c>
      <c r="J45" s="3">
        <f>ROUND(MAX(0,(Levy!R45-Levy!V45)*0.5),2)</f>
        <v>42939.44</v>
      </c>
      <c r="K45" s="3">
        <f t="shared" si="3"/>
        <v>0</v>
      </c>
      <c r="L45" s="3">
        <f t="shared" si="4"/>
        <v>41737.14</v>
      </c>
      <c r="N45" s="3">
        <f t="shared" si="5"/>
        <v>330589.88</v>
      </c>
      <c r="O45" s="2">
        <f>SUM(Levy!F45:J45)</f>
        <v>663584.36</v>
      </c>
      <c r="P45" s="2">
        <f>SUM(Levy!U45:V45)</f>
        <v>0</v>
      </c>
      <c r="Q45" s="2">
        <f t="shared" si="6"/>
        <v>663584.36</v>
      </c>
    </row>
    <row r="46" spans="1:17" x14ac:dyDescent="0.2">
      <c r="A46" s="5">
        <v>115</v>
      </c>
      <c r="B46" s="5">
        <v>1</v>
      </c>
      <c r="C46" s="2" t="s">
        <v>43</v>
      </c>
      <c r="D46" s="3">
        <f>SUM(Shift11!D46:L46)</f>
        <v>217961.88999999998</v>
      </c>
      <c r="E46" s="3">
        <f>ROUND(MAX(0,(Levy!Q46+Data!D46+Data!E46-Levy!U46)*0.5),2)</f>
        <v>216251.94</v>
      </c>
      <c r="F46" s="3">
        <f t="shared" si="1"/>
        <v>1709.9499999999825</v>
      </c>
      <c r="G46" s="3">
        <f t="shared" si="2"/>
        <v>216251.94</v>
      </c>
      <c r="I46" s="3">
        <f>SUM(Shift11!M46:N46)</f>
        <v>22163.4</v>
      </c>
      <c r="J46" s="3">
        <f>ROUND(MAX(0,(Levy!R46-Levy!V46)*0.5),2)</f>
        <v>22801.85</v>
      </c>
      <c r="K46" s="3">
        <f t="shared" si="3"/>
        <v>0</v>
      </c>
      <c r="L46" s="3">
        <f t="shared" si="4"/>
        <v>22163.4</v>
      </c>
      <c r="N46" s="3">
        <f t="shared" si="5"/>
        <v>238415.34</v>
      </c>
      <c r="O46" s="2">
        <f>SUM(Levy!F46:J46)</f>
        <v>478107.57</v>
      </c>
      <c r="P46" s="2">
        <f>SUM(Levy!U46:V46)</f>
        <v>0</v>
      </c>
      <c r="Q46" s="2">
        <f t="shared" si="6"/>
        <v>478107.57</v>
      </c>
    </row>
    <row r="47" spans="1:17" x14ac:dyDescent="0.2">
      <c r="A47" s="5">
        <v>116</v>
      </c>
      <c r="B47" s="5">
        <v>1</v>
      </c>
      <c r="C47" s="2" t="s">
        <v>44</v>
      </c>
      <c r="D47" s="3">
        <f>SUM(Shift11!D47:L47)</f>
        <v>335225.08999999997</v>
      </c>
      <c r="E47" s="3">
        <f>ROUND(MAX(0,(Levy!Q47+Data!D47+Data!E47-Levy!U47)*0.5),2)</f>
        <v>332218.71000000002</v>
      </c>
      <c r="F47" s="3">
        <f t="shared" si="1"/>
        <v>3006.3799999999464</v>
      </c>
      <c r="G47" s="3">
        <f t="shared" si="2"/>
        <v>332218.71000000002</v>
      </c>
      <c r="I47" s="3">
        <f>SUM(Shift11!M47:N47)</f>
        <v>54711.15</v>
      </c>
      <c r="J47" s="3">
        <f>ROUND(MAX(0,(Levy!R47-Levy!V47)*0.5),2)</f>
        <v>56287.199999999997</v>
      </c>
      <c r="K47" s="3">
        <f t="shared" si="3"/>
        <v>0</v>
      </c>
      <c r="L47" s="3">
        <f t="shared" si="4"/>
        <v>54711.15</v>
      </c>
      <c r="N47" s="3">
        <f t="shared" si="5"/>
        <v>386929.86000000004</v>
      </c>
      <c r="O47" s="2">
        <f>SUM(Levy!F47:J47)</f>
        <v>777011.81</v>
      </c>
      <c r="P47" s="2">
        <f>SUM(Levy!U47:V47)</f>
        <v>0</v>
      </c>
      <c r="Q47" s="2">
        <f t="shared" si="6"/>
        <v>777011.81</v>
      </c>
    </row>
    <row r="48" spans="1:17" x14ac:dyDescent="0.2">
      <c r="A48" s="5">
        <v>118</v>
      </c>
      <c r="B48" s="5">
        <v>1</v>
      </c>
      <c r="C48" s="2" t="s">
        <v>45</v>
      </c>
      <c r="D48" s="3">
        <f>SUM(Shift11!D48:L48)</f>
        <v>300992.52</v>
      </c>
      <c r="E48" s="3">
        <f>ROUND(MAX(0,(Levy!Q48+Data!D48+Data!E48-Levy!U48)*0.5),2)</f>
        <v>283066.28999999998</v>
      </c>
      <c r="F48" s="3">
        <f t="shared" si="1"/>
        <v>17926.23000000004</v>
      </c>
      <c r="G48" s="3">
        <f t="shared" si="2"/>
        <v>283066.28999999998</v>
      </c>
      <c r="I48" s="3">
        <f>SUM(Shift11!M48:N48)</f>
        <v>32310.73</v>
      </c>
      <c r="J48" s="3">
        <f>ROUND(MAX(0,(Levy!R48-Levy!V48)*0.5),2)</f>
        <v>33241.5</v>
      </c>
      <c r="K48" s="3">
        <f t="shared" si="3"/>
        <v>0</v>
      </c>
      <c r="L48" s="3">
        <f t="shared" si="4"/>
        <v>32310.73</v>
      </c>
      <c r="N48" s="3">
        <f t="shared" si="5"/>
        <v>315377.01999999996</v>
      </c>
      <c r="O48" s="2">
        <f>SUM(Levy!F48:J48)</f>
        <v>632615.57000000007</v>
      </c>
      <c r="P48" s="2">
        <f>SUM(Levy!U48:V48)</f>
        <v>0</v>
      </c>
      <c r="Q48" s="2">
        <f t="shared" si="6"/>
        <v>632615.57000000007</v>
      </c>
    </row>
    <row r="49" spans="1:17" x14ac:dyDescent="0.2">
      <c r="A49" s="5">
        <v>129</v>
      </c>
      <c r="B49" s="5">
        <v>1</v>
      </c>
      <c r="C49" s="2" t="s">
        <v>46</v>
      </c>
      <c r="D49" s="3">
        <f>SUM(Shift11!D49:L49)</f>
        <v>453016.07999999996</v>
      </c>
      <c r="E49" s="3">
        <f>ROUND(MAX(0,(Levy!Q49+Data!D49+Data!E49-Levy!U49)*0.5),2)</f>
        <v>414077.05</v>
      </c>
      <c r="F49" s="3">
        <f t="shared" si="1"/>
        <v>38939.02999999997</v>
      </c>
      <c r="G49" s="3">
        <f t="shared" si="2"/>
        <v>414077.05</v>
      </c>
      <c r="I49" s="3">
        <f>SUM(Shift11!M49:N49)</f>
        <v>49125.46</v>
      </c>
      <c r="J49" s="3">
        <f>ROUND(MAX(0,(Levy!R49-Levy!V49)*0.5),2)</f>
        <v>50540.6</v>
      </c>
      <c r="K49" s="3">
        <f t="shared" si="3"/>
        <v>0</v>
      </c>
      <c r="L49" s="3">
        <f t="shared" si="4"/>
        <v>49125.46</v>
      </c>
      <c r="N49" s="3">
        <f t="shared" si="5"/>
        <v>463202.51</v>
      </c>
      <c r="O49" s="2">
        <f>SUM(Levy!F49:J49)</f>
        <v>929235.3</v>
      </c>
      <c r="P49" s="2">
        <f>SUM(Levy!U49:V49)</f>
        <v>0</v>
      </c>
      <c r="Q49" s="2">
        <f t="shared" si="6"/>
        <v>929235.3</v>
      </c>
    </row>
    <row r="50" spans="1:17" x14ac:dyDescent="0.2">
      <c r="A50" s="5">
        <v>138</v>
      </c>
      <c r="B50" s="5">
        <v>1</v>
      </c>
      <c r="C50" s="2" t="s">
        <v>47</v>
      </c>
      <c r="D50" s="3">
        <f>SUM(Shift11!D50:L50)</f>
        <v>913994.67</v>
      </c>
      <c r="E50" s="3">
        <f>ROUND(MAX(0,(Levy!Q50+Data!D50+Data!E50-Levy!U50)*0.5),2)</f>
        <v>755235.55</v>
      </c>
      <c r="F50" s="3">
        <f t="shared" si="1"/>
        <v>158759.12</v>
      </c>
      <c r="G50" s="3">
        <f t="shared" si="2"/>
        <v>755235.55</v>
      </c>
      <c r="I50" s="3">
        <f>SUM(Shift11!M50:N50)</f>
        <v>108511.6</v>
      </c>
      <c r="J50" s="3">
        <f>ROUND(MAX(0,(Levy!R50-Levy!V50)*0.5),2)</f>
        <v>111637.45</v>
      </c>
      <c r="K50" s="3">
        <f t="shared" si="3"/>
        <v>0</v>
      </c>
      <c r="L50" s="3">
        <f t="shared" si="4"/>
        <v>108511.6</v>
      </c>
      <c r="N50" s="3">
        <f t="shared" si="5"/>
        <v>863747.15</v>
      </c>
      <c r="O50" s="2">
        <f>SUM(Levy!F50:J50)</f>
        <v>1733745.9899999998</v>
      </c>
      <c r="P50" s="2">
        <f>SUM(Levy!U50:V50)</f>
        <v>0</v>
      </c>
      <c r="Q50" s="2">
        <f t="shared" si="6"/>
        <v>1733745.9899999998</v>
      </c>
    </row>
    <row r="51" spans="1:17" x14ac:dyDescent="0.2">
      <c r="A51" s="5">
        <v>139</v>
      </c>
      <c r="B51" s="5">
        <v>1</v>
      </c>
      <c r="C51" s="2" t="s">
        <v>48</v>
      </c>
      <c r="D51" s="3">
        <f>SUM(Shift11!D51:L51)</f>
        <v>280913.13</v>
      </c>
      <c r="E51" s="3">
        <f>ROUND(MAX(0,(Levy!Q51+Data!D51+Data!E51-Levy!U51)*0.5),2)</f>
        <v>273434.11</v>
      </c>
      <c r="F51" s="3">
        <f t="shared" si="1"/>
        <v>7479.0200000000186</v>
      </c>
      <c r="G51" s="3">
        <f t="shared" si="2"/>
        <v>273434.11</v>
      </c>
      <c r="I51" s="3">
        <f>SUM(Shift11!M51:N51)</f>
        <v>25852.720000000001</v>
      </c>
      <c r="J51" s="3">
        <f>ROUND(MAX(0,(Levy!R51-Levy!V51)*0.5),2)</f>
        <v>26597.45</v>
      </c>
      <c r="K51" s="3">
        <f t="shared" si="3"/>
        <v>0</v>
      </c>
      <c r="L51" s="3">
        <f t="shared" si="4"/>
        <v>25852.720000000001</v>
      </c>
      <c r="N51" s="3">
        <f t="shared" si="5"/>
        <v>299286.82999999996</v>
      </c>
      <c r="O51" s="2">
        <f>SUM(Levy!F51:J51)</f>
        <v>600063.11</v>
      </c>
      <c r="P51" s="2">
        <f>SUM(Levy!U51:V51)</f>
        <v>0</v>
      </c>
      <c r="Q51" s="2">
        <f t="shared" si="6"/>
        <v>600063.11</v>
      </c>
    </row>
    <row r="52" spans="1:17" x14ac:dyDescent="0.2">
      <c r="A52" s="5">
        <v>146</v>
      </c>
      <c r="B52" s="5">
        <v>1</v>
      </c>
      <c r="C52" s="2" t="s">
        <v>49</v>
      </c>
      <c r="D52" s="3">
        <f>SUM(Shift11!D52:L52)</f>
        <v>427661.81</v>
      </c>
      <c r="E52" s="3">
        <f>ROUND(MAX(0,(Levy!Q52+Data!D52+Data!E52-Levy!U52)*0.5),2)</f>
        <v>429278.89</v>
      </c>
      <c r="F52" s="3">
        <f t="shared" si="1"/>
        <v>0</v>
      </c>
      <c r="G52" s="3">
        <f t="shared" si="2"/>
        <v>427661.81</v>
      </c>
      <c r="I52" s="3">
        <f>SUM(Shift11!M52:N52)</f>
        <v>25691.64</v>
      </c>
      <c r="J52" s="3">
        <f>ROUND(MAX(0,(Levy!R52-Levy!V52)*0.5),2)</f>
        <v>26431.73</v>
      </c>
      <c r="K52" s="3">
        <f t="shared" si="3"/>
        <v>0</v>
      </c>
      <c r="L52" s="3">
        <f t="shared" si="4"/>
        <v>25691.64</v>
      </c>
      <c r="N52" s="3">
        <f t="shared" si="5"/>
        <v>453353.45</v>
      </c>
      <c r="O52" s="2">
        <f>SUM(Levy!F52:J52)</f>
        <v>911421.23</v>
      </c>
      <c r="P52" s="2">
        <f>SUM(Levy!U52:V52)</f>
        <v>0</v>
      </c>
      <c r="Q52" s="2">
        <f t="shared" si="6"/>
        <v>911421.23</v>
      </c>
    </row>
    <row r="53" spans="1:17" x14ac:dyDescent="0.2">
      <c r="A53" s="5">
        <v>150</v>
      </c>
      <c r="B53" s="5">
        <v>1</v>
      </c>
      <c r="C53" s="2" t="s">
        <v>50</v>
      </c>
      <c r="D53" s="3">
        <f>SUM(Shift11!D53:L53)</f>
        <v>257256.7</v>
      </c>
      <c r="E53" s="3">
        <f>ROUND(MAX(0,(Levy!Q53+Data!D53+Data!E53-Levy!U53)*0.5),2)</f>
        <v>247323.59</v>
      </c>
      <c r="F53" s="3">
        <f t="shared" si="1"/>
        <v>9933.1100000000151</v>
      </c>
      <c r="G53" s="3">
        <f t="shared" si="2"/>
        <v>247323.59</v>
      </c>
      <c r="I53" s="3">
        <f>SUM(Shift11!M53:N53)</f>
        <v>16685.88</v>
      </c>
      <c r="J53" s="3">
        <f>ROUND(MAX(0,(Levy!R53-Levy!V53)*0.5),2)</f>
        <v>17166.54</v>
      </c>
      <c r="K53" s="3">
        <f t="shared" si="3"/>
        <v>0</v>
      </c>
      <c r="L53" s="3">
        <f t="shared" si="4"/>
        <v>16685.88</v>
      </c>
      <c r="N53" s="3">
        <f t="shared" si="5"/>
        <v>264009.46999999997</v>
      </c>
      <c r="O53" s="2">
        <f>SUM(Levy!F53:J53)</f>
        <v>528980.26</v>
      </c>
      <c r="P53" s="2">
        <f>SUM(Levy!U53:V53)</f>
        <v>0</v>
      </c>
      <c r="Q53" s="2">
        <f t="shared" si="6"/>
        <v>528980.26</v>
      </c>
    </row>
    <row r="54" spans="1:17" x14ac:dyDescent="0.2">
      <c r="A54" s="5">
        <v>152</v>
      </c>
      <c r="B54" s="5">
        <v>1</v>
      </c>
      <c r="C54" s="2" t="s">
        <v>51</v>
      </c>
      <c r="D54" s="3">
        <f>SUM(Shift11!D54:L54)</f>
        <v>3214236.5900000003</v>
      </c>
      <c r="E54" s="3">
        <f>ROUND(MAX(0,(Levy!Q54+Data!D54+Data!E54-Levy!U54)*0.5),2)</f>
        <v>3190375.04</v>
      </c>
      <c r="F54" s="3">
        <f t="shared" si="1"/>
        <v>23861.550000000279</v>
      </c>
      <c r="G54" s="3">
        <f t="shared" si="2"/>
        <v>3190375.04</v>
      </c>
      <c r="I54" s="3">
        <f>SUM(Shift11!M54:N54)</f>
        <v>223008.98</v>
      </c>
      <c r="J54" s="3">
        <f>ROUND(MAX(0,(Levy!R54-Levy!V54)*0.5),2)</f>
        <v>229433.11</v>
      </c>
      <c r="K54" s="3">
        <f t="shared" si="3"/>
        <v>0</v>
      </c>
      <c r="L54" s="3">
        <f t="shared" si="4"/>
        <v>223008.98</v>
      </c>
      <c r="N54" s="3">
        <f t="shared" si="5"/>
        <v>3413384.02</v>
      </c>
      <c r="O54" s="2">
        <f>SUM(Levy!F54:J54)</f>
        <v>6839616.2999999998</v>
      </c>
      <c r="P54" s="2">
        <f>SUM(Levy!U54:V54)</f>
        <v>0</v>
      </c>
      <c r="Q54" s="2">
        <f t="shared" si="6"/>
        <v>6839616.2999999998</v>
      </c>
    </row>
    <row r="55" spans="1:17" x14ac:dyDescent="0.2">
      <c r="A55" s="5">
        <v>162</v>
      </c>
      <c r="B55" s="5">
        <v>1</v>
      </c>
      <c r="C55" s="2" t="s">
        <v>52</v>
      </c>
      <c r="D55" s="3">
        <f>SUM(Shift11!D55:L55)</f>
        <v>240516.77000000002</v>
      </c>
      <c r="E55" s="3">
        <f>ROUND(MAX(0,(Levy!Q55+Data!D55+Data!E55-Levy!U55)*0.5),2)</f>
        <v>228233.5</v>
      </c>
      <c r="F55" s="3">
        <f t="shared" si="1"/>
        <v>12283.270000000019</v>
      </c>
      <c r="G55" s="3">
        <f t="shared" si="2"/>
        <v>228233.5</v>
      </c>
      <c r="I55" s="3">
        <f>SUM(Shift11!M55:N55)</f>
        <v>31487.94</v>
      </c>
      <c r="J55" s="3">
        <f>ROUND(MAX(0,(Levy!R55-Levy!V55)*0.5),2)</f>
        <v>32395</v>
      </c>
      <c r="K55" s="3">
        <f t="shared" si="3"/>
        <v>0</v>
      </c>
      <c r="L55" s="3">
        <f t="shared" si="4"/>
        <v>31487.94</v>
      </c>
      <c r="N55" s="3">
        <f t="shared" si="5"/>
        <v>259721.44</v>
      </c>
      <c r="O55" s="2">
        <f>SUM(Levy!F55:J55)</f>
        <v>521257</v>
      </c>
      <c r="P55" s="2">
        <f>SUM(Levy!U55:V55)</f>
        <v>0</v>
      </c>
      <c r="Q55" s="2">
        <f t="shared" si="6"/>
        <v>521257</v>
      </c>
    </row>
    <row r="56" spans="1:17" x14ac:dyDescent="0.2">
      <c r="A56" s="5">
        <v>166</v>
      </c>
      <c r="B56" s="5">
        <v>1</v>
      </c>
      <c r="C56" s="2" t="s">
        <v>53</v>
      </c>
      <c r="D56" s="3">
        <f>SUM(Shift11!D56:L56)</f>
        <v>251398.09000000003</v>
      </c>
      <c r="E56" s="3">
        <f>ROUND(MAX(0,(Levy!Q56+Data!D56+Data!E56-Levy!U56)*0.5),2)</f>
        <v>242118.5</v>
      </c>
      <c r="F56" s="3">
        <f t="shared" si="1"/>
        <v>9279.5900000000256</v>
      </c>
      <c r="G56" s="3">
        <f t="shared" si="2"/>
        <v>242118.5</v>
      </c>
      <c r="I56" s="3">
        <f>SUM(Shift11!M56:N56)</f>
        <v>0</v>
      </c>
      <c r="J56" s="3">
        <f>ROUND(MAX(0,(Levy!R56-Levy!V56)*0.5),2)</f>
        <v>0</v>
      </c>
      <c r="K56" s="3">
        <f t="shared" si="3"/>
        <v>0</v>
      </c>
      <c r="L56" s="3">
        <f t="shared" si="4"/>
        <v>0</v>
      </c>
      <c r="N56" s="3">
        <f t="shared" si="5"/>
        <v>242118.5</v>
      </c>
      <c r="O56" s="2">
        <f>SUM(Levy!F56:J56)</f>
        <v>484237</v>
      </c>
      <c r="P56" s="2">
        <f>SUM(Levy!U56:V56)</f>
        <v>0</v>
      </c>
      <c r="Q56" s="2">
        <f t="shared" si="6"/>
        <v>484237</v>
      </c>
    </row>
    <row r="57" spans="1:17" x14ac:dyDescent="0.2">
      <c r="A57" s="5">
        <v>173</v>
      </c>
      <c r="B57" s="5">
        <v>1</v>
      </c>
      <c r="C57" s="2" t="s">
        <v>54</v>
      </c>
      <c r="D57" s="3">
        <f>SUM(Shift11!D57:L57)</f>
        <v>367052.32</v>
      </c>
      <c r="E57" s="3">
        <f>ROUND(MAX(0,(Levy!Q57+Data!D57+Data!E57-Levy!U57)*0.5),2)</f>
        <v>363294.5</v>
      </c>
      <c r="F57" s="3">
        <f t="shared" si="1"/>
        <v>3757.820000000007</v>
      </c>
      <c r="G57" s="3">
        <f t="shared" si="2"/>
        <v>363294.5</v>
      </c>
      <c r="I57" s="3">
        <f>SUM(Shift11!M57:N57)</f>
        <v>23455.33</v>
      </c>
      <c r="J57" s="3">
        <f>ROUND(MAX(0,(Levy!R57-Levy!V57)*0.5),2)</f>
        <v>24131</v>
      </c>
      <c r="K57" s="3">
        <f t="shared" si="3"/>
        <v>0</v>
      </c>
      <c r="L57" s="3">
        <f t="shared" si="4"/>
        <v>23455.33</v>
      </c>
      <c r="N57" s="3">
        <f t="shared" si="5"/>
        <v>386749.83</v>
      </c>
      <c r="O57" s="2">
        <f>SUM(Levy!F57:J57)</f>
        <v>774851</v>
      </c>
      <c r="P57" s="2">
        <f>SUM(Levy!U57:V57)</f>
        <v>0</v>
      </c>
      <c r="Q57" s="2">
        <f t="shared" si="6"/>
        <v>774851</v>
      </c>
    </row>
    <row r="58" spans="1:17" x14ac:dyDescent="0.2">
      <c r="A58" s="5">
        <v>177</v>
      </c>
      <c r="B58" s="5">
        <v>1</v>
      </c>
      <c r="C58" s="2" t="s">
        <v>55</v>
      </c>
      <c r="D58" s="3">
        <f>SUM(Shift11!D58:L58)</f>
        <v>688116.33</v>
      </c>
      <c r="E58" s="3">
        <f>ROUND(MAX(0,(Levy!Q58+Data!D58+Data!E58-Levy!U58)*0.5),2)</f>
        <v>695682</v>
      </c>
      <c r="F58" s="3">
        <f t="shared" si="1"/>
        <v>0</v>
      </c>
      <c r="G58" s="3">
        <f t="shared" si="2"/>
        <v>688116.33</v>
      </c>
      <c r="I58" s="3">
        <f>SUM(Shift11!M58:N58)</f>
        <v>38511.129999999997</v>
      </c>
      <c r="J58" s="3">
        <f>ROUND(MAX(0,(Levy!R58-Levy!V58)*0.5),2)</f>
        <v>39620.5</v>
      </c>
      <c r="K58" s="3">
        <f t="shared" si="3"/>
        <v>0</v>
      </c>
      <c r="L58" s="3">
        <f t="shared" si="4"/>
        <v>38511.129999999997</v>
      </c>
      <c r="N58" s="3">
        <f t="shared" si="5"/>
        <v>726627.46</v>
      </c>
      <c r="O58" s="2">
        <f>SUM(Levy!F58:J58)</f>
        <v>1470605</v>
      </c>
      <c r="P58" s="2">
        <f>SUM(Levy!U58:V58)</f>
        <v>0</v>
      </c>
      <c r="Q58" s="2">
        <f t="shared" si="6"/>
        <v>1470605</v>
      </c>
    </row>
    <row r="59" spans="1:17" x14ac:dyDescent="0.2">
      <c r="A59" s="5">
        <v>181</v>
      </c>
      <c r="B59" s="5">
        <v>1</v>
      </c>
      <c r="C59" s="2" t="s">
        <v>56</v>
      </c>
      <c r="D59" s="3">
        <f>SUM(Shift11!D59:L59)</f>
        <v>3075835.42</v>
      </c>
      <c r="E59" s="3">
        <f>ROUND(MAX(0,(Levy!Q59+Data!D59+Data!E59-Levy!U59)*0.5),2)</f>
        <v>3061645.49</v>
      </c>
      <c r="F59" s="3">
        <f t="shared" si="1"/>
        <v>14189.929999999702</v>
      </c>
      <c r="G59" s="3">
        <f t="shared" si="2"/>
        <v>3061645.49</v>
      </c>
      <c r="I59" s="3">
        <f>SUM(Shift11!M59:N59)</f>
        <v>290052.36</v>
      </c>
      <c r="J59" s="3">
        <f>ROUND(MAX(0,(Levy!R59-Levy!V59)*0.5),2)</f>
        <v>298407.78000000003</v>
      </c>
      <c r="K59" s="3">
        <f t="shared" si="3"/>
        <v>0</v>
      </c>
      <c r="L59" s="3">
        <f t="shared" si="4"/>
        <v>290052.36</v>
      </c>
      <c r="N59" s="3">
        <f t="shared" si="5"/>
        <v>3351697.85</v>
      </c>
      <c r="O59" s="2">
        <f>SUM(Levy!F59:J59)</f>
        <v>6720106.5300000012</v>
      </c>
      <c r="P59" s="2">
        <f>SUM(Levy!U59:V59)</f>
        <v>0</v>
      </c>
      <c r="Q59" s="2">
        <f t="shared" si="6"/>
        <v>6720106.5300000012</v>
      </c>
    </row>
    <row r="60" spans="1:17" x14ac:dyDescent="0.2">
      <c r="A60" s="5">
        <v>182</v>
      </c>
      <c r="B60" s="5">
        <v>1</v>
      </c>
      <c r="C60" s="2" t="s">
        <v>57</v>
      </c>
      <c r="D60" s="3">
        <f>SUM(Shift11!D60:L60)</f>
        <v>639220.57999999984</v>
      </c>
      <c r="E60" s="3">
        <f>ROUND(MAX(0,(Levy!Q60+Data!D60+Data!E60-Levy!U60)*0.5),2)</f>
        <v>637860.69999999995</v>
      </c>
      <c r="F60" s="3">
        <f t="shared" si="1"/>
        <v>1359.8799999998882</v>
      </c>
      <c r="G60" s="3">
        <f t="shared" si="2"/>
        <v>637860.69999999995</v>
      </c>
      <c r="I60" s="3">
        <f>SUM(Shift11!M60:N60)</f>
        <v>2701.97</v>
      </c>
      <c r="J60" s="3">
        <f>ROUND(MAX(0,(Levy!R60-Levy!V60)*0.5),2)</f>
        <v>2779.8</v>
      </c>
      <c r="K60" s="3">
        <f t="shared" si="3"/>
        <v>0</v>
      </c>
      <c r="L60" s="3">
        <f t="shared" si="4"/>
        <v>2701.97</v>
      </c>
      <c r="N60" s="3">
        <f t="shared" si="5"/>
        <v>640562.66999999993</v>
      </c>
      <c r="O60" s="2">
        <f>SUM(Levy!F60:J60)</f>
        <v>1281280.9900000002</v>
      </c>
      <c r="P60" s="2">
        <f>SUM(Levy!U60:V60)</f>
        <v>0</v>
      </c>
      <c r="Q60" s="2">
        <f t="shared" si="6"/>
        <v>1281280.9900000002</v>
      </c>
    </row>
    <row r="61" spans="1:17" x14ac:dyDescent="0.2">
      <c r="A61" s="5">
        <v>186</v>
      </c>
      <c r="B61" s="5">
        <v>1</v>
      </c>
      <c r="C61" s="2" t="s">
        <v>58</v>
      </c>
      <c r="D61" s="3">
        <f>SUM(Shift11!D61:L61)</f>
        <v>640989.48</v>
      </c>
      <c r="E61" s="3">
        <f>ROUND(MAX(0,(Levy!Q61+Data!D61+Data!E61-Levy!U61)*0.5),2)</f>
        <v>621683.88</v>
      </c>
      <c r="F61" s="3">
        <f t="shared" si="1"/>
        <v>19305.599999999977</v>
      </c>
      <c r="G61" s="3">
        <f t="shared" si="2"/>
        <v>621683.88</v>
      </c>
      <c r="I61" s="3">
        <f>SUM(Shift11!M61:N61)</f>
        <v>84372.91</v>
      </c>
      <c r="J61" s="3">
        <f>ROUND(MAX(0,(Levy!R61-Levy!V61)*0.5),2)</f>
        <v>86803.41</v>
      </c>
      <c r="K61" s="3">
        <f t="shared" si="3"/>
        <v>0</v>
      </c>
      <c r="L61" s="3">
        <f t="shared" si="4"/>
        <v>84372.91</v>
      </c>
      <c r="N61" s="3">
        <f t="shared" si="5"/>
        <v>706056.79</v>
      </c>
      <c r="O61" s="2">
        <f>SUM(Levy!F61:J61)</f>
        <v>1416974.58</v>
      </c>
      <c r="P61" s="2">
        <f>SUM(Levy!U61:V61)</f>
        <v>0</v>
      </c>
      <c r="Q61" s="2">
        <f t="shared" si="6"/>
        <v>1416974.58</v>
      </c>
    </row>
    <row r="62" spans="1:17" x14ac:dyDescent="0.2">
      <c r="A62" s="5">
        <v>191</v>
      </c>
      <c r="B62" s="5">
        <v>1</v>
      </c>
      <c r="C62" s="2" t="s">
        <v>59</v>
      </c>
      <c r="D62" s="3">
        <f>SUM(Shift11!D62:L62)</f>
        <v>11894794.369999999</v>
      </c>
      <c r="E62" s="3">
        <f>ROUND(MAX(0,(Levy!Q62+Data!D62+Data!E62-Levy!U62)*0.5),2)</f>
        <v>11976960.5</v>
      </c>
      <c r="F62" s="3">
        <f t="shared" si="1"/>
        <v>0</v>
      </c>
      <c r="G62" s="3">
        <f t="shared" si="2"/>
        <v>11894794.369999999</v>
      </c>
      <c r="I62" s="3">
        <f>SUM(Shift11!M62:N62)</f>
        <v>474436.6</v>
      </c>
      <c r="J62" s="3">
        <f>ROUND(MAX(0,(Levy!R62-Levy!V62)*0.5),2)</f>
        <v>488103.5</v>
      </c>
      <c r="K62" s="3">
        <f t="shared" si="3"/>
        <v>0</v>
      </c>
      <c r="L62" s="3">
        <f t="shared" si="4"/>
        <v>474436.6</v>
      </c>
      <c r="N62" s="3">
        <f t="shared" si="5"/>
        <v>12369230.969999999</v>
      </c>
      <c r="O62" s="2">
        <f>SUM(Levy!F62:J62)</f>
        <v>24930128</v>
      </c>
      <c r="P62" s="2">
        <f>SUM(Levy!U62:V62)</f>
        <v>0</v>
      </c>
      <c r="Q62" s="2">
        <f t="shared" si="6"/>
        <v>24930128</v>
      </c>
    </row>
    <row r="63" spans="1:17" x14ac:dyDescent="0.2">
      <c r="A63" s="5">
        <v>192</v>
      </c>
      <c r="B63" s="5">
        <v>1</v>
      </c>
      <c r="C63" s="2" t="s">
        <v>60</v>
      </c>
      <c r="D63" s="3">
        <f>SUM(Shift11!D63:L63)</f>
        <v>3147590.41</v>
      </c>
      <c r="E63" s="3">
        <f>ROUND(MAX(0,(Levy!Q63+Data!D63+Data!E63-Levy!U63)*0.5),2)</f>
        <v>3106392</v>
      </c>
      <c r="F63" s="3">
        <f t="shared" si="1"/>
        <v>41198.410000000149</v>
      </c>
      <c r="G63" s="3">
        <f t="shared" si="2"/>
        <v>3106392</v>
      </c>
      <c r="I63" s="3">
        <f>SUM(Shift11!M63:N63)</f>
        <v>201206.43</v>
      </c>
      <c r="J63" s="3">
        <f>ROUND(MAX(0,(Levy!R63-Levy!V63)*0.5),2)</f>
        <v>207002.5</v>
      </c>
      <c r="K63" s="3">
        <f t="shared" si="3"/>
        <v>0</v>
      </c>
      <c r="L63" s="3">
        <f t="shared" si="4"/>
        <v>201206.43</v>
      </c>
      <c r="N63" s="3">
        <f t="shared" si="5"/>
        <v>3307598.43</v>
      </c>
      <c r="O63" s="2">
        <f>SUM(Levy!F63:J63)</f>
        <v>6626789</v>
      </c>
      <c r="P63" s="2">
        <f>SUM(Levy!U63:V63)</f>
        <v>0</v>
      </c>
      <c r="Q63" s="2">
        <f t="shared" si="6"/>
        <v>6626789</v>
      </c>
    </row>
    <row r="64" spans="1:17" x14ac:dyDescent="0.2">
      <c r="A64" s="5">
        <v>194</v>
      </c>
      <c r="B64" s="5">
        <v>1</v>
      </c>
      <c r="C64" s="2" t="s">
        <v>61</v>
      </c>
      <c r="D64" s="3">
        <f>SUM(Shift11!D64:L64)</f>
        <v>8113876.6499999994</v>
      </c>
      <c r="E64" s="3">
        <f>ROUND(MAX(0,(Levy!Q64+Data!D64+Data!E64-Levy!U64)*0.5),2)</f>
        <v>8080265</v>
      </c>
      <c r="F64" s="3">
        <f t="shared" si="1"/>
        <v>33611.649999999441</v>
      </c>
      <c r="G64" s="3">
        <f t="shared" si="2"/>
        <v>8080265</v>
      </c>
      <c r="I64" s="3">
        <f>SUM(Shift11!M64:N64)</f>
        <v>573906.71</v>
      </c>
      <c r="J64" s="3">
        <f>ROUND(MAX(0,(Levy!R64-Levy!V64)*0.5),2)</f>
        <v>590439</v>
      </c>
      <c r="K64" s="3">
        <f t="shared" si="3"/>
        <v>0</v>
      </c>
      <c r="L64" s="3">
        <f t="shared" si="4"/>
        <v>573906.71</v>
      </c>
      <c r="N64" s="3">
        <f t="shared" si="5"/>
        <v>8654171.7100000009</v>
      </c>
      <c r="O64" s="2">
        <f>SUM(Levy!F64:J64)</f>
        <v>17341408</v>
      </c>
      <c r="P64" s="2">
        <f>SUM(Levy!U64:V64)</f>
        <v>0</v>
      </c>
      <c r="Q64" s="2">
        <f t="shared" si="6"/>
        <v>17341408</v>
      </c>
    </row>
    <row r="65" spans="1:17" x14ac:dyDescent="0.2">
      <c r="A65" s="5">
        <v>195</v>
      </c>
      <c r="B65" s="5">
        <v>1</v>
      </c>
      <c r="C65" s="2" t="s">
        <v>62</v>
      </c>
      <c r="D65" s="3">
        <f>SUM(Shift11!D65:L65)</f>
        <v>285332.75</v>
      </c>
      <c r="E65" s="3">
        <f>ROUND(MAX(0,(Levy!Q65+Data!D65+Data!E65-Levy!U65)*0.5),2)</f>
        <v>261232.5</v>
      </c>
      <c r="F65" s="3">
        <f t="shared" si="1"/>
        <v>24100.25</v>
      </c>
      <c r="G65" s="3">
        <f t="shared" si="2"/>
        <v>261232.5</v>
      </c>
      <c r="I65" s="3">
        <f>SUM(Shift11!M65:N65)</f>
        <v>15323.58</v>
      </c>
      <c r="J65" s="3">
        <f>ROUND(MAX(0,(Levy!R65-Levy!V65)*0.5),2)</f>
        <v>15765</v>
      </c>
      <c r="K65" s="3">
        <f t="shared" si="3"/>
        <v>0</v>
      </c>
      <c r="L65" s="3">
        <f t="shared" si="4"/>
        <v>15323.58</v>
      </c>
      <c r="N65" s="3">
        <f t="shared" si="5"/>
        <v>276556.08</v>
      </c>
      <c r="O65" s="2">
        <f>SUM(Levy!F65:J65)</f>
        <v>553995</v>
      </c>
      <c r="P65" s="2">
        <f>SUM(Levy!U65:V65)</f>
        <v>0</v>
      </c>
      <c r="Q65" s="2">
        <f t="shared" si="6"/>
        <v>553995</v>
      </c>
    </row>
    <row r="66" spans="1:17" x14ac:dyDescent="0.2">
      <c r="A66" s="5">
        <v>196</v>
      </c>
      <c r="B66" s="5">
        <v>1</v>
      </c>
      <c r="C66" s="2" t="s">
        <v>63</v>
      </c>
      <c r="D66" s="3">
        <f>SUM(Shift11!D66:L66)</f>
        <v>28368368.960000001</v>
      </c>
      <c r="E66" s="3">
        <f>ROUND(MAX(0,(Levy!Q66+Data!D66+Data!E66-Levy!U66)*0.5),2)</f>
        <v>28680750.5</v>
      </c>
      <c r="F66" s="3">
        <f t="shared" si="1"/>
        <v>0</v>
      </c>
      <c r="G66" s="3">
        <f t="shared" si="2"/>
        <v>28368368.960000001</v>
      </c>
      <c r="I66" s="3">
        <f>SUM(Shift11!M66:N66)</f>
        <v>820124.51</v>
      </c>
      <c r="J66" s="3">
        <f>ROUND(MAX(0,(Levy!R66-Levy!V66)*0.5),2)</f>
        <v>843749.5</v>
      </c>
      <c r="K66" s="3">
        <f t="shared" si="3"/>
        <v>0</v>
      </c>
      <c r="L66" s="3">
        <f t="shared" si="4"/>
        <v>820124.51</v>
      </c>
      <c r="N66" s="3">
        <f t="shared" si="5"/>
        <v>29188493.470000003</v>
      </c>
      <c r="O66" s="2">
        <f>SUM(Levy!F66:J66)</f>
        <v>59049000</v>
      </c>
      <c r="P66" s="2">
        <f>SUM(Levy!U66:V66)</f>
        <v>0</v>
      </c>
      <c r="Q66" s="2">
        <f t="shared" si="6"/>
        <v>59049000</v>
      </c>
    </row>
    <row r="67" spans="1:17" x14ac:dyDescent="0.2">
      <c r="A67" s="5">
        <v>197</v>
      </c>
      <c r="B67" s="5">
        <v>1</v>
      </c>
      <c r="C67" s="2" t="s">
        <v>64</v>
      </c>
      <c r="D67" s="3">
        <f>SUM(Shift11!D67:L67)</f>
        <v>4754534.74</v>
      </c>
      <c r="E67" s="3">
        <f>ROUND(MAX(0,(Levy!Q67+Data!D67+Data!E67-Levy!U67)*0.5),2)</f>
        <v>4820901.5</v>
      </c>
      <c r="F67" s="3">
        <f t="shared" si="1"/>
        <v>0</v>
      </c>
      <c r="G67" s="3">
        <f t="shared" si="2"/>
        <v>4754534.74</v>
      </c>
      <c r="I67" s="3">
        <f>SUM(Shift11!M67:N67)</f>
        <v>338134.01</v>
      </c>
      <c r="J67" s="3">
        <f>ROUND(MAX(0,(Levy!R67-Levy!V67)*0.5),2)</f>
        <v>347874.5</v>
      </c>
      <c r="K67" s="3">
        <f t="shared" si="3"/>
        <v>0</v>
      </c>
      <c r="L67" s="3">
        <f t="shared" si="4"/>
        <v>338134.01</v>
      </c>
      <c r="N67" s="3">
        <f t="shared" si="5"/>
        <v>5092668.75</v>
      </c>
      <c r="O67" s="2">
        <f>SUM(Levy!F67:J67)</f>
        <v>10337552</v>
      </c>
      <c r="P67" s="2">
        <f>SUM(Levy!U67:V67)</f>
        <v>0</v>
      </c>
      <c r="Q67" s="2">
        <f t="shared" si="6"/>
        <v>10337552</v>
      </c>
    </row>
    <row r="68" spans="1:17" x14ac:dyDescent="0.2">
      <c r="A68" s="5">
        <v>199</v>
      </c>
      <c r="B68" s="5">
        <v>1</v>
      </c>
      <c r="C68" s="2" t="s">
        <v>65</v>
      </c>
      <c r="D68" s="3">
        <f>SUM(Shift11!D68:L68)</f>
        <v>3450093.78</v>
      </c>
      <c r="E68" s="3">
        <f>ROUND(MAX(0,(Levy!Q68+Data!D68+Data!E68-Levy!U68)*0.5),2)</f>
        <v>3472247</v>
      </c>
      <c r="F68" s="3">
        <f t="shared" si="1"/>
        <v>0</v>
      </c>
      <c r="G68" s="3">
        <f t="shared" si="2"/>
        <v>3450093.78</v>
      </c>
      <c r="I68" s="3">
        <f>SUM(Shift11!M68:N68)</f>
        <v>208540.17</v>
      </c>
      <c r="J68" s="3">
        <f>ROUND(MAX(0,(Levy!R68-Levy!V68)*0.5),2)</f>
        <v>214547.5</v>
      </c>
      <c r="K68" s="3">
        <f t="shared" si="3"/>
        <v>0</v>
      </c>
      <c r="L68" s="3">
        <f t="shared" si="4"/>
        <v>208540.17</v>
      </c>
      <c r="N68" s="3">
        <f t="shared" si="5"/>
        <v>3658633.9499999997</v>
      </c>
      <c r="O68" s="2">
        <f>SUM(Levy!F68:J68)</f>
        <v>7373589</v>
      </c>
      <c r="P68" s="2">
        <f>SUM(Levy!U68:V68)</f>
        <v>0</v>
      </c>
      <c r="Q68" s="2">
        <f t="shared" si="6"/>
        <v>7373589</v>
      </c>
    </row>
    <row r="69" spans="1:17" x14ac:dyDescent="0.2">
      <c r="A69" s="5">
        <v>200</v>
      </c>
      <c r="B69" s="5">
        <v>1</v>
      </c>
      <c r="C69" s="2" t="s">
        <v>66</v>
      </c>
      <c r="D69" s="3">
        <f>SUM(Shift11!D69:L69)</f>
        <v>5009447.0499999989</v>
      </c>
      <c r="E69" s="3">
        <f>ROUND(MAX(0,(Levy!Q69+Data!D69+Data!E69-Levy!U69)*0.5),2)</f>
        <v>5099280</v>
      </c>
      <c r="F69" s="3">
        <f t="shared" si="1"/>
        <v>0</v>
      </c>
      <c r="G69" s="3">
        <f t="shared" si="2"/>
        <v>5009447.0499999989</v>
      </c>
      <c r="I69" s="3">
        <f>SUM(Shift11!M69:N69)</f>
        <v>221687.44</v>
      </c>
      <c r="J69" s="3">
        <f>ROUND(MAX(0,(Levy!R69-Levy!V69)*0.5),2)</f>
        <v>228073.5</v>
      </c>
      <c r="K69" s="3">
        <f t="shared" si="3"/>
        <v>0</v>
      </c>
      <c r="L69" s="3">
        <f t="shared" si="4"/>
        <v>221687.44</v>
      </c>
      <c r="N69" s="3">
        <f t="shared" si="5"/>
        <v>5231134.4899999993</v>
      </c>
      <c r="O69" s="2">
        <f>SUM(Levy!F69:J69)</f>
        <v>10654707</v>
      </c>
      <c r="P69" s="2">
        <f>SUM(Levy!U69:V69)</f>
        <v>0</v>
      </c>
      <c r="Q69" s="2">
        <f t="shared" si="6"/>
        <v>10654707</v>
      </c>
    </row>
    <row r="70" spans="1:17" x14ac:dyDescent="0.2">
      <c r="A70" s="5">
        <v>203</v>
      </c>
      <c r="B70" s="5">
        <v>1</v>
      </c>
      <c r="C70" s="2" t="s">
        <v>67</v>
      </c>
      <c r="D70" s="3">
        <f>SUM(Shift11!D70:L70)</f>
        <v>379292.64999999997</v>
      </c>
      <c r="E70" s="3">
        <f>ROUND(MAX(0,(Levy!Q70+Data!D70+Data!E70-Levy!U70)*0.5),2)</f>
        <v>381411.47</v>
      </c>
      <c r="F70" s="3">
        <f t="shared" si="1"/>
        <v>0</v>
      </c>
      <c r="G70" s="3">
        <f t="shared" si="2"/>
        <v>379292.64999999997</v>
      </c>
      <c r="I70" s="3">
        <f>SUM(Shift11!M70:N70)</f>
        <v>32340.81</v>
      </c>
      <c r="J70" s="3">
        <f>ROUND(MAX(0,(Levy!R70-Levy!V70)*0.5),2)</f>
        <v>33272.44</v>
      </c>
      <c r="K70" s="3">
        <f t="shared" si="3"/>
        <v>0</v>
      </c>
      <c r="L70" s="3">
        <f t="shared" si="4"/>
        <v>32340.81</v>
      </c>
      <c r="N70" s="3">
        <f t="shared" si="5"/>
        <v>411633.45999999996</v>
      </c>
      <c r="O70" s="2">
        <f>SUM(Levy!F70:J70)</f>
        <v>829367.80999999994</v>
      </c>
      <c r="P70" s="2">
        <f>SUM(Levy!U70:V70)</f>
        <v>0</v>
      </c>
      <c r="Q70" s="2">
        <f t="shared" si="6"/>
        <v>829367.80999999994</v>
      </c>
    </row>
    <row r="71" spans="1:17" x14ac:dyDescent="0.2">
      <c r="A71" s="5">
        <v>204</v>
      </c>
      <c r="B71" s="5">
        <v>1</v>
      </c>
      <c r="C71" s="2" t="s">
        <v>68</v>
      </c>
      <c r="D71" s="3">
        <f>SUM(Shift11!D71:L71)</f>
        <v>585438.71999999997</v>
      </c>
      <c r="E71" s="3">
        <f>ROUND(MAX(0,(Levy!Q71+Data!D71+Data!E71-Levy!U71)*0.5),2)</f>
        <v>582678.99</v>
      </c>
      <c r="F71" s="3">
        <f t="shared" si="1"/>
        <v>2759.7299999999814</v>
      </c>
      <c r="G71" s="3">
        <f t="shared" si="2"/>
        <v>582678.99</v>
      </c>
      <c r="I71" s="3">
        <f>SUM(Shift11!M71:N71)</f>
        <v>22203.21</v>
      </c>
      <c r="J71" s="3">
        <f>ROUND(MAX(0,(Levy!R71-Levy!V71)*0.5),2)</f>
        <v>22842.81</v>
      </c>
      <c r="K71" s="3">
        <f t="shared" si="3"/>
        <v>0</v>
      </c>
      <c r="L71" s="3">
        <f t="shared" si="4"/>
        <v>22203.21</v>
      </c>
      <c r="N71" s="3">
        <f t="shared" si="5"/>
        <v>604882.19999999995</v>
      </c>
      <c r="O71" s="2">
        <f>SUM(Levy!F71:J71)</f>
        <v>1211043.5900000001</v>
      </c>
      <c r="P71" s="2">
        <f>SUM(Levy!U71:V71)</f>
        <v>0</v>
      </c>
      <c r="Q71" s="2">
        <f t="shared" si="6"/>
        <v>1211043.5900000001</v>
      </c>
    </row>
    <row r="72" spans="1:17" x14ac:dyDescent="0.2">
      <c r="A72" s="5">
        <v>206</v>
      </c>
      <c r="B72" s="5">
        <v>1</v>
      </c>
      <c r="C72" s="2" t="s">
        <v>69</v>
      </c>
      <c r="D72" s="3">
        <f>SUM(Shift11!D72:L72)</f>
        <v>1939494.6800000002</v>
      </c>
      <c r="E72" s="3">
        <f>ROUND(MAX(0,(Levy!Q72+Data!D72+Data!E72-Levy!U72)*0.5),2)</f>
        <v>1946633</v>
      </c>
      <c r="F72" s="3">
        <f t="shared" ref="F72:F133" si="7">IF(D72&gt;E72,D72-E72,0)</f>
        <v>0</v>
      </c>
      <c r="G72" s="3">
        <f t="shared" ref="G72:G133" si="8">MAX(0,MIN(D72,E72))</f>
        <v>1939494.6800000002</v>
      </c>
      <c r="I72" s="3">
        <f>SUM(Shift11!M72:N72)</f>
        <v>200034.68</v>
      </c>
      <c r="J72" s="3">
        <f>ROUND(MAX(0,(Levy!R72-Levy!V72)*0.5),2)</f>
        <v>205797</v>
      </c>
      <c r="K72" s="3">
        <f t="shared" ref="K72:K133" si="9">IF(I72&gt;J72,I72-J72,0)</f>
        <v>0</v>
      </c>
      <c r="L72" s="3">
        <f t="shared" ref="L72:L133" si="10">MAX(0,MIN(I72,J72))</f>
        <v>200034.68</v>
      </c>
      <c r="N72" s="3">
        <f t="shared" si="5"/>
        <v>2139529.3600000003</v>
      </c>
      <c r="O72" s="2">
        <f>SUM(Levy!F72:J72)</f>
        <v>4304860</v>
      </c>
      <c r="P72" s="2">
        <f>SUM(Levy!U72:V72)</f>
        <v>0</v>
      </c>
      <c r="Q72" s="2">
        <f t="shared" si="6"/>
        <v>4304860</v>
      </c>
    </row>
    <row r="73" spans="1:17" x14ac:dyDescent="0.2">
      <c r="A73" s="5">
        <v>207</v>
      </c>
      <c r="B73" s="5">
        <v>1</v>
      </c>
      <c r="C73" s="2" t="s">
        <v>70</v>
      </c>
      <c r="D73" s="3">
        <f>SUM(Shift11!D73:L73)</f>
        <v>195790.02000000002</v>
      </c>
      <c r="E73" s="3">
        <f>ROUND(MAX(0,(Levy!Q73+Data!D73+Data!E73-Levy!U73)*0.5),2)</f>
        <v>196142</v>
      </c>
      <c r="F73" s="3">
        <f t="shared" si="7"/>
        <v>0</v>
      </c>
      <c r="G73" s="3">
        <f t="shared" si="8"/>
        <v>195790.02000000002</v>
      </c>
      <c r="I73" s="3">
        <f>SUM(Shift11!M73:N73)</f>
        <v>10790.66</v>
      </c>
      <c r="J73" s="3">
        <f>ROUND(MAX(0,(Levy!R73-Levy!V73)*0.5),2)</f>
        <v>11101.5</v>
      </c>
      <c r="K73" s="3">
        <f t="shared" si="9"/>
        <v>0</v>
      </c>
      <c r="L73" s="3">
        <f t="shared" si="10"/>
        <v>10790.66</v>
      </c>
      <c r="N73" s="3">
        <f t="shared" ref="N73:N136" si="11">G73+L73</f>
        <v>206580.68000000002</v>
      </c>
      <c r="O73" s="2">
        <f>SUM(Levy!F73:J73)</f>
        <v>414487</v>
      </c>
      <c r="P73" s="2">
        <f>SUM(Levy!U73:V73)</f>
        <v>0</v>
      </c>
      <c r="Q73" s="2">
        <f t="shared" ref="Q73:Q136" si="12">O73-P73</f>
        <v>414487</v>
      </c>
    </row>
    <row r="74" spans="1:17" x14ac:dyDescent="0.2">
      <c r="A74" s="5">
        <v>208</v>
      </c>
      <c r="B74" s="5">
        <v>1</v>
      </c>
      <c r="C74" s="2" t="s">
        <v>71</v>
      </c>
      <c r="D74" s="3">
        <f>SUM(Shift11!D74:L74)</f>
        <v>201738.75000000003</v>
      </c>
      <c r="E74" s="3">
        <f>ROUND(MAX(0,(Levy!Q74+Data!D74+Data!E74-Levy!U74)*0.5),2)</f>
        <v>202719.5</v>
      </c>
      <c r="F74" s="3">
        <f t="shared" si="7"/>
        <v>0</v>
      </c>
      <c r="G74" s="3">
        <f t="shared" si="8"/>
        <v>201738.75000000003</v>
      </c>
      <c r="I74" s="3">
        <f>SUM(Shift11!M74:N74)</f>
        <v>8509.86</v>
      </c>
      <c r="J74" s="3">
        <f>ROUND(MAX(0,(Levy!R74-Levy!V74)*0.5),2)</f>
        <v>8755</v>
      </c>
      <c r="K74" s="3">
        <f t="shared" si="9"/>
        <v>0</v>
      </c>
      <c r="L74" s="3">
        <f t="shared" si="10"/>
        <v>8509.86</v>
      </c>
      <c r="N74" s="3">
        <f t="shared" si="11"/>
        <v>210248.61000000004</v>
      </c>
      <c r="O74" s="2">
        <f>SUM(Levy!F74:J74)</f>
        <v>422949</v>
      </c>
      <c r="P74" s="2">
        <f>SUM(Levy!U74:V74)</f>
        <v>0</v>
      </c>
      <c r="Q74" s="2">
        <f t="shared" si="12"/>
        <v>422949</v>
      </c>
    </row>
    <row r="75" spans="1:17" x14ac:dyDescent="0.2">
      <c r="A75" s="5">
        <v>213</v>
      </c>
      <c r="B75" s="5">
        <v>1</v>
      </c>
      <c r="C75" s="2" t="s">
        <v>72</v>
      </c>
      <c r="D75" s="3">
        <f>SUM(Shift11!D75:L75)</f>
        <v>195860.58000000002</v>
      </c>
      <c r="E75" s="3">
        <f>ROUND(MAX(0,(Levy!Q75+Data!D75+Data!E75-Levy!U75)*0.5),2)</f>
        <v>173026.5</v>
      </c>
      <c r="F75" s="3">
        <f t="shared" si="7"/>
        <v>22834.080000000016</v>
      </c>
      <c r="G75" s="3">
        <f t="shared" si="8"/>
        <v>173026.5</v>
      </c>
      <c r="I75" s="3">
        <f>SUM(Shift11!M75:N75)</f>
        <v>20514.060000000001</v>
      </c>
      <c r="J75" s="3">
        <f>ROUND(MAX(0,(Levy!R75-Levy!V75)*0.5),2)</f>
        <v>21105</v>
      </c>
      <c r="K75" s="3">
        <f t="shared" si="9"/>
        <v>0</v>
      </c>
      <c r="L75" s="3">
        <f t="shared" si="10"/>
        <v>20514.060000000001</v>
      </c>
      <c r="N75" s="3">
        <f t="shared" si="11"/>
        <v>193540.56</v>
      </c>
      <c r="O75" s="2">
        <f>SUM(Levy!F75:J75)</f>
        <v>388263</v>
      </c>
      <c r="P75" s="2">
        <f>SUM(Levy!U75:V75)</f>
        <v>0</v>
      </c>
      <c r="Q75" s="2">
        <f t="shared" si="12"/>
        <v>388263</v>
      </c>
    </row>
    <row r="76" spans="1:17" x14ac:dyDescent="0.2">
      <c r="A76" s="5">
        <v>227</v>
      </c>
      <c r="B76" s="5">
        <v>1</v>
      </c>
      <c r="C76" s="2" t="s">
        <v>73</v>
      </c>
      <c r="D76" s="3">
        <f>SUM(Shift11!D76:L76)</f>
        <v>296602.09000000003</v>
      </c>
      <c r="E76" s="3">
        <f>ROUND(MAX(0,(Levy!Q76+Data!D76+Data!E76-Levy!U76)*0.5),2)</f>
        <v>297978.5</v>
      </c>
      <c r="F76" s="3">
        <f t="shared" si="7"/>
        <v>0</v>
      </c>
      <c r="G76" s="3">
        <f t="shared" si="8"/>
        <v>296602.09000000003</v>
      </c>
      <c r="I76" s="3">
        <f>SUM(Shift11!M76:N76)</f>
        <v>32205.759999999998</v>
      </c>
      <c r="J76" s="3">
        <f>ROUND(MAX(0,(Levy!R76-Levy!V76)*0.5),2)</f>
        <v>33133.5</v>
      </c>
      <c r="K76" s="3">
        <f t="shared" si="9"/>
        <v>0</v>
      </c>
      <c r="L76" s="3">
        <f t="shared" si="10"/>
        <v>32205.759999999998</v>
      </c>
      <c r="N76" s="3">
        <f t="shared" si="11"/>
        <v>328807.85000000003</v>
      </c>
      <c r="O76" s="2">
        <f>SUM(Levy!F76:J76)</f>
        <v>662224</v>
      </c>
      <c r="P76" s="2">
        <f>SUM(Levy!U76:V76)</f>
        <v>0</v>
      </c>
      <c r="Q76" s="2">
        <f t="shared" si="12"/>
        <v>662224</v>
      </c>
    </row>
    <row r="77" spans="1:17" x14ac:dyDescent="0.2">
      <c r="A77" s="5">
        <v>229</v>
      </c>
      <c r="B77" s="5">
        <v>1</v>
      </c>
      <c r="C77" s="2" t="s">
        <v>74</v>
      </c>
      <c r="D77" s="3">
        <f>SUM(Shift11!D77:L77)</f>
        <v>139434.37</v>
      </c>
      <c r="E77" s="3">
        <f>ROUND(MAX(0,(Levy!Q77+Data!D77+Data!E77-Levy!U77)*0.5),2)</f>
        <v>129764.22</v>
      </c>
      <c r="F77" s="3">
        <f t="shared" si="7"/>
        <v>9670.1499999999942</v>
      </c>
      <c r="G77" s="3">
        <f t="shared" si="8"/>
        <v>129764.22</v>
      </c>
      <c r="I77" s="3">
        <f>SUM(Shift11!M77:N77)</f>
        <v>10249.65</v>
      </c>
      <c r="J77" s="3">
        <f>ROUND(MAX(0,(Levy!R77-Levy!V77)*0.5),2)</f>
        <v>10544.91</v>
      </c>
      <c r="K77" s="3">
        <f t="shared" si="9"/>
        <v>0</v>
      </c>
      <c r="L77" s="3">
        <f t="shared" si="10"/>
        <v>10249.65</v>
      </c>
      <c r="N77" s="3">
        <f t="shared" si="11"/>
        <v>140013.87</v>
      </c>
      <c r="O77" s="2">
        <f>SUM(Levy!F77:J77)</f>
        <v>280618.26</v>
      </c>
      <c r="P77" s="2">
        <f>SUM(Levy!U77:V77)</f>
        <v>0</v>
      </c>
      <c r="Q77" s="2">
        <f t="shared" si="12"/>
        <v>280618.26</v>
      </c>
    </row>
    <row r="78" spans="1:17" x14ac:dyDescent="0.2">
      <c r="A78" s="5">
        <v>238</v>
      </c>
      <c r="B78" s="5">
        <v>1</v>
      </c>
      <c r="C78" s="2" t="s">
        <v>75</v>
      </c>
      <c r="D78" s="3">
        <f>SUM(Shift11!D78:L78)</f>
        <v>224943.57</v>
      </c>
      <c r="E78" s="3">
        <f>ROUND(MAX(0,(Levy!Q78+Data!D78+Data!E78-Levy!U78)*0.5),2)</f>
        <v>224425.37</v>
      </c>
      <c r="F78" s="3">
        <f t="shared" si="7"/>
        <v>518.20000000001164</v>
      </c>
      <c r="G78" s="3">
        <f t="shared" si="8"/>
        <v>224425.37</v>
      </c>
      <c r="I78" s="3">
        <f>SUM(Shift11!M78:N78)</f>
        <v>3035.02</v>
      </c>
      <c r="J78" s="3">
        <f>ROUND(MAX(0,(Levy!R78-Levy!V78)*0.5),2)</f>
        <v>3122.45</v>
      </c>
      <c r="K78" s="3">
        <f t="shared" si="9"/>
        <v>0</v>
      </c>
      <c r="L78" s="3">
        <f t="shared" si="10"/>
        <v>3035.02</v>
      </c>
      <c r="N78" s="3">
        <f t="shared" si="11"/>
        <v>227460.38999999998</v>
      </c>
      <c r="O78" s="2">
        <f>SUM(Levy!F78:J78)</f>
        <v>455095.62</v>
      </c>
      <c r="P78" s="2">
        <f>SUM(Levy!U78:V78)</f>
        <v>0</v>
      </c>
      <c r="Q78" s="2">
        <f t="shared" si="12"/>
        <v>455095.62</v>
      </c>
    </row>
    <row r="79" spans="1:17" x14ac:dyDescent="0.2">
      <c r="A79" s="5">
        <v>239</v>
      </c>
      <c r="B79" s="5">
        <v>1</v>
      </c>
      <c r="C79" s="2" t="s">
        <v>76</v>
      </c>
      <c r="D79" s="3">
        <f>SUM(Shift11!D79:L79)</f>
        <v>421956.45</v>
      </c>
      <c r="E79" s="3">
        <f>ROUND(MAX(0,(Levy!Q79+Data!D79+Data!E79-Levy!U79)*0.5),2)</f>
        <v>431331.83</v>
      </c>
      <c r="F79" s="3">
        <f t="shared" si="7"/>
        <v>0</v>
      </c>
      <c r="G79" s="3">
        <f t="shared" si="8"/>
        <v>421956.45</v>
      </c>
      <c r="I79" s="3">
        <f>SUM(Shift11!M79:N79)</f>
        <v>25070.31</v>
      </c>
      <c r="J79" s="3">
        <f>ROUND(MAX(0,(Levy!R79-Levy!V79)*0.5),2)</f>
        <v>25792.51</v>
      </c>
      <c r="K79" s="3">
        <f t="shared" si="9"/>
        <v>0</v>
      </c>
      <c r="L79" s="3">
        <f t="shared" si="10"/>
        <v>25070.31</v>
      </c>
      <c r="N79" s="3">
        <f t="shared" si="11"/>
        <v>447026.76</v>
      </c>
      <c r="O79" s="2">
        <f>SUM(Levy!F79:J79)</f>
        <v>914248.66999999993</v>
      </c>
      <c r="P79" s="2">
        <f>SUM(Levy!U79:V79)</f>
        <v>0</v>
      </c>
      <c r="Q79" s="2">
        <f t="shared" si="12"/>
        <v>914248.66999999993</v>
      </c>
    </row>
    <row r="80" spans="1:17" x14ac:dyDescent="0.2">
      <c r="A80" s="5">
        <v>241</v>
      </c>
      <c r="B80" s="5">
        <v>1</v>
      </c>
      <c r="C80" s="2" t="s">
        <v>77</v>
      </c>
      <c r="D80" s="3">
        <f>SUM(Shift11!D80:L80)</f>
        <v>2401818.8199999998</v>
      </c>
      <c r="E80" s="3">
        <f>ROUND(MAX(0,(Levy!Q80+Data!D80+Data!E80-Levy!U80)*0.5),2)</f>
        <v>2389744.4700000002</v>
      </c>
      <c r="F80" s="3">
        <f t="shared" si="7"/>
        <v>12074.349999999627</v>
      </c>
      <c r="G80" s="3">
        <f t="shared" si="8"/>
        <v>2389744.4700000002</v>
      </c>
      <c r="I80" s="3">
        <f>SUM(Shift11!M80:N80)</f>
        <v>125016.98</v>
      </c>
      <c r="J80" s="3">
        <f>ROUND(MAX(0,(Levy!R80-Levy!V80)*0.5),2)</f>
        <v>128618.29</v>
      </c>
      <c r="K80" s="3">
        <f t="shared" si="9"/>
        <v>0</v>
      </c>
      <c r="L80" s="3">
        <f t="shared" si="10"/>
        <v>125016.98</v>
      </c>
      <c r="N80" s="3">
        <f t="shared" si="11"/>
        <v>2514761.4500000002</v>
      </c>
      <c r="O80" s="2">
        <f>SUM(Levy!F80:J80)</f>
        <v>5036725.51</v>
      </c>
      <c r="P80" s="2">
        <f>SUM(Levy!U80:V80)</f>
        <v>0</v>
      </c>
      <c r="Q80" s="2">
        <f t="shared" si="12"/>
        <v>5036725.51</v>
      </c>
    </row>
    <row r="81" spans="1:17" x14ac:dyDescent="0.2">
      <c r="A81" s="5">
        <v>242</v>
      </c>
      <c r="B81" s="5">
        <v>1</v>
      </c>
      <c r="C81" s="2" t="s">
        <v>78</v>
      </c>
      <c r="D81" s="3">
        <f>SUM(Shift11!D81:L81)</f>
        <v>124679.32</v>
      </c>
      <c r="E81" s="3">
        <f>ROUND(MAX(0,(Levy!Q81+Data!D81+Data!E81-Levy!U81)*0.5),2)</f>
        <v>118928.85</v>
      </c>
      <c r="F81" s="3">
        <f t="shared" si="7"/>
        <v>5750.4700000000012</v>
      </c>
      <c r="G81" s="3">
        <f t="shared" si="8"/>
        <v>118928.85</v>
      </c>
      <c r="I81" s="3">
        <f>SUM(Shift11!M81:N81)</f>
        <v>10529.03</v>
      </c>
      <c r="J81" s="3">
        <f>ROUND(MAX(0,(Levy!R81-Levy!V81)*0.5),2)</f>
        <v>10832.34</v>
      </c>
      <c r="K81" s="3">
        <f t="shared" si="9"/>
        <v>0</v>
      </c>
      <c r="L81" s="3">
        <f t="shared" si="10"/>
        <v>10529.03</v>
      </c>
      <c r="N81" s="3">
        <f t="shared" si="11"/>
        <v>129457.88</v>
      </c>
      <c r="O81" s="2">
        <f>SUM(Levy!F81:J81)</f>
        <v>259522.37</v>
      </c>
      <c r="P81" s="2">
        <f>SUM(Levy!U81:V81)</f>
        <v>0</v>
      </c>
      <c r="Q81" s="2">
        <f t="shared" si="12"/>
        <v>259522.37</v>
      </c>
    </row>
    <row r="82" spans="1:17" x14ac:dyDescent="0.2">
      <c r="A82" s="5">
        <v>252</v>
      </c>
      <c r="B82" s="5">
        <v>1</v>
      </c>
      <c r="C82" s="2" t="s">
        <v>79</v>
      </c>
      <c r="D82" s="3">
        <f>SUM(Shift11!D82:L82)</f>
        <v>679599.12</v>
      </c>
      <c r="E82" s="3">
        <f>ROUND(MAX(0,(Levy!Q82+Data!D82+Data!E82-Levy!U82)*0.5),2)</f>
        <v>672999</v>
      </c>
      <c r="F82" s="3">
        <f t="shared" si="7"/>
        <v>6600.1199999999953</v>
      </c>
      <c r="G82" s="3">
        <f t="shared" si="8"/>
        <v>672999</v>
      </c>
      <c r="I82" s="3">
        <f>SUM(Shift11!M82:N82)</f>
        <v>67005.789999999994</v>
      </c>
      <c r="J82" s="3">
        <f>ROUND(MAX(0,(Levy!R82-Levy!V82)*0.5),2)</f>
        <v>68936</v>
      </c>
      <c r="K82" s="3">
        <f t="shared" si="9"/>
        <v>0</v>
      </c>
      <c r="L82" s="3">
        <f t="shared" si="10"/>
        <v>67005.789999999994</v>
      </c>
      <c r="N82" s="3">
        <f t="shared" si="11"/>
        <v>740004.79</v>
      </c>
      <c r="O82" s="2">
        <f>SUM(Levy!F82:J82)</f>
        <v>1483870</v>
      </c>
      <c r="P82" s="2">
        <f>SUM(Levy!U82:V82)</f>
        <v>0</v>
      </c>
      <c r="Q82" s="2">
        <f t="shared" si="12"/>
        <v>1483870</v>
      </c>
    </row>
    <row r="83" spans="1:17" x14ac:dyDescent="0.2">
      <c r="A83" s="5">
        <v>253</v>
      </c>
      <c r="B83" s="5">
        <v>1</v>
      </c>
      <c r="C83" s="2" t="s">
        <v>80</v>
      </c>
      <c r="D83" s="3">
        <f>SUM(Shift11!D83:L83)</f>
        <v>168756.42</v>
      </c>
      <c r="E83" s="3">
        <f>ROUND(MAX(0,(Levy!Q83+Data!D83+Data!E83-Levy!U83)*0.5),2)</f>
        <v>156107.5</v>
      </c>
      <c r="F83" s="3">
        <f t="shared" si="7"/>
        <v>12648.920000000013</v>
      </c>
      <c r="G83" s="3">
        <f t="shared" si="8"/>
        <v>156107.5</v>
      </c>
      <c r="I83" s="3">
        <f>SUM(Shift11!M83:N83)</f>
        <v>18325.599999999999</v>
      </c>
      <c r="J83" s="3">
        <f>ROUND(MAX(0,(Levy!R83-Levy!V83)*0.5),2)</f>
        <v>18853.5</v>
      </c>
      <c r="K83" s="3">
        <f t="shared" si="9"/>
        <v>0</v>
      </c>
      <c r="L83" s="3">
        <f t="shared" si="10"/>
        <v>18325.599999999999</v>
      </c>
      <c r="N83" s="3">
        <f t="shared" si="11"/>
        <v>174433.1</v>
      </c>
      <c r="O83" s="2">
        <f>SUM(Levy!F83:J83)</f>
        <v>349922</v>
      </c>
      <c r="P83" s="2">
        <f>SUM(Levy!U83:V83)</f>
        <v>0</v>
      </c>
      <c r="Q83" s="2">
        <f t="shared" si="12"/>
        <v>349922</v>
      </c>
    </row>
    <row r="84" spans="1:17" x14ac:dyDescent="0.2">
      <c r="A84" s="5">
        <v>255</v>
      </c>
      <c r="B84" s="5">
        <v>1</v>
      </c>
      <c r="C84" s="2" t="s">
        <v>81</v>
      </c>
      <c r="D84" s="3">
        <f>SUM(Shift11!D84:L84)</f>
        <v>669150.31999999995</v>
      </c>
      <c r="E84" s="3">
        <f>ROUND(MAX(0,(Levy!Q84+Data!D84+Data!E84-Levy!U84)*0.5),2)</f>
        <v>653111</v>
      </c>
      <c r="F84" s="3">
        <f t="shared" si="7"/>
        <v>16039.319999999949</v>
      </c>
      <c r="G84" s="3">
        <f t="shared" si="8"/>
        <v>653111</v>
      </c>
      <c r="I84" s="3">
        <f>SUM(Shift11!M84:N84)</f>
        <v>66330.740000000005</v>
      </c>
      <c r="J84" s="3">
        <f>ROUND(MAX(0,(Levy!R84-Levy!V84)*0.5),2)</f>
        <v>68241.5</v>
      </c>
      <c r="K84" s="3">
        <f t="shared" si="9"/>
        <v>0</v>
      </c>
      <c r="L84" s="3">
        <f t="shared" si="10"/>
        <v>66330.740000000005</v>
      </c>
      <c r="N84" s="3">
        <f t="shared" si="11"/>
        <v>719441.74</v>
      </c>
      <c r="O84" s="2">
        <f>SUM(Levy!F84:J84)</f>
        <v>1442705</v>
      </c>
      <c r="P84" s="2">
        <f>SUM(Levy!U84:V84)</f>
        <v>0</v>
      </c>
      <c r="Q84" s="2">
        <f t="shared" si="12"/>
        <v>1442705</v>
      </c>
    </row>
    <row r="85" spans="1:17" x14ac:dyDescent="0.2">
      <c r="A85" s="5">
        <v>256</v>
      </c>
      <c r="B85" s="5">
        <v>1</v>
      </c>
      <c r="C85" s="2" t="s">
        <v>82</v>
      </c>
      <c r="D85" s="3">
        <f>SUM(Shift11!D85:L85)</f>
        <v>2459244.21</v>
      </c>
      <c r="E85" s="3">
        <f>ROUND(MAX(0,(Levy!Q85+Data!D85+Data!E85-Levy!U85)*0.5),2)</f>
        <v>2489405</v>
      </c>
      <c r="F85" s="3">
        <f t="shared" si="7"/>
        <v>0</v>
      </c>
      <c r="G85" s="3">
        <f t="shared" si="8"/>
        <v>2459244.21</v>
      </c>
      <c r="I85" s="3">
        <f>SUM(Shift11!M85:N85)</f>
        <v>141239.85999999999</v>
      </c>
      <c r="J85" s="3">
        <f>ROUND(MAX(0,(Levy!R85-Levy!V85)*0.5),2)</f>
        <v>145308.5</v>
      </c>
      <c r="K85" s="3">
        <f t="shared" si="9"/>
        <v>0</v>
      </c>
      <c r="L85" s="3">
        <f t="shared" si="10"/>
        <v>141239.85999999999</v>
      </c>
      <c r="N85" s="3">
        <f t="shared" si="11"/>
        <v>2600484.0699999998</v>
      </c>
      <c r="O85" s="2">
        <f>SUM(Levy!F85:J85)</f>
        <v>5269427</v>
      </c>
      <c r="P85" s="2">
        <f>SUM(Levy!U85:V85)</f>
        <v>0</v>
      </c>
      <c r="Q85" s="2">
        <f t="shared" si="12"/>
        <v>5269427</v>
      </c>
    </row>
    <row r="86" spans="1:17" x14ac:dyDescent="0.2">
      <c r="A86" s="5">
        <v>261</v>
      </c>
      <c r="B86" s="5">
        <v>1</v>
      </c>
      <c r="C86" s="2" t="s">
        <v>83</v>
      </c>
      <c r="D86" s="3">
        <f>SUM(Shift11!D86:L86)</f>
        <v>179362.40000000002</v>
      </c>
      <c r="E86" s="3">
        <f>ROUND(MAX(0,(Levy!Q86+Data!D86+Data!E86-Levy!U86)*0.5),2)</f>
        <v>179329.5</v>
      </c>
      <c r="F86" s="3">
        <f t="shared" si="7"/>
        <v>32.900000000023283</v>
      </c>
      <c r="G86" s="3">
        <f t="shared" si="8"/>
        <v>179329.5</v>
      </c>
      <c r="I86" s="3">
        <f>SUM(Shift11!M86:N86)</f>
        <v>8529.2999999999993</v>
      </c>
      <c r="J86" s="3">
        <f>ROUND(MAX(0,(Levy!R86-Levy!V86)*0.5),2)</f>
        <v>8775</v>
      </c>
      <c r="K86" s="3">
        <f t="shared" si="9"/>
        <v>0</v>
      </c>
      <c r="L86" s="3">
        <f t="shared" si="10"/>
        <v>8529.2999999999993</v>
      </c>
      <c r="N86" s="3">
        <f t="shared" si="11"/>
        <v>187858.8</v>
      </c>
      <c r="O86" s="2">
        <f>SUM(Levy!F86:J86)</f>
        <v>376209</v>
      </c>
      <c r="P86" s="2">
        <f>SUM(Levy!U86:V86)</f>
        <v>0</v>
      </c>
      <c r="Q86" s="2">
        <f t="shared" si="12"/>
        <v>376209</v>
      </c>
    </row>
    <row r="87" spans="1:17" x14ac:dyDescent="0.2">
      <c r="A87" s="5">
        <v>264</v>
      </c>
      <c r="B87" s="5">
        <v>1</v>
      </c>
      <c r="C87" s="2" t="s">
        <v>84</v>
      </c>
      <c r="D87" s="3">
        <f>SUM(Shift11!D87:L87)</f>
        <v>124666.63</v>
      </c>
      <c r="E87" s="3">
        <f>ROUND(MAX(0,(Levy!Q87+Data!D87+Data!E87-Levy!U87)*0.5),2)</f>
        <v>1342.5</v>
      </c>
      <c r="F87" s="3">
        <f t="shared" si="7"/>
        <v>123324.13</v>
      </c>
      <c r="G87" s="3">
        <f t="shared" si="8"/>
        <v>1342.5</v>
      </c>
      <c r="I87" s="3">
        <f>SUM(Shift11!M87:N87)</f>
        <v>10110.26</v>
      </c>
      <c r="J87" s="3">
        <f>ROUND(MAX(0,(Levy!R87-Levy!V87)*0.5),2)</f>
        <v>10401.5</v>
      </c>
      <c r="K87" s="3">
        <f t="shared" si="9"/>
        <v>0</v>
      </c>
      <c r="L87" s="3">
        <f t="shared" si="10"/>
        <v>10110.26</v>
      </c>
      <c r="N87" s="3">
        <f t="shared" si="11"/>
        <v>11452.76</v>
      </c>
      <c r="O87" s="2">
        <f>SUM(Levy!F87:J87)</f>
        <v>23488</v>
      </c>
      <c r="P87" s="2">
        <f>SUM(Levy!U87:V87)</f>
        <v>0</v>
      </c>
      <c r="Q87" s="2">
        <f t="shared" si="12"/>
        <v>23488</v>
      </c>
    </row>
    <row r="88" spans="1:17" x14ac:dyDescent="0.2">
      <c r="A88" s="5">
        <v>270</v>
      </c>
      <c r="B88" s="5">
        <v>1</v>
      </c>
      <c r="C88" s="2" t="s">
        <v>85</v>
      </c>
      <c r="D88" s="3">
        <f>SUM(Shift11!D88:L88)</f>
        <v>12569532.280000001</v>
      </c>
      <c r="E88" s="3">
        <f>ROUND(MAX(0,(Levy!Q88+Data!D88+Data!E88-Levy!U88)*0.5),2)</f>
        <v>12794446.15</v>
      </c>
      <c r="F88" s="3">
        <f t="shared" si="7"/>
        <v>0</v>
      </c>
      <c r="G88" s="3">
        <f t="shared" si="8"/>
        <v>12569532.280000001</v>
      </c>
      <c r="I88" s="3">
        <f>SUM(Shift11!M88:N88)</f>
        <v>658800.01</v>
      </c>
      <c r="J88" s="3">
        <f>ROUND(MAX(0,(Levy!R88-Levy!V88)*0.5),2)</f>
        <v>677777.79</v>
      </c>
      <c r="K88" s="3">
        <f t="shared" si="9"/>
        <v>0</v>
      </c>
      <c r="L88" s="3">
        <f t="shared" si="10"/>
        <v>658800.01</v>
      </c>
      <c r="N88" s="3">
        <f t="shared" si="11"/>
        <v>13228332.290000001</v>
      </c>
      <c r="O88" s="2">
        <f>SUM(Levy!F88:J88)</f>
        <v>26944447.870000005</v>
      </c>
      <c r="P88" s="2">
        <f>SUM(Levy!U88:V88)</f>
        <v>0</v>
      </c>
      <c r="Q88" s="2">
        <f t="shared" si="12"/>
        <v>26944447.870000005</v>
      </c>
    </row>
    <row r="89" spans="1:17" x14ac:dyDescent="0.2">
      <c r="A89" s="5">
        <v>271</v>
      </c>
      <c r="B89" s="5">
        <v>1</v>
      </c>
      <c r="C89" s="2" t="s">
        <v>86</v>
      </c>
      <c r="D89" s="3">
        <f>SUM(Shift11!D89:L89)</f>
        <v>15170392.859999999</v>
      </c>
      <c r="E89" s="3">
        <f>ROUND(MAX(0,(Levy!Q89+Data!D89+Data!E89-Levy!U89)*0.5),2)</f>
        <v>15469133.66</v>
      </c>
      <c r="F89" s="3">
        <f t="shared" si="7"/>
        <v>0</v>
      </c>
      <c r="G89" s="3">
        <f t="shared" si="8"/>
        <v>15170392.859999999</v>
      </c>
      <c r="I89" s="3">
        <f>SUM(Shift11!M89:N89)</f>
        <v>781445.29</v>
      </c>
      <c r="J89" s="3">
        <f>ROUND(MAX(0,(Levy!R89-Levy!V89)*0.5),2)</f>
        <v>803956.06</v>
      </c>
      <c r="K89" s="3">
        <f t="shared" si="9"/>
        <v>0</v>
      </c>
      <c r="L89" s="3">
        <f t="shared" si="10"/>
        <v>781445.29</v>
      </c>
      <c r="N89" s="3">
        <f t="shared" si="11"/>
        <v>15951838.149999999</v>
      </c>
      <c r="O89" s="2">
        <f>SUM(Levy!F89:J89)</f>
        <v>32546179.419999998</v>
      </c>
      <c r="P89" s="2">
        <f>SUM(Levy!U89:V89)</f>
        <v>0</v>
      </c>
      <c r="Q89" s="2">
        <f t="shared" si="12"/>
        <v>32546179.419999998</v>
      </c>
    </row>
    <row r="90" spans="1:17" x14ac:dyDescent="0.2">
      <c r="A90" s="5">
        <v>272</v>
      </c>
      <c r="B90" s="5">
        <v>1</v>
      </c>
      <c r="C90" s="2" t="s">
        <v>87</v>
      </c>
      <c r="D90" s="3">
        <f>SUM(Shift11!D90:L90)</f>
        <v>13165103.940000001</v>
      </c>
      <c r="E90" s="3">
        <f>ROUND(MAX(0,(Levy!Q90+Data!D90+Data!E90-Levy!U90)*0.5),2)</f>
        <v>13301249.92</v>
      </c>
      <c r="F90" s="3">
        <f t="shared" si="7"/>
        <v>0</v>
      </c>
      <c r="G90" s="3">
        <f t="shared" si="8"/>
        <v>13165103.940000001</v>
      </c>
      <c r="I90" s="3">
        <f>SUM(Shift11!M90:N90)</f>
        <v>568039.53</v>
      </c>
      <c r="J90" s="3">
        <f>ROUND(MAX(0,(Levy!R90-Levy!V90)*0.5),2)</f>
        <v>584402.81000000006</v>
      </c>
      <c r="K90" s="3">
        <f t="shared" si="9"/>
        <v>0</v>
      </c>
      <c r="L90" s="3">
        <f t="shared" si="10"/>
        <v>568039.53</v>
      </c>
      <c r="N90" s="3">
        <f t="shared" si="11"/>
        <v>13733143.470000001</v>
      </c>
      <c r="O90" s="2">
        <f>SUM(Levy!F90:J90)</f>
        <v>27771305.460000001</v>
      </c>
      <c r="P90" s="2">
        <f>SUM(Levy!U90:V90)</f>
        <v>0</v>
      </c>
      <c r="Q90" s="2">
        <f t="shared" si="12"/>
        <v>27771305.460000001</v>
      </c>
    </row>
    <row r="91" spans="1:17" x14ac:dyDescent="0.2">
      <c r="A91" s="5">
        <v>273</v>
      </c>
      <c r="B91" s="5">
        <v>1</v>
      </c>
      <c r="C91" s="2" t="s">
        <v>88</v>
      </c>
      <c r="D91" s="3">
        <f>SUM(Shift11!D91:L91)</f>
        <v>11320206.73</v>
      </c>
      <c r="E91" s="3">
        <f>ROUND(MAX(0,(Levy!Q91+Data!D91+Data!E91-Levy!U91)*0.5),2)</f>
        <v>11580506.6</v>
      </c>
      <c r="F91" s="3">
        <f t="shared" si="7"/>
        <v>0</v>
      </c>
      <c r="G91" s="3">
        <f t="shared" si="8"/>
        <v>11320206.73</v>
      </c>
      <c r="I91" s="3">
        <f>SUM(Shift11!M91:N91)</f>
        <v>477358.06</v>
      </c>
      <c r="J91" s="3">
        <f>ROUND(MAX(0,(Levy!R91-Levy!V91)*0.5),2)</f>
        <v>491109.12</v>
      </c>
      <c r="K91" s="3">
        <f t="shared" si="9"/>
        <v>0</v>
      </c>
      <c r="L91" s="3">
        <f t="shared" si="10"/>
        <v>477358.06</v>
      </c>
      <c r="N91" s="3">
        <f t="shared" si="11"/>
        <v>11797564.790000001</v>
      </c>
      <c r="O91" s="2">
        <f>SUM(Levy!F91:J91)</f>
        <v>24143231.439999998</v>
      </c>
      <c r="P91" s="2">
        <f>SUM(Levy!U91:V91)</f>
        <v>0</v>
      </c>
      <c r="Q91" s="2">
        <f t="shared" si="12"/>
        <v>24143231.439999998</v>
      </c>
    </row>
    <row r="92" spans="1:17" x14ac:dyDescent="0.2">
      <c r="A92" s="5">
        <v>276</v>
      </c>
      <c r="B92" s="5">
        <v>1</v>
      </c>
      <c r="C92" s="2" t="s">
        <v>89</v>
      </c>
      <c r="D92" s="3">
        <f>SUM(Shift11!D92:L92)</f>
        <v>13069438.6</v>
      </c>
      <c r="E92" s="3">
        <f>ROUND(MAX(0,(Levy!Q92+Data!D92+Data!E92-Levy!U92)*0.5),2)</f>
        <v>13382174.16</v>
      </c>
      <c r="F92" s="3">
        <f t="shared" si="7"/>
        <v>0</v>
      </c>
      <c r="G92" s="3">
        <f t="shared" si="8"/>
        <v>13069438.6</v>
      </c>
      <c r="I92" s="3">
        <f>SUM(Shift11!M92:N92)</f>
        <v>472093.06</v>
      </c>
      <c r="J92" s="3">
        <f>ROUND(MAX(0,(Levy!R92-Levy!V92)*0.5),2)</f>
        <v>485692.45</v>
      </c>
      <c r="K92" s="3">
        <f t="shared" si="9"/>
        <v>0</v>
      </c>
      <c r="L92" s="3">
        <f t="shared" si="10"/>
        <v>472093.06</v>
      </c>
      <c r="N92" s="3">
        <f t="shared" si="11"/>
        <v>13541531.66</v>
      </c>
      <c r="O92" s="2">
        <f>SUM(Levy!F92:J92)</f>
        <v>27735733.219999999</v>
      </c>
      <c r="P92" s="2">
        <f>SUM(Levy!U92:V92)</f>
        <v>0</v>
      </c>
      <c r="Q92" s="2">
        <f t="shared" si="12"/>
        <v>27735733.219999999</v>
      </c>
    </row>
    <row r="93" spans="1:17" x14ac:dyDescent="0.2">
      <c r="A93" s="5">
        <v>277</v>
      </c>
      <c r="B93" s="5">
        <v>1</v>
      </c>
      <c r="C93" s="2" t="s">
        <v>90</v>
      </c>
      <c r="D93" s="3">
        <f>SUM(Shift11!D93:L93)</f>
        <v>3217573.3899999997</v>
      </c>
      <c r="E93" s="3">
        <f>ROUND(MAX(0,(Levy!Q93+Data!D93+Data!E93-Levy!U93)*0.5),2)</f>
        <v>3278561.13</v>
      </c>
      <c r="F93" s="3">
        <f t="shared" si="7"/>
        <v>0</v>
      </c>
      <c r="G93" s="3">
        <f t="shared" si="8"/>
        <v>3217573.3899999997</v>
      </c>
      <c r="I93" s="3">
        <f>SUM(Shift11!M93:N93)</f>
        <v>218798.59</v>
      </c>
      <c r="J93" s="3">
        <f>ROUND(MAX(0,(Levy!R93-Levy!V93)*0.5),2)</f>
        <v>225101.43</v>
      </c>
      <c r="K93" s="3">
        <f t="shared" si="9"/>
        <v>0</v>
      </c>
      <c r="L93" s="3">
        <f t="shared" si="10"/>
        <v>218798.59</v>
      </c>
      <c r="N93" s="3">
        <f t="shared" si="11"/>
        <v>3436371.9799999995</v>
      </c>
      <c r="O93" s="2">
        <f>SUM(Levy!F93:J93)</f>
        <v>7007325.1100000003</v>
      </c>
      <c r="P93" s="2">
        <f>SUM(Levy!U93:V93)</f>
        <v>0</v>
      </c>
      <c r="Q93" s="2">
        <f t="shared" si="12"/>
        <v>7007325.1100000003</v>
      </c>
    </row>
    <row r="94" spans="1:17" x14ac:dyDescent="0.2">
      <c r="A94" s="5">
        <v>278</v>
      </c>
      <c r="B94" s="5">
        <v>1</v>
      </c>
      <c r="C94" s="2" t="s">
        <v>91</v>
      </c>
      <c r="D94" s="3">
        <f>SUM(Shift11!D94:L94)</f>
        <v>3356026.33</v>
      </c>
      <c r="E94" s="3">
        <f>ROUND(MAX(0,(Levy!Q94+Data!D94+Data!E94-Levy!U94)*0.5),2)</f>
        <v>3414850.48</v>
      </c>
      <c r="F94" s="3">
        <f t="shared" si="7"/>
        <v>0</v>
      </c>
      <c r="G94" s="3">
        <f t="shared" si="8"/>
        <v>3356026.33</v>
      </c>
      <c r="I94" s="3">
        <f>SUM(Shift11!M94:N94)</f>
        <v>126505.74</v>
      </c>
      <c r="J94" s="3">
        <f>ROUND(MAX(0,(Levy!R94-Levy!V94)*0.5),2)</f>
        <v>130149.94</v>
      </c>
      <c r="K94" s="3">
        <f t="shared" si="9"/>
        <v>0</v>
      </c>
      <c r="L94" s="3">
        <f t="shared" si="10"/>
        <v>126505.74</v>
      </c>
      <c r="N94" s="3">
        <f t="shared" si="11"/>
        <v>3482532.0700000003</v>
      </c>
      <c r="O94" s="2">
        <f>SUM(Levy!F94:J94)</f>
        <v>7090000.8300000001</v>
      </c>
      <c r="P94" s="2">
        <f>SUM(Levy!U94:V94)</f>
        <v>0</v>
      </c>
      <c r="Q94" s="2">
        <f t="shared" si="12"/>
        <v>7090000.8300000001</v>
      </c>
    </row>
    <row r="95" spans="1:17" x14ac:dyDescent="0.2">
      <c r="A95" s="5">
        <v>279</v>
      </c>
      <c r="B95" s="5">
        <v>1</v>
      </c>
      <c r="C95" s="2" t="s">
        <v>92</v>
      </c>
      <c r="D95" s="3">
        <f>SUM(Shift11!D95:L95)</f>
        <v>23757320.530000001</v>
      </c>
      <c r="E95" s="3">
        <f>ROUND(MAX(0,(Levy!Q95+Data!D95+Data!E95-Levy!U95)*0.5),2)</f>
        <v>23909269.280000001</v>
      </c>
      <c r="F95" s="3">
        <f t="shared" si="7"/>
        <v>0</v>
      </c>
      <c r="G95" s="3">
        <f t="shared" si="8"/>
        <v>23757320.530000001</v>
      </c>
      <c r="I95" s="3">
        <f>SUM(Shift11!M95:N95)</f>
        <v>910892.18</v>
      </c>
      <c r="J95" s="3">
        <f>ROUND(MAX(0,(Levy!R95-Levy!V95)*0.5),2)</f>
        <v>937131.88</v>
      </c>
      <c r="K95" s="3">
        <f t="shared" si="9"/>
        <v>0</v>
      </c>
      <c r="L95" s="3">
        <f t="shared" si="10"/>
        <v>910892.18</v>
      </c>
      <c r="N95" s="3">
        <f t="shared" si="11"/>
        <v>24668212.710000001</v>
      </c>
      <c r="O95" s="2">
        <f>SUM(Levy!F95:J95)</f>
        <v>49692802.299999997</v>
      </c>
      <c r="P95" s="2">
        <f>SUM(Levy!U95:V95)</f>
        <v>0</v>
      </c>
      <c r="Q95" s="2">
        <f t="shared" si="12"/>
        <v>49692802.299999997</v>
      </c>
    </row>
    <row r="96" spans="1:17" x14ac:dyDescent="0.2">
      <c r="A96" s="5">
        <v>280</v>
      </c>
      <c r="B96" s="5">
        <v>1</v>
      </c>
      <c r="C96" s="2" t="s">
        <v>93</v>
      </c>
      <c r="D96" s="3">
        <f>SUM(Shift11!D96:L96)</f>
        <v>5448151.5</v>
      </c>
      <c r="E96" s="3">
        <f>ROUND(MAX(0,(Levy!Q96+Data!D96+Data!E96-Levy!U96)*0.5),2)</f>
        <v>5456532.9000000004</v>
      </c>
      <c r="F96" s="3">
        <f t="shared" si="7"/>
        <v>0</v>
      </c>
      <c r="G96" s="3">
        <f t="shared" si="8"/>
        <v>5448151.5</v>
      </c>
      <c r="I96" s="3">
        <f>SUM(Shift11!M96:N96)</f>
        <v>212548.52</v>
      </c>
      <c r="J96" s="3">
        <f>ROUND(MAX(0,(Levy!R96-Levy!V96)*0.5),2)</f>
        <v>218671.32</v>
      </c>
      <c r="K96" s="3">
        <f t="shared" si="9"/>
        <v>0</v>
      </c>
      <c r="L96" s="3">
        <f t="shared" si="10"/>
        <v>212548.52</v>
      </c>
      <c r="N96" s="3">
        <f t="shared" si="11"/>
        <v>5660700.0199999996</v>
      </c>
      <c r="O96" s="2">
        <f>SUM(Levy!F96:J96)</f>
        <v>11350408.43</v>
      </c>
      <c r="P96" s="2">
        <f>SUM(Levy!U96:V96)</f>
        <v>0</v>
      </c>
      <c r="Q96" s="2">
        <f t="shared" si="12"/>
        <v>11350408.43</v>
      </c>
    </row>
    <row r="97" spans="1:17" x14ac:dyDescent="0.2">
      <c r="A97" s="5">
        <v>281</v>
      </c>
      <c r="B97" s="5">
        <v>1</v>
      </c>
      <c r="C97" s="2" t="s">
        <v>94</v>
      </c>
      <c r="D97" s="3">
        <f>SUM(Shift11!D97:L97)</f>
        <v>17099243.050000001</v>
      </c>
      <c r="E97" s="3">
        <f>ROUND(MAX(0,(Levy!Q97+Data!D97+Data!E97-Levy!U97)*0.5),2)</f>
        <v>17087803.75</v>
      </c>
      <c r="F97" s="3">
        <f t="shared" si="7"/>
        <v>11439.300000000745</v>
      </c>
      <c r="G97" s="3">
        <f t="shared" si="8"/>
        <v>17087803.75</v>
      </c>
      <c r="I97" s="3">
        <f>SUM(Shift11!M97:N97)</f>
        <v>877047.66</v>
      </c>
      <c r="J97" s="3">
        <f>ROUND(MAX(0,(Levy!R97-Levy!V97)*0.5),2)</f>
        <v>902312.41</v>
      </c>
      <c r="K97" s="3">
        <f t="shared" si="9"/>
        <v>0</v>
      </c>
      <c r="L97" s="3">
        <f t="shared" si="10"/>
        <v>877047.66</v>
      </c>
      <c r="N97" s="3">
        <f t="shared" si="11"/>
        <v>17964851.41</v>
      </c>
      <c r="O97" s="2">
        <f>SUM(Levy!F97:J97)</f>
        <v>35980232.299999997</v>
      </c>
      <c r="P97" s="2">
        <f>SUM(Levy!U97:V97)</f>
        <v>0</v>
      </c>
      <c r="Q97" s="2">
        <f t="shared" si="12"/>
        <v>35980232.299999997</v>
      </c>
    </row>
    <row r="98" spans="1:17" x14ac:dyDescent="0.2">
      <c r="A98" s="5">
        <v>282</v>
      </c>
      <c r="B98" s="5">
        <v>1</v>
      </c>
      <c r="C98" s="2" t="s">
        <v>95</v>
      </c>
      <c r="D98" s="3">
        <f>SUM(Shift11!D98:L98)</f>
        <v>1658466.27</v>
      </c>
      <c r="E98" s="3">
        <f>ROUND(MAX(0,(Levy!Q98+Data!D98+Data!E98-Levy!U98)*0.5),2)</f>
        <v>1688778.98</v>
      </c>
      <c r="F98" s="3">
        <f t="shared" si="7"/>
        <v>0</v>
      </c>
      <c r="G98" s="3">
        <f t="shared" si="8"/>
        <v>1658466.27</v>
      </c>
      <c r="I98" s="3">
        <f>SUM(Shift11!M98:N98)</f>
        <v>88540.18</v>
      </c>
      <c r="J98" s="3">
        <f>ROUND(MAX(0,(Levy!R98-Levy!V98)*0.5),2)</f>
        <v>91090.72</v>
      </c>
      <c r="K98" s="3">
        <f t="shared" si="9"/>
        <v>0</v>
      </c>
      <c r="L98" s="3">
        <f t="shared" si="10"/>
        <v>88540.18</v>
      </c>
      <c r="N98" s="3">
        <f t="shared" si="11"/>
        <v>1747006.45</v>
      </c>
      <c r="O98" s="2">
        <f>SUM(Levy!F98:J98)</f>
        <v>3559739.39</v>
      </c>
      <c r="P98" s="2">
        <f>SUM(Levy!U98:V98)</f>
        <v>0</v>
      </c>
      <c r="Q98" s="2">
        <f t="shared" si="12"/>
        <v>3559739.39</v>
      </c>
    </row>
    <row r="99" spans="1:17" x14ac:dyDescent="0.2">
      <c r="A99" s="5">
        <v>283</v>
      </c>
      <c r="B99" s="5">
        <v>1</v>
      </c>
      <c r="C99" s="2" t="s">
        <v>96</v>
      </c>
      <c r="D99" s="3">
        <f>SUM(Shift11!D99:L99)</f>
        <v>6488627.0800000001</v>
      </c>
      <c r="E99" s="3">
        <f>ROUND(MAX(0,(Levy!Q99+Data!D99+Data!E99-Levy!U99)*0.5),2)</f>
        <v>6552993.6200000001</v>
      </c>
      <c r="F99" s="3">
        <f t="shared" si="7"/>
        <v>0</v>
      </c>
      <c r="G99" s="3">
        <f t="shared" si="8"/>
        <v>6488627.0800000001</v>
      </c>
      <c r="I99" s="3">
        <f>SUM(Shift11!M99:N99)</f>
        <v>476023.97</v>
      </c>
      <c r="J99" s="3">
        <f>ROUND(MAX(0,(Levy!R99-Levy!V99)*0.5),2)</f>
        <v>489736.6</v>
      </c>
      <c r="K99" s="3">
        <f t="shared" si="9"/>
        <v>0</v>
      </c>
      <c r="L99" s="3">
        <f t="shared" si="10"/>
        <v>476023.97</v>
      </c>
      <c r="N99" s="3">
        <f t="shared" si="11"/>
        <v>6964651.0499999998</v>
      </c>
      <c r="O99" s="2">
        <f>SUM(Levy!F99:J99)</f>
        <v>14085460.419999998</v>
      </c>
      <c r="P99" s="2">
        <f>SUM(Levy!U99:V99)</f>
        <v>0</v>
      </c>
      <c r="Q99" s="2">
        <f t="shared" si="12"/>
        <v>14085460.419999998</v>
      </c>
    </row>
    <row r="100" spans="1:17" x14ac:dyDescent="0.2">
      <c r="A100" s="5">
        <v>284</v>
      </c>
      <c r="B100" s="5">
        <v>1</v>
      </c>
      <c r="C100" s="2" t="s">
        <v>97</v>
      </c>
      <c r="D100" s="3">
        <f>SUM(Shift11!D100:L100)</f>
        <v>16544850.380000003</v>
      </c>
      <c r="E100" s="3">
        <f>ROUND(MAX(0,(Levy!Q100+Data!D100+Data!E100-Levy!U100)*0.5),2)</f>
        <v>16937416.760000002</v>
      </c>
      <c r="F100" s="3">
        <f t="shared" si="7"/>
        <v>0</v>
      </c>
      <c r="G100" s="3">
        <f t="shared" si="8"/>
        <v>16544850.380000003</v>
      </c>
      <c r="I100" s="3">
        <f>SUM(Shift11!M100:N100)</f>
        <v>723364.98</v>
      </c>
      <c r="J100" s="3">
        <f>ROUND(MAX(0,(Levy!R100-Levy!V100)*0.5),2)</f>
        <v>744202.65</v>
      </c>
      <c r="K100" s="3">
        <f t="shared" si="9"/>
        <v>0</v>
      </c>
      <c r="L100" s="3">
        <f t="shared" si="10"/>
        <v>723364.98</v>
      </c>
      <c r="N100" s="3">
        <f t="shared" si="11"/>
        <v>17268215.360000003</v>
      </c>
      <c r="O100" s="2">
        <f>SUM(Levy!F100:J100)</f>
        <v>35363238.809999995</v>
      </c>
      <c r="P100" s="2">
        <f>SUM(Levy!U100:V100)</f>
        <v>0</v>
      </c>
      <c r="Q100" s="2">
        <f t="shared" si="12"/>
        <v>35363238.809999995</v>
      </c>
    </row>
    <row r="101" spans="1:17" x14ac:dyDescent="0.2">
      <c r="A101" s="5">
        <v>286</v>
      </c>
      <c r="B101" s="5">
        <v>1</v>
      </c>
      <c r="C101" s="2" t="s">
        <v>98</v>
      </c>
      <c r="D101" s="3">
        <f>SUM(Shift11!D101:L101)</f>
        <v>1057267.1399999999</v>
      </c>
      <c r="E101" s="3">
        <f>ROUND(MAX(0,(Levy!Q101+Data!D101+Data!E101-Levy!U101)*0.5),2)</f>
        <v>870519.21</v>
      </c>
      <c r="F101" s="3">
        <f t="shared" si="7"/>
        <v>186747.92999999993</v>
      </c>
      <c r="G101" s="3">
        <f t="shared" si="8"/>
        <v>870519.21</v>
      </c>
      <c r="I101" s="3">
        <f>SUM(Shift11!M101:N101)</f>
        <v>70751.17</v>
      </c>
      <c r="J101" s="3">
        <f>ROUND(MAX(0,(Levy!R101-Levy!V101)*0.5),2)</f>
        <v>72789.27</v>
      </c>
      <c r="K101" s="3">
        <f t="shared" si="9"/>
        <v>0</v>
      </c>
      <c r="L101" s="3">
        <f t="shared" si="10"/>
        <v>70751.17</v>
      </c>
      <c r="N101" s="3">
        <f t="shared" si="11"/>
        <v>941270.38</v>
      </c>
      <c r="O101" s="2">
        <f>SUM(Levy!F101:J101)</f>
        <v>1886616.95</v>
      </c>
      <c r="P101" s="2">
        <f>SUM(Levy!U101:V101)</f>
        <v>0</v>
      </c>
      <c r="Q101" s="2">
        <f t="shared" si="12"/>
        <v>1886616.95</v>
      </c>
    </row>
    <row r="102" spans="1:17" x14ac:dyDescent="0.2">
      <c r="A102" s="5">
        <v>294</v>
      </c>
      <c r="B102" s="5">
        <v>1</v>
      </c>
      <c r="C102" s="2" t="s">
        <v>99</v>
      </c>
      <c r="D102" s="3">
        <f>SUM(Shift11!D102:L102)</f>
        <v>349331.94</v>
      </c>
      <c r="E102" s="3">
        <f>ROUND(MAX(0,(Levy!Q102+Data!D102+Data!E102-Levy!U102)*0.5),2)</f>
        <v>359395</v>
      </c>
      <c r="F102" s="3">
        <f t="shared" si="7"/>
        <v>0</v>
      </c>
      <c r="G102" s="3">
        <f t="shared" si="8"/>
        <v>349331.94</v>
      </c>
      <c r="I102" s="3">
        <f>SUM(Shift11!M102:N102)</f>
        <v>18710.509999999998</v>
      </c>
      <c r="J102" s="3">
        <f>ROUND(MAX(0,(Levy!R102-Levy!V102)*0.5),2)</f>
        <v>19249.5</v>
      </c>
      <c r="K102" s="3">
        <f t="shared" si="9"/>
        <v>0</v>
      </c>
      <c r="L102" s="3">
        <f t="shared" si="10"/>
        <v>18710.509999999998</v>
      </c>
      <c r="N102" s="3">
        <f t="shared" si="11"/>
        <v>368042.45</v>
      </c>
      <c r="O102" s="2">
        <f>SUM(Levy!F102:J102)</f>
        <v>757289</v>
      </c>
      <c r="P102" s="2">
        <f>SUM(Levy!U102:V102)</f>
        <v>0</v>
      </c>
      <c r="Q102" s="2">
        <f t="shared" si="12"/>
        <v>757289</v>
      </c>
    </row>
    <row r="103" spans="1:17" x14ac:dyDescent="0.2">
      <c r="A103" s="5">
        <v>297</v>
      </c>
      <c r="B103" s="5">
        <v>1</v>
      </c>
      <c r="C103" s="2" t="s">
        <v>100</v>
      </c>
      <c r="D103" s="3">
        <f>SUM(Shift11!D103:L103)</f>
        <v>280879.27999999997</v>
      </c>
      <c r="E103" s="3">
        <f>ROUND(MAX(0,(Levy!Q103+Data!D103+Data!E103-Levy!U103)*0.5),2)</f>
        <v>277440</v>
      </c>
      <c r="F103" s="3">
        <f t="shared" si="7"/>
        <v>3439.2799999999697</v>
      </c>
      <c r="G103" s="3">
        <f t="shared" si="8"/>
        <v>277440</v>
      </c>
      <c r="I103" s="3">
        <f>SUM(Shift11!M103:N103)</f>
        <v>11056.5</v>
      </c>
      <c r="J103" s="3">
        <f>ROUND(MAX(0,(Levy!R103-Levy!V103)*0.5),2)</f>
        <v>11375</v>
      </c>
      <c r="K103" s="3">
        <f t="shared" si="9"/>
        <v>0</v>
      </c>
      <c r="L103" s="3">
        <f t="shared" si="10"/>
        <v>11056.5</v>
      </c>
      <c r="N103" s="3">
        <f t="shared" si="11"/>
        <v>288496.5</v>
      </c>
      <c r="O103" s="2">
        <f>SUM(Levy!F103:J103)</f>
        <v>577630</v>
      </c>
      <c r="P103" s="2">
        <f>SUM(Levy!U103:V103)</f>
        <v>0</v>
      </c>
      <c r="Q103" s="2">
        <f t="shared" si="12"/>
        <v>577630</v>
      </c>
    </row>
    <row r="104" spans="1:17" x14ac:dyDescent="0.2">
      <c r="A104" s="5">
        <v>299</v>
      </c>
      <c r="B104" s="5">
        <v>1</v>
      </c>
      <c r="C104" s="2" t="s">
        <v>101</v>
      </c>
      <c r="D104" s="3">
        <f>SUM(Shift11!D104:L104)</f>
        <v>425346.19000000006</v>
      </c>
      <c r="E104" s="3">
        <f>ROUND(MAX(0,(Levy!Q104+Data!D104+Data!E104-Levy!U104)*0.5),2)</f>
        <v>425563</v>
      </c>
      <c r="F104" s="3">
        <f t="shared" si="7"/>
        <v>0</v>
      </c>
      <c r="G104" s="3">
        <f t="shared" si="8"/>
        <v>425346.19000000006</v>
      </c>
      <c r="I104" s="3">
        <f>SUM(Shift11!M104:N104)</f>
        <v>36585.11</v>
      </c>
      <c r="J104" s="3">
        <f>ROUND(MAX(0,(Levy!R104-Levy!V104)*0.5),2)</f>
        <v>37639</v>
      </c>
      <c r="K104" s="3">
        <f t="shared" si="9"/>
        <v>0</v>
      </c>
      <c r="L104" s="3">
        <f t="shared" si="10"/>
        <v>36585.11</v>
      </c>
      <c r="N104" s="3">
        <f t="shared" si="11"/>
        <v>461931.30000000005</v>
      </c>
      <c r="O104" s="2">
        <f>SUM(Levy!F104:J104)</f>
        <v>926404</v>
      </c>
      <c r="P104" s="2">
        <f>SUM(Levy!U104:V104)</f>
        <v>0</v>
      </c>
      <c r="Q104" s="2">
        <f t="shared" si="12"/>
        <v>926404</v>
      </c>
    </row>
    <row r="105" spans="1:17" x14ac:dyDescent="0.2">
      <c r="A105" s="5">
        <v>300</v>
      </c>
      <c r="B105" s="5">
        <v>1</v>
      </c>
      <c r="C105" s="2" t="s">
        <v>102</v>
      </c>
      <c r="D105" s="3">
        <f>SUM(Shift11!D105:L105)</f>
        <v>652971.13000000012</v>
      </c>
      <c r="E105" s="3">
        <f>ROUND(MAX(0,(Levy!Q105+Data!D105+Data!E105-Levy!U105)*0.5),2)</f>
        <v>656110.5</v>
      </c>
      <c r="F105" s="3">
        <f t="shared" si="7"/>
        <v>0</v>
      </c>
      <c r="G105" s="3">
        <f t="shared" si="8"/>
        <v>652971.13000000012</v>
      </c>
      <c r="I105" s="3">
        <f>SUM(Shift11!M105:N105)</f>
        <v>75260.990000000005</v>
      </c>
      <c r="J105" s="3">
        <f>ROUND(MAX(0,(Levy!R105-Levy!V105)*0.5),2)</f>
        <v>77429</v>
      </c>
      <c r="K105" s="3">
        <f t="shared" si="9"/>
        <v>0</v>
      </c>
      <c r="L105" s="3">
        <f t="shared" si="10"/>
        <v>75260.990000000005</v>
      </c>
      <c r="N105" s="3">
        <f t="shared" si="11"/>
        <v>728232.12000000011</v>
      </c>
      <c r="O105" s="2">
        <f>SUM(Levy!F105:J105)</f>
        <v>1467079</v>
      </c>
      <c r="P105" s="2">
        <f>SUM(Levy!U105:V105)</f>
        <v>0</v>
      </c>
      <c r="Q105" s="2">
        <f t="shared" si="12"/>
        <v>1467079</v>
      </c>
    </row>
    <row r="106" spans="1:17" x14ac:dyDescent="0.2">
      <c r="A106" s="5">
        <v>306</v>
      </c>
      <c r="B106" s="5">
        <v>1</v>
      </c>
      <c r="C106" s="2" t="s">
        <v>103</v>
      </c>
      <c r="D106" s="3">
        <f>SUM(Shift11!D106:L106)</f>
        <v>112448.34000000001</v>
      </c>
      <c r="E106" s="3">
        <f>ROUND(MAX(0,(Levy!Q106+Data!D106+Data!E106-Levy!U106)*0.5),2)</f>
        <v>88636.72</v>
      </c>
      <c r="F106" s="3">
        <f t="shared" si="7"/>
        <v>23811.62000000001</v>
      </c>
      <c r="G106" s="3">
        <f t="shared" si="8"/>
        <v>88636.72</v>
      </c>
      <c r="I106" s="3">
        <f>SUM(Shift11!M106:N106)</f>
        <v>10339.16</v>
      </c>
      <c r="J106" s="3">
        <f>ROUND(MAX(0,(Levy!R106-Levy!V106)*0.5),2)</f>
        <v>10637</v>
      </c>
      <c r="K106" s="3">
        <f t="shared" si="9"/>
        <v>0</v>
      </c>
      <c r="L106" s="3">
        <f t="shared" si="10"/>
        <v>10339.16</v>
      </c>
      <c r="N106" s="3">
        <f t="shared" si="11"/>
        <v>98975.88</v>
      </c>
      <c r="O106" s="2">
        <f>SUM(Levy!F106:J106)</f>
        <v>198547.44</v>
      </c>
      <c r="P106" s="2">
        <f>SUM(Levy!U106:V106)</f>
        <v>0</v>
      </c>
      <c r="Q106" s="2">
        <f t="shared" si="12"/>
        <v>198547.44</v>
      </c>
    </row>
    <row r="107" spans="1:17" x14ac:dyDescent="0.2">
      <c r="A107" s="5">
        <v>308</v>
      </c>
      <c r="B107" s="5">
        <v>1</v>
      </c>
      <c r="C107" s="2" t="s">
        <v>104</v>
      </c>
      <c r="D107" s="3">
        <f>SUM(Shift11!D107:L107)</f>
        <v>200673.38</v>
      </c>
      <c r="E107" s="3">
        <f>ROUND(MAX(0,(Levy!Q107+Data!D107+Data!E107-Levy!U107)*0.5),2)</f>
        <v>172542.79</v>
      </c>
      <c r="F107" s="3">
        <f t="shared" si="7"/>
        <v>28130.589999999997</v>
      </c>
      <c r="G107" s="3">
        <f t="shared" si="8"/>
        <v>172542.79</v>
      </c>
      <c r="I107" s="3">
        <f>SUM(Shift11!M107:N107)</f>
        <v>23077.22</v>
      </c>
      <c r="J107" s="3">
        <f>ROUND(MAX(0,(Levy!R107-Levy!V107)*0.5),2)</f>
        <v>23742</v>
      </c>
      <c r="K107" s="3">
        <f t="shared" si="9"/>
        <v>0</v>
      </c>
      <c r="L107" s="3">
        <f t="shared" si="10"/>
        <v>23077.22</v>
      </c>
      <c r="N107" s="3">
        <f t="shared" si="11"/>
        <v>195620.01</v>
      </c>
      <c r="O107" s="2">
        <f>SUM(Levy!F107:J107)</f>
        <v>392569.57999999996</v>
      </c>
      <c r="P107" s="2">
        <f>SUM(Levy!U107:V107)</f>
        <v>0</v>
      </c>
      <c r="Q107" s="2">
        <f t="shared" si="12"/>
        <v>392569.57999999996</v>
      </c>
    </row>
    <row r="108" spans="1:17" x14ac:dyDescent="0.2">
      <c r="A108" s="5">
        <v>309</v>
      </c>
      <c r="B108" s="5">
        <v>1</v>
      </c>
      <c r="C108" s="2" t="s">
        <v>105</v>
      </c>
      <c r="D108" s="3">
        <f>SUM(Shift11!D108:L108)</f>
        <v>831559.86</v>
      </c>
      <c r="E108" s="3">
        <f>ROUND(MAX(0,(Levy!Q108+Data!D108+Data!E108-Levy!U108)*0.5),2)</f>
        <v>825280.81</v>
      </c>
      <c r="F108" s="3">
        <f t="shared" si="7"/>
        <v>6279.0499999999302</v>
      </c>
      <c r="G108" s="3">
        <f t="shared" si="8"/>
        <v>825280.81</v>
      </c>
      <c r="I108" s="3">
        <f>SUM(Shift11!M108:N108)</f>
        <v>95528.16</v>
      </c>
      <c r="J108" s="3">
        <f>ROUND(MAX(0,(Levy!R108-Levy!V108)*0.5),2)</f>
        <v>98280</v>
      </c>
      <c r="K108" s="3">
        <f t="shared" si="9"/>
        <v>0</v>
      </c>
      <c r="L108" s="3">
        <f t="shared" si="10"/>
        <v>95528.16</v>
      </c>
      <c r="N108" s="3">
        <f t="shared" si="11"/>
        <v>920808.97000000009</v>
      </c>
      <c r="O108" s="2">
        <f>SUM(Levy!F108:J108)</f>
        <v>1847121.62</v>
      </c>
      <c r="P108" s="2">
        <f>SUM(Levy!U108:V108)</f>
        <v>0</v>
      </c>
      <c r="Q108" s="2">
        <f t="shared" si="12"/>
        <v>1847121.62</v>
      </c>
    </row>
    <row r="109" spans="1:17" x14ac:dyDescent="0.2">
      <c r="A109" s="5">
        <v>314</v>
      </c>
      <c r="B109" s="5">
        <v>1</v>
      </c>
      <c r="C109" s="2" t="s">
        <v>106</v>
      </c>
      <c r="D109" s="3">
        <f>SUM(Shift11!D109:L109)</f>
        <v>343922.47000000009</v>
      </c>
      <c r="E109" s="3">
        <f>ROUND(MAX(0,(Levy!Q109+Data!D109+Data!E109-Levy!U109)*0.5),2)</f>
        <v>343891.82</v>
      </c>
      <c r="F109" s="3">
        <f t="shared" si="7"/>
        <v>30.650000000081491</v>
      </c>
      <c r="G109" s="3">
        <f t="shared" si="8"/>
        <v>343891.82</v>
      </c>
      <c r="I109" s="3">
        <f>SUM(Shift11!M109:N109)</f>
        <v>27521.19</v>
      </c>
      <c r="J109" s="3">
        <f>ROUND(MAX(0,(Levy!R109-Levy!V109)*0.5),2)</f>
        <v>28313.98</v>
      </c>
      <c r="K109" s="3">
        <f t="shared" si="9"/>
        <v>0</v>
      </c>
      <c r="L109" s="3">
        <f t="shared" si="10"/>
        <v>27521.19</v>
      </c>
      <c r="N109" s="3">
        <f t="shared" si="11"/>
        <v>371413.01</v>
      </c>
      <c r="O109" s="2">
        <f>SUM(Levy!F109:J109)</f>
        <v>744411.6</v>
      </c>
      <c r="P109" s="2">
        <f>SUM(Levy!U109:V109)</f>
        <v>0</v>
      </c>
      <c r="Q109" s="2">
        <f t="shared" si="12"/>
        <v>744411.6</v>
      </c>
    </row>
    <row r="110" spans="1:17" x14ac:dyDescent="0.2">
      <c r="A110" s="5">
        <v>316</v>
      </c>
      <c r="B110" s="5">
        <v>1</v>
      </c>
      <c r="C110" s="2" t="s">
        <v>107</v>
      </c>
      <c r="D110" s="3">
        <f>SUM(Shift11!D110:L110)</f>
        <v>566454.08000000007</v>
      </c>
      <c r="E110" s="3">
        <f>ROUND(MAX(0,(Levy!Q110+Data!D110+Data!E110-Levy!U110)*0.5),2)</f>
        <v>164740.21</v>
      </c>
      <c r="F110" s="3">
        <f t="shared" si="7"/>
        <v>401713.87000000011</v>
      </c>
      <c r="G110" s="3">
        <f t="shared" si="8"/>
        <v>164740.21</v>
      </c>
      <c r="I110" s="3">
        <f>SUM(Shift11!M110:N110)</f>
        <v>0</v>
      </c>
      <c r="J110" s="3">
        <f>ROUND(MAX(0,(Levy!R110-Levy!V110)*0.5),2)</f>
        <v>0</v>
      </c>
      <c r="K110" s="3">
        <f t="shared" si="9"/>
        <v>0</v>
      </c>
      <c r="L110" s="3">
        <f t="shared" si="10"/>
        <v>0</v>
      </c>
      <c r="N110" s="3">
        <f t="shared" si="11"/>
        <v>164740.21</v>
      </c>
      <c r="O110" s="2">
        <f>SUM(Levy!F110:J110)</f>
        <v>329480.42000000004</v>
      </c>
      <c r="P110" s="2">
        <f>SUM(Levy!U110:V110)</f>
        <v>0</v>
      </c>
      <c r="Q110" s="2">
        <f t="shared" si="12"/>
        <v>329480.42000000004</v>
      </c>
    </row>
    <row r="111" spans="1:17" x14ac:dyDescent="0.2">
      <c r="A111" s="5">
        <v>317</v>
      </c>
      <c r="B111" s="5">
        <v>1</v>
      </c>
      <c r="C111" s="2" t="s">
        <v>108</v>
      </c>
      <c r="D111" s="3">
        <f>SUM(Shift11!D111:L111)</f>
        <v>132152.25</v>
      </c>
      <c r="E111" s="3">
        <f>ROUND(MAX(0,(Levy!Q111+Data!D111+Data!E111-Levy!U111)*0.5),2)</f>
        <v>67513.91</v>
      </c>
      <c r="F111" s="3">
        <f t="shared" si="7"/>
        <v>64638.34</v>
      </c>
      <c r="G111" s="3">
        <f t="shared" si="8"/>
        <v>67513.91</v>
      </c>
      <c r="I111" s="3">
        <f>SUM(Shift11!M111:N111)</f>
        <v>0</v>
      </c>
      <c r="J111" s="3">
        <f>ROUND(MAX(0,(Levy!R111-Levy!V111)*0.5),2)</f>
        <v>0</v>
      </c>
      <c r="K111" s="3">
        <f t="shared" si="9"/>
        <v>0</v>
      </c>
      <c r="L111" s="3">
        <f t="shared" si="10"/>
        <v>0</v>
      </c>
      <c r="N111" s="3">
        <f t="shared" si="11"/>
        <v>67513.91</v>
      </c>
      <c r="O111" s="2">
        <f>SUM(Levy!F111:J111)</f>
        <v>135027.82</v>
      </c>
      <c r="P111" s="2">
        <f>SUM(Levy!U111:V111)</f>
        <v>0</v>
      </c>
      <c r="Q111" s="2">
        <f t="shared" si="12"/>
        <v>135027.82</v>
      </c>
    </row>
    <row r="112" spans="1:17" x14ac:dyDescent="0.2">
      <c r="A112" s="5">
        <v>318</v>
      </c>
      <c r="B112" s="5">
        <v>1</v>
      </c>
      <c r="C112" s="2" t="s">
        <v>109</v>
      </c>
      <c r="D112" s="3">
        <f>SUM(Shift11!D112:L112)</f>
        <v>1428843.37</v>
      </c>
      <c r="E112" s="3">
        <f>ROUND(MAX(0,(Levy!Q112+Data!D112+Data!E112-Levy!U112)*0.5),2)</f>
        <v>1217238.57</v>
      </c>
      <c r="F112" s="3">
        <f t="shared" si="7"/>
        <v>211604.80000000005</v>
      </c>
      <c r="G112" s="3">
        <f t="shared" si="8"/>
        <v>1217238.57</v>
      </c>
      <c r="I112" s="3">
        <f>SUM(Shift11!M112:N112)</f>
        <v>0</v>
      </c>
      <c r="J112" s="3">
        <f>ROUND(MAX(0,(Levy!R112-Levy!V112)*0.5),2)</f>
        <v>0</v>
      </c>
      <c r="K112" s="3">
        <f t="shared" si="9"/>
        <v>0</v>
      </c>
      <c r="L112" s="3">
        <f t="shared" si="10"/>
        <v>0</v>
      </c>
      <c r="N112" s="3">
        <f t="shared" si="11"/>
        <v>1217238.57</v>
      </c>
      <c r="O112" s="2">
        <f>SUM(Levy!F112:J112)</f>
        <v>2434477.14</v>
      </c>
      <c r="P112" s="2">
        <f>SUM(Levy!U112:V112)</f>
        <v>0</v>
      </c>
      <c r="Q112" s="2">
        <f t="shared" si="12"/>
        <v>2434477.14</v>
      </c>
    </row>
    <row r="113" spans="1:17" x14ac:dyDescent="0.2">
      <c r="A113" s="5">
        <v>319</v>
      </c>
      <c r="B113" s="5">
        <v>1</v>
      </c>
      <c r="C113" s="2" t="s">
        <v>110</v>
      </c>
      <c r="D113" s="3">
        <f>SUM(Shift11!D113:L113)</f>
        <v>372232.25999999995</v>
      </c>
      <c r="E113" s="3">
        <f>ROUND(MAX(0,(Levy!Q113+Data!D113+Data!E113-Levy!U113)*0.5),2)</f>
        <v>367036.31</v>
      </c>
      <c r="F113" s="3">
        <f t="shared" si="7"/>
        <v>5195.9499999999534</v>
      </c>
      <c r="G113" s="3">
        <f t="shared" si="8"/>
        <v>367036.31</v>
      </c>
      <c r="I113" s="3">
        <f>SUM(Shift11!M113:N113)</f>
        <v>0</v>
      </c>
      <c r="J113" s="3">
        <f>ROUND(MAX(0,(Levy!R113-Levy!V113)*0.5),2)</f>
        <v>0</v>
      </c>
      <c r="K113" s="3">
        <f t="shared" si="9"/>
        <v>0</v>
      </c>
      <c r="L113" s="3">
        <f t="shared" si="10"/>
        <v>0</v>
      </c>
      <c r="N113" s="3">
        <f t="shared" si="11"/>
        <v>367036.31</v>
      </c>
      <c r="O113" s="2">
        <f>SUM(Levy!F113:J113)</f>
        <v>734072.62</v>
      </c>
      <c r="P113" s="2">
        <f>SUM(Levy!U113:V113)</f>
        <v>0</v>
      </c>
      <c r="Q113" s="2">
        <f t="shared" si="12"/>
        <v>734072.62</v>
      </c>
    </row>
    <row r="114" spans="1:17" x14ac:dyDescent="0.2">
      <c r="A114" s="5">
        <v>323</v>
      </c>
      <c r="B114" s="5">
        <v>2</v>
      </c>
      <c r="C114" s="2" t="s">
        <v>111</v>
      </c>
      <c r="D114" s="3">
        <f>SUM(Shift11!D114:L114)</f>
        <v>34633.17</v>
      </c>
      <c r="E114" s="3">
        <f>ROUND(MAX(0,(Levy!Q114+Data!D114+Data!E114-Levy!U114)*0.5),2)</f>
        <v>35630.83</v>
      </c>
      <c r="F114" s="3">
        <f t="shared" si="7"/>
        <v>0</v>
      </c>
      <c r="G114" s="3">
        <f t="shared" si="8"/>
        <v>34633.17</v>
      </c>
      <c r="I114" s="3">
        <f>SUM(Shift11!M114:N114)</f>
        <v>0</v>
      </c>
      <c r="J114" s="3">
        <f>ROUND(MAX(0,(Levy!R114-Levy!V114)*0.5),2)</f>
        <v>0</v>
      </c>
      <c r="K114" s="3">
        <f t="shared" si="9"/>
        <v>0</v>
      </c>
      <c r="L114" s="3">
        <f t="shared" si="10"/>
        <v>0</v>
      </c>
      <c r="N114" s="3">
        <f t="shared" si="11"/>
        <v>34633.17</v>
      </c>
      <c r="O114" s="2">
        <f>SUM(Levy!F114:J114)</f>
        <v>71261.649999999994</v>
      </c>
      <c r="P114" s="2">
        <f>SUM(Levy!U114:V114)</f>
        <v>0</v>
      </c>
      <c r="Q114" s="2">
        <f t="shared" si="12"/>
        <v>71261.649999999994</v>
      </c>
    </row>
    <row r="115" spans="1:17" x14ac:dyDescent="0.2">
      <c r="A115" s="5">
        <v>330</v>
      </c>
      <c r="B115" s="5">
        <v>1</v>
      </c>
      <c r="C115" s="2" t="s">
        <v>112</v>
      </c>
      <c r="D115" s="3">
        <f>SUM(Shift11!D115:L115)</f>
        <v>321216.22000000003</v>
      </c>
      <c r="E115" s="3">
        <f>ROUND(MAX(0,(Levy!Q115+Data!D115+Data!E115-Levy!U115)*0.5),2)</f>
        <v>313354.5</v>
      </c>
      <c r="F115" s="3">
        <f t="shared" si="7"/>
        <v>7861.7200000000303</v>
      </c>
      <c r="G115" s="3">
        <f t="shared" si="8"/>
        <v>313354.5</v>
      </c>
      <c r="I115" s="3">
        <f>SUM(Shift11!M115:N115)</f>
        <v>11513.83</v>
      </c>
      <c r="J115" s="3">
        <f>ROUND(MAX(0,(Levy!R115-Levy!V115)*0.5),2)</f>
        <v>11845.5</v>
      </c>
      <c r="K115" s="3">
        <f t="shared" si="9"/>
        <v>0</v>
      </c>
      <c r="L115" s="3">
        <f t="shared" si="10"/>
        <v>11513.83</v>
      </c>
      <c r="N115" s="3">
        <f t="shared" si="11"/>
        <v>324868.33</v>
      </c>
      <c r="O115" s="2">
        <f>SUM(Levy!F115:J115)</f>
        <v>650400</v>
      </c>
      <c r="P115" s="2">
        <f>SUM(Levy!U115:V115)</f>
        <v>0</v>
      </c>
      <c r="Q115" s="2">
        <f t="shared" si="12"/>
        <v>650400</v>
      </c>
    </row>
    <row r="116" spans="1:17" x14ac:dyDescent="0.2">
      <c r="A116" s="5">
        <v>332</v>
      </c>
      <c r="B116" s="5">
        <v>1</v>
      </c>
      <c r="C116" s="2" t="s">
        <v>113</v>
      </c>
      <c r="D116" s="3">
        <f>SUM(Shift11!D116:L116)</f>
        <v>552008.07999999996</v>
      </c>
      <c r="E116" s="3">
        <f>ROUND(MAX(0,(Levy!Q116+Data!D116+Data!E116-Levy!U116)*0.5),2)</f>
        <v>515695.68</v>
      </c>
      <c r="F116" s="3">
        <f t="shared" si="7"/>
        <v>36312.399999999965</v>
      </c>
      <c r="G116" s="3">
        <f t="shared" si="8"/>
        <v>515695.68</v>
      </c>
      <c r="I116" s="3">
        <f>SUM(Shift11!M116:N116)</f>
        <v>60022.46</v>
      </c>
      <c r="J116" s="3">
        <f>ROUND(MAX(0,(Levy!R116-Levy!V116)*0.5),2)</f>
        <v>61751.5</v>
      </c>
      <c r="K116" s="3">
        <f t="shared" si="9"/>
        <v>0</v>
      </c>
      <c r="L116" s="3">
        <f t="shared" si="10"/>
        <v>60022.46</v>
      </c>
      <c r="N116" s="3">
        <f t="shared" si="11"/>
        <v>575718.14</v>
      </c>
      <c r="O116" s="2">
        <f>SUM(Levy!F116:J116)</f>
        <v>1154894.3500000001</v>
      </c>
      <c r="P116" s="2">
        <f>SUM(Levy!U116:V116)</f>
        <v>0</v>
      </c>
      <c r="Q116" s="2">
        <f t="shared" si="12"/>
        <v>1154894.3500000001</v>
      </c>
    </row>
    <row r="117" spans="1:17" x14ac:dyDescent="0.2">
      <c r="A117" s="5">
        <v>333</v>
      </c>
      <c r="B117" s="5">
        <v>1</v>
      </c>
      <c r="C117" s="2" t="s">
        <v>114</v>
      </c>
      <c r="D117" s="3">
        <f>SUM(Shift11!D117:L117)</f>
        <v>144651.51999999999</v>
      </c>
      <c r="E117" s="3">
        <f>ROUND(MAX(0,(Levy!Q117+Data!D117+Data!E117-Levy!U117)*0.5),2)</f>
        <v>119517.57</v>
      </c>
      <c r="F117" s="3">
        <f t="shared" si="7"/>
        <v>25133.949999999983</v>
      </c>
      <c r="G117" s="3">
        <f t="shared" si="8"/>
        <v>119517.57</v>
      </c>
      <c r="I117" s="3">
        <f>SUM(Shift11!M117:N117)</f>
        <v>17224.009999999998</v>
      </c>
      <c r="J117" s="3">
        <f>ROUND(MAX(0,(Levy!R117-Levy!V117)*0.5),2)</f>
        <v>17720.18</v>
      </c>
      <c r="K117" s="3">
        <f t="shared" si="9"/>
        <v>0</v>
      </c>
      <c r="L117" s="3">
        <f t="shared" si="10"/>
        <v>17224.009999999998</v>
      </c>
      <c r="N117" s="3">
        <f t="shared" si="11"/>
        <v>136741.58000000002</v>
      </c>
      <c r="O117" s="2">
        <f>SUM(Levy!F117:J117)</f>
        <v>274475.49</v>
      </c>
      <c r="P117" s="2">
        <f>SUM(Levy!U117:V117)</f>
        <v>0</v>
      </c>
      <c r="Q117" s="2">
        <f t="shared" si="12"/>
        <v>274475.49</v>
      </c>
    </row>
    <row r="118" spans="1:17" x14ac:dyDescent="0.2">
      <c r="A118" s="5">
        <v>345</v>
      </c>
      <c r="B118" s="5">
        <v>1</v>
      </c>
      <c r="C118" s="2" t="s">
        <v>115</v>
      </c>
      <c r="D118" s="3">
        <f>SUM(Shift11!D118:L118)</f>
        <v>841239.70999999985</v>
      </c>
      <c r="E118" s="3">
        <f>ROUND(MAX(0,(Levy!Q118+Data!D118+Data!E118-Levy!U118)*0.5),2)</f>
        <v>845179.3</v>
      </c>
      <c r="F118" s="3">
        <f t="shared" si="7"/>
        <v>0</v>
      </c>
      <c r="G118" s="3">
        <f t="shared" si="8"/>
        <v>841239.70999999985</v>
      </c>
      <c r="I118" s="3">
        <f>SUM(Shift11!M118:N118)</f>
        <v>74079.839999999997</v>
      </c>
      <c r="J118" s="3">
        <f>ROUND(MAX(0,(Levy!R118-Levy!V118)*0.5),2)</f>
        <v>76213.83</v>
      </c>
      <c r="K118" s="3">
        <f t="shared" si="9"/>
        <v>0</v>
      </c>
      <c r="L118" s="3">
        <f t="shared" si="10"/>
        <v>74079.839999999997</v>
      </c>
      <c r="N118" s="3">
        <f t="shared" si="11"/>
        <v>915319.54999999981</v>
      </c>
      <c r="O118" s="2">
        <f>SUM(Levy!F118:J118)</f>
        <v>1842786.2599999998</v>
      </c>
      <c r="P118" s="2">
        <f>SUM(Levy!U118:V118)</f>
        <v>0</v>
      </c>
      <c r="Q118" s="2">
        <f t="shared" si="12"/>
        <v>1842786.2599999998</v>
      </c>
    </row>
    <row r="119" spans="1:17" x14ac:dyDescent="0.2">
      <c r="A119" s="5">
        <v>347</v>
      </c>
      <c r="B119" s="5">
        <v>1</v>
      </c>
      <c r="C119" s="2" t="s">
        <v>116</v>
      </c>
      <c r="D119" s="3">
        <f>SUM(Shift11!D119:L119)</f>
        <v>2014677.0499999998</v>
      </c>
      <c r="E119" s="3">
        <f>ROUND(MAX(0,(Levy!Q119+Data!D119+Data!E119-Levy!U119)*0.5),2)</f>
        <v>1976463.15</v>
      </c>
      <c r="F119" s="3">
        <f t="shared" si="7"/>
        <v>38213.899999999907</v>
      </c>
      <c r="G119" s="3">
        <f t="shared" si="8"/>
        <v>1976463.15</v>
      </c>
      <c r="I119" s="3">
        <f>SUM(Shift11!M119:N119)</f>
        <v>186726.23</v>
      </c>
      <c r="J119" s="3">
        <f>ROUND(MAX(0,(Levy!R119-Levy!V119)*0.5),2)</f>
        <v>192105.17</v>
      </c>
      <c r="K119" s="3">
        <f t="shared" si="9"/>
        <v>0</v>
      </c>
      <c r="L119" s="3">
        <f t="shared" si="10"/>
        <v>186726.23</v>
      </c>
      <c r="N119" s="3">
        <f t="shared" si="11"/>
        <v>2163189.38</v>
      </c>
      <c r="O119" s="2">
        <f>SUM(Levy!F119:J119)</f>
        <v>4337136.6400000006</v>
      </c>
      <c r="P119" s="2">
        <f>SUM(Levy!U119:V119)</f>
        <v>0</v>
      </c>
      <c r="Q119" s="2">
        <f t="shared" si="12"/>
        <v>4337136.6400000006</v>
      </c>
    </row>
    <row r="120" spans="1:17" x14ac:dyDescent="0.2">
      <c r="A120" s="5">
        <v>356</v>
      </c>
      <c r="B120" s="5">
        <v>1</v>
      </c>
      <c r="C120" s="2" t="s">
        <v>117</v>
      </c>
      <c r="D120" s="3">
        <f>SUM(Shift11!D120:L120)</f>
        <v>134871.01999999999</v>
      </c>
      <c r="E120" s="3">
        <f>ROUND(MAX(0,(Levy!Q120+Data!D120+Data!E120-Levy!U120)*0.5),2)</f>
        <v>133351.9</v>
      </c>
      <c r="F120" s="3">
        <f t="shared" si="7"/>
        <v>1519.1199999999953</v>
      </c>
      <c r="G120" s="3">
        <f t="shared" si="8"/>
        <v>133351.9</v>
      </c>
      <c r="I120" s="3">
        <f>SUM(Shift11!M120:N120)</f>
        <v>5262.25</v>
      </c>
      <c r="J120" s="3">
        <f>ROUND(MAX(0,(Levy!R120-Levy!V120)*0.5),2)</f>
        <v>5413.84</v>
      </c>
      <c r="K120" s="3">
        <f t="shared" si="9"/>
        <v>0</v>
      </c>
      <c r="L120" s="3">
        <f t="shared" si="10"/>
        <v>5262.25</v>
      </c>
      <c r="N120" s="3">
        <f t="shared" si="11"/>
        <v>138614.15</v>
      </c>
      <c r="O120" s="2">
        <f>SUM(Levy!F120:J120)</f>
        <v>277531.47000000003</v>
      </c>
      <c r="P120" s="2">
        <f>SUM(Levy!U120:V120)</f>
        <v>0</v>
      </c>
      <c r="Q120" s="2">
        <f t="shared" si="12"/>
        <v>277531.47000000003</v>
      </c>
    </row>
    <row r="121" spans="1:17" x14ac:dyDescent="0.2">
      <c r="A121" s="5">
        <v>361</v>
      </c>
      <c r="B121" s="5">
        <v>1</v>
      </c>
      <c r="C121" s="2" t="s">
        <v>118</v>
      </c>
      <c r="D121" s="3">
        <f>SUM(Shift11!D121:L121)</f>
        <v>951915.24</v>
      </c>
      <c r="E121" s="3">
        <f>ROUND(MAX(0,(Levy!Q121+Data!D121+Data!E121-Levy!U121)*0.5),2)</f>
        <v>952208.26</v>
      </c>
      <c r="F121" s="3">
        <f t="shared" si="7"/>
        <v>0</v>
      </c>
      <c r="G121" s="3">
        <f t="shared" si="8"/>
        <v>951915.24</v>
      </c>
      <c r="I121" s="3">
        <f>SUM(Shift11!M121:N121)</f>
        <v>62464.46</v>
      </c>
      <c r="J121" s="3">
        <f>ROUND(MAX(0,(Levy!R121-Levy!V121)*0.5),2)</f>
        <v>64263.85</v>
      </c>
      <c r="K121" s="3">
        <f t="shared" si="9"/>
        <v>0</v>
      </c>
      <c r="L121" s="3">
        <f t="shared" si="10"/>
        <v>62464.46</v>
      </c>
      <c r="N121" s="3">
        <f t="shared" si="11"/>
        <v>1014379.7</v>
      </c>
      <c r="O121" s="2">
        <f>SUM(Levy!F121:J121)</f>
        <v>2032944.22</v>
      </c>
      <c r="P121" s="2">
        <f>SUM(Levy!U121:V121)</f>
        <v>0</v>
      </c>
      <c r="Q121" s="2">
        <f t="shared" si="12"/>
        <v>2032944.22</v>
      </c>
    </row>
    <row r="122" spans="1:17" x14ac:dyDescent="0.2">
      <c r="A122" s="5">
        <v>362</v>
      </c>
      <c r="B122" s="5">
        <v>1</v>
      </c>
      <c r="C122" s="2" t="s">
        <v>119</v>
      </c>
      <c r="D122" s="3">
        <f>SUM(Shift11!D122:L122)</f>
        <v>75076.349999999991</v>
      </c>
      <c r="E122" s="3">
        <f>ROUND(MAX(0,(Levy!Q122+Data!D122+Data!E122-Levy!U122)*0.5),2)</f>
        <v>77191.509999999995</v>
      </c>
      <c r="F122" s="3">
        <f t="shared" si="7"/>
        <v>0</v>
      </c>
      <c r="G122" s="3">
        <f t="shared" si="8"/>
        <v>75076.349999999991</v>
      </c>
      <c r="I122" s="3">
        <f>SUM(Shift11!M122:N122)</f>
        <v>9358.74</v>
      </c>
      <c r="J122" s="3">
        <f>ROUND(MAX(0,(Levy!R122-Levy!V122)*0.5),2)</f>
        <v>9628.33</v>
      </c>
      <c r="K122" s="3">
        <f t="shared" si="9"/>
        <v>0</v>
      </c>
      <c r="L122" s="3">
        <f t="shared" si="10"/>
        <v>9358.74</v>
      </c>
      <c r="N122" s="3">
        <f t="shared" si="11"/>
        <v>84435.09</v>
      </c>
      <c r="O122" s="2">
        <f>SUM(Levy!F122:J122)</f>
        <v>173639.67999999999</v>
      </c>
      <c r="P122" s="2">
        <f>SUM(Levy!U122:V122)</f>
        <v>0</v>
      </c>
      <c r="Q122" s="2">
        <f t="shared" si="12"/>
        <v>173639.67999999999</v>
      </c>
    </row>
    <row r="123" spans="1:17" x14ac:dyDescent="0.2">
      <c r="A123" s="5">
        <v>363</v>
      </c>
      <c r="B123" s="5">
        <v>1</v>
      </c>
      <c r="C123" s="2" t="s">
        <v>120</v>
      </c>
      <c r="D123" s="3">
        <f>SUM(Shift11!D123:L123)</f>
        <v>39386.719999999994</v>
      </c>
      <c r="E123" s="3">
        <f>ROUND(MAX(0,(Levy!Q123+Data!D123+Data!E123-Levy!U123)*0.5),2)</f>
        <v>40521.33</v>
      </c>
      <c r="F123" s="3">
        <f t="shared" si="7"/>
        <v>0</v>
      </c>
      <c r="G123" s="3">
        <f t="shared" si="8"/>
        <v>39386.719999999994</v>
      </c>
      <c r="I123" s="3">
        <f>SUM(Shift11!M123:N123)</f>
        <v>9225.35</v>
      </c>
      <c r="J123" s="3">
        <f>ROUND(MAX(0,(Levy!R123-Levy!V123)*0.5),2)</f>
        <v>9491.11</v>
      </c>
      <c r="K123" s="3">
        <f t="shared" si="9"/>
        <v>0</v>
      </c>
      <c r="L123" s="3">
        <f t="shared" si="10"/>
        <v>9225.35</v>
      </c>
      <c r="N123" s="3">
        <f t="shared" si="11"/>
        <v>48612.069999999992</v>
      </c>
      <c r="O123" s="2">
        <f>SUM(Levy!F123:J123)</f>
        <v>100024.85999999999</v>
      </c>
      <c r="P123" s="2">
        <f>SUM(Levy!U123:V123)</f>
        <v>0</v>
      </c>
      <c r="Q123" s="2">
        <f t="shared" si="12"/>
        <v>100024.85999999999</v>
      </c>
    </row>
    <row r="124" spans="1:17" x14ac:dyDescent="0.2">
      <c r="A124" s="5">
        <v>378</v>
      </c>
      <c r="B124" s="5">
        <v>1</v>
      </c>
      <c r="C124" s="2" t="s">
        <v>121</v>
      </c>
      <c r="D124" s="3">
        <f>SUM(Shift11!D124:L124)</f>
        <v>291100.82</v>
      </c>
      <c r="E124" s="3">
        <f>ROUND(MAX(0,(Levy!Q124+Data!D124+Data!E124-Levy!U124)*0.5),2)</f>
        <v>291139.51</v>
      </c>
      <c r="F124" s="3">
        <f t="shared" si="7"/>
        <v>0</v>
      </c>
      <c r="G124" s="3">
        <f t="shared" si="8"/>
        <v>291100.82</v>
      </c>
      <c r="I124" s="3">
        <f>SUM(Shift11!M124:N124)</f>
        <v>32058.55</v>
      </c>
      <c r="J124" s="3">
        <f>ROUND(MAX(0,(Levy!R124-Levy!V124)*0.5),2)</f>
        <v>32982.050000000003</v>
      </c>
      <c r="K124" s="3">
        <f t="shared" si="9"/>
        <v>0</v>
      </c>
      <c r="L124" s="3">
        <f t="shared" si="10"/>
        <v>32058.55</v>
      </c>
      <c r="N124" s="3">
        <f t="shared" si="11"/>
        <v>323159.37</v>
      </c>
      <c r="O124" s="2">
        <f>SUM(Levy!F124:J124)</f>
        <v>648243.1</v>
      </c>
      <c r="P124" s="2">
        <f>SUM(Levy!U124:V124)</f>
        <v>0</v>
      </c>
      <c r="Q124" s="2">
        <f t="shared" si="12"/>
        <v>648243.1</v>
      </c>
    </row>
    <row r="125" spans="1:17" x14ac:dyDescent="0.2">
      <c r="A125" s="5">
        <v>381</v>
      </c>
      <c r="B125" s="5">
        <v>1</v>
      </c>
      <c r="C125" s="2" t="s">
        <v>122</v>
      </c>
      <c r="D125" s="3">
        <f>SUM(Shift11!D125:L125)</f>
        <v>365261.94</v>
      </c>
      <c r="E125" s="3">
        <f>ROUND(MAX(0,(Levy!Q125+Data!D125+Data!E125-Levy!U125)*0.5),2)</f>
        <v>207008.49</v>
      </c>
      <c r="F125" s="3">
        <f t="shared" si="7"/>
        <v>158253.45000000001</v>
      </c>
      <c r="G125" s="3">
        <f t="shared" si="8"/>
        <v>207008.49</v>
      </c>
      <c r="I125" s="3">
        <f>SUM(Shift11!M125:N125)</f>
        <v>0</v>
      </c>
      <c r="J125" s="3">
        <f>ROUND(MAX(0,(Levy!R125-Levy!V125)*0.5),2)</f>
        <v>0</v>
      </c>
      <c r="K125" s="3">
        <f t="shared" si="9"/>
        <v>0</v>
      </c>
      <c r="L125" s="3">
        <f t="shared" si="10"/>
        <v>0</v>
      </c>
      <c r="N125" s="3">
        <f t="shared" si="11"/>
        <v>207008.49</v>
      </c>
      <c r="O125" s="2">
        <f>SUM(Levy!F125:J125)</f>
        <v>414016.98</v>
      </c>
      <c r="P125" s="2">
        <f>SUM(Levy!U125:V125)</f>
        <v>0</v>
      </c>
      <c r="Q125" s="2">
        <f t="shared" si="12"/>
        <v>414016.98</v>
      </c>
    </row>
    <row r="126" spans="1:17" x14ac:dyDescent="0.2">
      <c r="A126" s="5">
        <v>390</v>
      </c>
      <c r="B126" s="5">
        <v>1</v>
      </c>
      <c r="C126" s="2" t="s">
        <v>123</v>
      </c>
      <c r="D126" s="3">
        <f>SUM(Shift11!D126:L126)</f>
        <v>363347.83999999997</v>
      </c>
      <c r="E126" s="3">
        <f>ROUND(MAX(0,(Levy!Q126+Data!D126+Data!E126-Levy!U126)*0.5),2)</f>
        <v>369014.88</v>
      </c>
      <c r="F126" s="3">
        <f t="shared" si="7"/>
        <v>0</v>
      </c>
      <c r="G126" s="3">
        <f t="shared" si="8"/>
        <v>363347.83999999997</v>
      </c>
      <c r="I126" s="3">
        <f>SUM(Shift11!M126:N126)</f>
        <v>24479.03</v>
      </c>
      <c r="J126" s="3">
        <f>ROUND(MAX(0,(Levy!R126-Levy!V126)*0.5),2)</f>
        <v>25184.19</v>
      </c>
      <c r="K126" s="3">
        <f t="shared" si="9"/>
        <v>0</v>
      </c>
      <c r="L126" s="3">
        <f t="shared" si="10"/>
        <v>24479.03</v>
      </c>
      <c r="N126" s="3">
        <f t="shared" si="11"/>
        <v>387826.87</v>
      </c>
      <c r="O126" s="2">
        <f>SUM(Levy!F126:J126)</f>
        <v>788398.12</v>
      </c>
      <c r="P126" s="2">
        <f>SUM(Levy!U126:V126)</f>
        <v>0</v>
      </c>
      <c r="Q126" s="2">
        <f t="shared" si="12"/>
        <v>788398.12</v>
      </c>
    </row>
    <row r="127" spans="1:17" x14ac:dyDescent="0.2">
      <c r="A127" s="5">
        <v>391</v>
      </c>
      <c r="B127" s="5">
        <v>1</v>
      </c>
      <c r="C127" s="2" t="s">
        <v>124</v>
      </c>
      <c r="D127" s="3">
        <f>SUM(Shift11!D127:L127)</f>
        <v>377132.25</v>
      </c>
      <c r="E127" s="3">
        <f>ROUND(MAX(0,(Levy!Q127+Data!D127+Data!E127-Levy!U127)*0.5),2)</f>
        <v>375556.3</v>
      </c>
      <c r="F127" s="3">
        <f t="shared" si="7"/>
        <v>1575.9500000000116</v>
      </c>
      <c r="G127" s="3">
        <f t="shared" si="8"/>
        <v>375556.3</v>
      </c>
      <c r="I127" s="3">
        <f>SUM(Shift11!M127:N127)</f>
        <v>15768.94</v>
      </c>
      <c r="J127" s="3">
        <f>ROUND(MAX(0,(Levy!R127-Levy!V127)*0.5),2)</f>
        <v>16223.19</v>
      </c>
      <c r="K127" s="3">
        <f t="shared" si="9"/>
        <v>0</v>
      </c>
      <c r="L127" s="3">
        <f t="shared" si="10"/>
        <v>15768.94</v>
      </c>
      <c r="N127" s="3">
        <f t="shared" si="11"/>
        <v>391325.24</v>
      </c>
      <c r="O127" s="2">
        <f>SUM(Levy!F127:J127)</f>
        <v>783558.98</v>
      </c>
      <c r="P127" s="2">
        <f>SUM(Levy!U127:V127)</f>
        <v>0</v>
      </c>
      <c r="Q127" s="2">
        <f t="shared" si="12"/>
        <v>783558.98</v>
      </c>
    </row>
    <row r="128" spans="1:17" x14ac:dyDescent="0.2">
      <c r="A128" s="5">
        <v>392</v>
      </c>
      <c r="B128" s="5">
        <v>1</v>
      </c>
      <c r="C128" s="2" t="s">
        <v>125</v>
      </c>
      <c r="D128" s="3">
        <f>SUM(Shift11!D128:L128)</f>
        <v>390793.37</v>
      </c>
      <c r="E128" s="3">
        <f>ROUND(MAX(0,(Levy!Q128+Data!D128+Data!E128-Levy!U128)*0.5),2)</f>
        <v>384214.27</v>
      </c>
      <c r="F128" s="3">
        <f t="shared" si="7"/>
        <v>6579.0999999999767</v>
      </c>
      <c r="G128" s="3">
        <f t="shared" si="8"/>
        <v>384214.27</v>
      </c>
      <c r="I128" s="3">
        <f>SUM(Shift11!M128:N128)</f>
        <v>24614.7</v>
      </c>
      <c r="J128" s="3">
        <f>ROUND(MAX(0,(Levy!R128-Levy!V128)*0.5),2)</f>
        <v>25323.77</v>
      </c>
      <c r="K128" s="3">
        <f t="shared" si="9"/>
        <v>0</v>
      </c>
      <c r="L128" s="3">
        <f t="shared" si="10"/>
        <v>24614.7</v>
      </c>
      <c r="N128" s="3">
        <f t="shared" si="11"/>
        <v>408828.97000000003</v>
      </c>
      <c r="O128" s="2">
        <f>SUM(Levy!F128:J128)</f>
        <v>819076.06</v>
      </c>
      <c r="P128" s="2">
        <f>SUM(Levy!U128:V128)</f>
        <v>0</v>
      </c>
      <c r="Q128" s="2">
        <f t="shared" si="12"/>
        <v>819076.06</v>
      </c>
    </row>
    <row r="129" spans="1:17" x14ac:dyDescent="0.2">
      <c r="A129" s="5">
        <v>394</v>
      </c>
      <c r="B129" s="5">
        <v>1</v>
      </c>
      <c r="C129" s="2" t="s">
        <v>126</v>
      </c>
      <c r="D129" s="3">
        <f>SUM(Shift11!D129:L129)</f>
        <v>624360.45000000007</v>
      </c>
      <c r="E129" s="3">
        <f>ROUND(MAX(0,(Levy!Q129+Data!D129+Data!E129-Levy!U129)*0.5),2)</f>
        <v>611856.14</v>
      </c>
      <c r="F129" s="3">
        <f t="shared" si="7"/>
        <v>12504.310000000056</v>
      </c>
      <c r="G129" s="3">
        <f t="shared" si="8"/>
        <v>611856.14</v>
      </c>
      <c r="I129" s="3">
        <f>SUM(Shift11!M129:N129)</f>
        <v>47606.5</v>
      </c>
      <c r="J129" s="3">
        <f>ROUND(MAX(0,(Levy!R129-Levy!V129)*0.5),2)</f>
        <v>48977.89</v>
      </c>
      <c r="K129" s="3">
        <f t="shared" si="9"/>
        <v>0</v>
      </c>
      <c r="L129" s="3">
        <f t="shared" si="10"/>
        <v>47606.5</v>
      </c>
      <c r="N129" s="3">
        <f t="shared" si="11"/>
        <v>659462.64</v>
      </c>
      <c r="O129" s="2">
        <f>SUM(Levy!F129:J129)</f>
        <v>1321668.05</v>
      </c>
      <c r="P129" s="2">
        <f>SUM(Levy!U129:V129)</f>
        <v>0</v>
      </c>
      <c r="Q129" s="2">
        <f t="shared" si="12"/>
        <v>1321668.05</v>
      </c>
    </row>
    <row r="130" spans="1:17" x14ac:dyDescent="0.2">
      <c r="A130" s="5">
        <v>402</v>
      </c>
      <c r="B130" s="5">
        <v>1</v>
      </c>
      <c r="C130" s="2" t="s">
        <v>127</v>
      </c>
      <c r="D130" s="3">
        <f>SUM(Shift11!D130:L130)</f>
        <v>110786.48999999999</v>
      </c>
      <c r="E130" s="3">
        <f>ROUND(MAX(0,(Levy!Q130+Data!D130+Data!E130-Levy!U130)*0.5),2)</f>
        <v>111661.65</v>
      </c>
      <c r="F130" s="3">
        <f t="shared" si="7"/>
        <v>0</v>
      </c>
      <c r="G130" s="3">
        <f t="shared" si="8"/>
        <v>110786.48999999999</v>
      </c>
      <c r="I130" s="3">
        <f>SUM(Shift11!M130:N130)</f>
        <v>14656.8</v>
      </c>
      <c r="J130" s="3">
        <f>ROUND(MAX(0,(Levy!R130-Levy!V130)*0.5),2)</f>
        <v>15079.02</v>
      </c>
      <c r="K130" s="3">
        <f t="shared" si="9"/>
        <v>0</v>
      </c>
      <c r="L130" s="3">
        <f t="shared" si="10"/>
        <v>14656.8</v>
      </c>
      <c r="N130" s="3">
        <f t="shared" si="11"/>
        <v>125443.29</v>
      </c>
      <c r="O130" s="2">
        <f>SUM(Levy!F130:J130)</f>
        <v>253481.32</v>
      </c>
      <c r="P130" s="2">
        <f>SUM(Levy!U130:V130)</f>
        <v>0</v>
      </c>
      <c r="Q130" s="2">
        <f t="shared" si="12"/>
        <v>253481.32</v>
      </c>
    </row>
    <row r="131" spans="1:17" x14ac:dyDescent="0.2">
      <c r="A131" s="5">
        <v>403</v>
      </c>
      <c r="B131" s="5">
        <v>1</v>
      </c>
      <c r="C131" s="2" t="s">
        <v>128</v>
      </c>
      <c r="D131" s="3">
        <f>SUM(Shift11!D131:L131)</f>
        <v>202305.19</v>
      </c>
      <c r="E131" s="3">
        <f>ROUND(MAX(0,(Levy!Q131+Data!D131+Data!E131-Levy!U131)*0.5),2)</f>
        <v>202844.84</v>
      </c>
      <c r="F131" s="3">
        <f t="shared" si="7"/>
        <v>0</v>
      </c>
      <c r="G131" s="3">
        <f t="shared" si="8"/>
        <v>202305.19</v>
      </c>
      <c r="I131" s="3">
        <f>SUM(Shift11!M131:N131)</f>
        <v>9561.52</v>
      </c>
      <c r="J131" s="3">
        <f>ROUND(MAX(0,(Levy!R131-Levy!V131)*0.5),2)</f>
        <v>9836.9599999999991</v>
      </c>
      <c r="K131" s="3">
        <f t="shared" si="9"/>
        <v>0</v>
      </c>
      <c r="L131" s="3">
        <f t="shared" si="10"/>
        <v>9561.52</v>
      </c>
      <c r="N131" s="3">
        <f t="shared" si="11"/>
        <v>211866.71</v>
      </c>
      <c r="O131" s="2">
        <f>SUM(Levy!F131:J131)</f>
        <v>425363.58999999997</v>
      </c>
      <c r="P131" s="2">
        <f>SUM(Levy!U131:V131)</f>
        <v>0</v>
      </c>
      <c r="Q131" s="2">
        <f t="shared" si="12"/>
        <v>425363.58999999997</v>
      </c>
    </row>
    <row r="132" spans="1:17" x14ac:dyDescent="0.2">
      <c r="A132" s="5">
        <v>404</v>
      </c>
      <c r="B132" s="5">
        <v>1</v>
      </c>
      <c r="C132" s="2" t="s">
        <v>129</v>
      </c>
      <c r="D132" s="3">
        <f>SUM(Shift11!D132:L132)</f>
        <v>185191.19000000003</v>
      </c>
      <c r="E132" s="3">
        <f>ROUND(MAX(0,(Levy!Q132+Data!D132+Data!E132-Levy!U132)*0.5),2)</f>
        <v>185327.55</v>
      </c>
      <c r="F132" s="3">
        <f t="shared" si="7"/>
        <v>0</v>
      </c>
      <c r="G132" s="3">
        <f t="shared" si="8"/>
        <v>185191.19000000003</v>
      </c>
      <c r="I132" s="3">
        <f>SUM(Shift11!M132:N132)</f>
        <v>4109.96</v>
      </c>
      <c r="J132" s="3">
        <f>ROUND(MAX(0,(Levy!R132-Levy!V132)*0.5),2)</f>
        <v>4228.3500000000004</v>
      </c>
      <c r="K132" s="3">
        <f t="shared" si="9"/>
        <v>0</v>
      </c>
      <c r="L132" s="3">
        <f t="shared" si="10"/>
        <v>4109.96</v>
      </c>
      <c r="N132" s="3">
        <f t="shared" si="11"/>
        <v>189301.15000000002</v>
      </c>
      <c r="O132" s="2">
        <f>SUM(Levy!F132:J132)</f>
        <v>379111.8</v>
      </c>
      <c r="P132" s="2">
        <f>SUM(Levy!U132:V132)</f>
        <v>0</v>
      </c>
      <c r="Q132" s="2">
        <f t="shared" si="12"/>
        <v>379111.8</v>
      </c>
    </row>
    <row r="133" spans="1:17" x14ac:dyDescent="0.2">
      <c r="A133" s="5">
        <v>413</v>
      </c>
      <c r="B133" s="5">
        <v>1</v>
      </c>
      <c r="C133" s="2" t="s">
        <v>130</v>
      </c>
      <c r="D133" s="3">
        <f>SUM(Shift11!D133:L133)</f>
        <v>1297157.5900000003</v>
      </c>
      <c r="E133" s="3">
        <f>ROUND(MAX(0,(Levy!Q133+Data!D133+Data!E133-Levy!U133)*0.5),2)</f>
        <v>1300989.5</v>
      </c>
      <c r="F133" s="3">
        <f t="shared" si="7"/>
        <v>0</v>
      </c>
      <c r="G133" s="3">
        <f t="shared" si="8"/>
        <v>1297157.5900000003</v>
      </c>
      <c r="I133" s="3">
        <f>SUM(Shift11!M133:N133)</f>
        <v>74768.179999999993</v>
      </c>
      <c r="J133" s="3">
        <f>ROUND(MAX(0,(Levy!R133-Levy!V133)*0.5),2)</f>
        <v>76922</v>
      </c>
      <c r="K133" s="3">
        <f t="shared" si="9"/>
        <v>0</v>
      </c>
      <c r="L133" s="3">
        <f t="shared" si="10"/>
        <v>74768.179999999993</v>
      </c>
      <c r="N133" s="3">
        <f t="shared" si="11"/>
        <v>1371925.7700000003</v>
      </c>
      <c r="O133" s="2">
        <f>SUM(Levy!F133:J133)</f>
        <v>2755823</v>
      </c>
      <c r="P133" s="2">
        <f>SUM(Levy!U133:V133)</f>
        <v>0</v>
      </c>
      <c r="Q133" s="2">
        <f t="shared" si="12"/>
        <v>2755823</v>
      </c>
    </row>
    <row r="134" spans="1:17" x14ac:dyDescent="0.2">
      <c r="A134" s="5">
        <v>414</v>
      </c>
      <c r="B134" s="5">
        <v>1</v>
      </c>
      <c r="C134" s="2" t="s">
        <v>131</v>
      </c>
      <c r="D134" s="3">
        <f>SUM(Shift11!D134:L134)</f>
        <v>261480.53000000003</v>
      </c>
      <c r="E134" s="3">
        <f>ROUND(MAX(0,(Levy!Q134+Data!D134+Data!E134-Levy!U134)*0.5),2)</f>
        <v>257182</v>
      </c>
      <c r="F134" s="3">
        <f t="shared" ref="F134:F196" si="13">IF(D134&gt;E134,D134-E134,0)</f>
        <v>4298.5300000000279</v>
      </c>
      <c r="G134" s="3">
        <f t="shared" ref="G134:G196" si="14">MAX(0,MIN(D134,E134))</f>
        <v>257182</v>
      </c>
      <c r="I134" s="3">
        <f>SUM(Shift11!M134:N134)</f>
        <v>13259.54</v>
      </c>
      <c r="J134" s="3">
        <f>ROUND(MAX(0,(Levy!R134-Levy!V134)*0.5),2)</f>
        <v>13641.5</v>
      </c>
      <c r="K134" s="3">
        <f t="shared" ref="K134:K196" si="15">IF(I134&gt;J134,I134-J134,0)</f>
        <v>0</v>
      </c>
      <c r="L134" s="3">
        <f t="shared" ref="L134:L196" si="16">MAX(0,MIN(I134,J134))</f>
        <v>13259.54</v>
      </c>
      <c r="N134" s="3">
        <f t="shared" si="11"/>
        <v>270441.53999999998</v>
      </c>
      <c r="O134" s="2">
        <f>SUM(Levy!F134:J134)</f>
        <v>541647</v>
      </c>
      <c r="P134" s="2">
        <f>SUM(Levy!U134:V134)</f>
        <v>0</v>
      </c>
      <c r="Q134" s="2">
        <f t="shared" si="12"/>
        <v>541647</v>
      </c>
    </row>
    <row r="135" spans="1:17" x14ac:dyDescent="0.2">
      <c r="A135" s="5">
        <v>415</v>
      </c>
      <c r="B135" s="5">
        <v>1</v>
      </c>
      <c r="C135" s="2" t="s">
        <v>132</v>
      </c>
      <c r="D135" s="3">
        <f>SUM(Shift11!D135:L135)</f>
        <v>145001.54999999999</v>
      </c>
      <c r="E135" s="3">
        <f>ROUND(MAX(0,(Levy!Q135+Data!D135+Data!E135-Levy!U135)*0.5),2)</f>
        <v>146749</v>
      </c>
      <c r="F135" s="3">
        <f t="shared" si="13"/>
        <v>0</v>
      </c>
      <c r="G135" s="3">
        <f t="shared" si="14"/>
        <v>145001.54999999999</v>
      </c>
      <c r="I135" s="3">
        <f>SUM(Shift11!M135:N135)</f>
        <v>18939.91</v>
      </c>
      <c r="J135" s="3">
        <f>ROUND(MAX(0,(Levy!R135-Levy!V135)*0.5),2)</f>
        <v>19485.5</v>
      </c>
      <c r="K135" s="3">
        <f t="shared" si="15"/>
        <v>0</v>
      </c>
      <c r="L135" s="3">
        <f t="shared" si="16"/>
        <v>18939.91</v>
      </c>
      <c r="N135" s="3">
        <f t="shared" si="11"/>
        <v>163941.46</v>
      </c>
      <c r="O135" s="2">
        <f>SUM(Levy!F135:J135)</f>
        <v>332469</v>
      </c>
      <c r="P135" s="2">
        <f>SUM(Levy!U135:V135)</f>
        <v>0</v>
      </c>
      <c r="Q135" s="2">
        <f t="shared" si="12"/>
        <v>332469</v>
      </c>
    </row>
    <row r="136" spans="1:17" x14ac:dyDescent="0.2">
      <c r="A136" s="5">
        <v>423</v>
      </c>
      <c r="B136" s="5">
        <v>1</v>
      </c>
      <c r="C136" s="2" t="s">
        <v>133</v>
      </c>
      <c r="D136" s="3">
        <f>SUM(Shift11!D136:L136)</f>
        <v>1861019.7899999998</v>
      </c>
      <c r="E136" s="3">
        <f>ROUND(MAX(0,(Levy!Q136+Data!D136+Data!E136-Levy!U136)*0.5),2)</f>
        <v>1864718.2</v>
      </c>
      <c r="F136" s="3">
        <f t="shared" si="13"/>
        <v>0</v>
      </c>
      <c r="G136" s="3">
        <f t="shared" si="14"/>
        <v>1861019.7899999998</v>
      </c>
      <c r="I136" s="3">
        <f>SUM(Shift11!M136:N136)</f>
        <v>99297.59</v>
      </c>
      <c r="J136" s="3">
        <f>ROUND(MAX(0,(Levy!R136-Levy!V136)*0.5),2)</f>
        <v>102158.02</v>
      </c>
      <c r="K136" s="3">
        <f t="shared" si="15"/>
        <v>0</v>
      </c>
      <c r="L136" s="3">
        <f t="shared" si="16"/>
        <v>99297.59</v>
      </c>
      <c r="N136" s="3">
        <f t="shared" si="11"/>
        <v>1960317.38</v>
      </c>
      <c r="O136" s="2">
        <f>SUM(Levy!F136:J136)</f>
        <v>3933752.42</v>
      </c>
      <c r="P136" s="2">
        <f>SUM(Levy!U136:V136)</f>
        <v>0</v>
      </c>
      <c r="Q136" s="2">
        <f t="shared" si="12"/>
        <v>3933752.42</v>
      </c>
    </row>
    <row r="137" spans="1:17" x14ac:dyDescent="0.2">
      <c r="A137" s="5">
        <v>424</v>
      </c>
      <c r="B137" s="5">
        <v>1</v>
      </c>
      <c r="C137" s="2" t="s">
        <v>134</v>
      </c>
      <c r="D137" s="3">
        <f>SUM(Shift11!D137:L137)</f>
        <v>327359.08999999997</v>
      </c>
      <c r="E137" s="3">
        <f>ROUND(MAX(0,(Levy!Q137+Data!D137+Data!E137-Levy!U137)*0.5),2)</f>
        <v>319201.82</v>
      </c>
      <c r="F137" s="3">
        <f t="shared" si="13"/>
        <v>8157.2699999999604</v>
      </c>
      <c r="G137" s="3">
        <f t="shared" si="14"/>
        <v>319201.82</v>
      </c>
      <c r="I137" s="3">
        <f>SUM(Shift11!M137:N137)</f>
        <v>13639.03</v>
      </c>
      <c r="J137" s="3">
        <f>ROUND(MAX(0,(Levy!R137-Levy!V137)*0.5),2)</f>
        <v>14031.93</v>
      </c>
      <c r="K137" s="3">
        <f t="shared" si="15"/>
        <v>0</v>
      </c>
      <c r="L137" s="3">
        <f t="shared" si="16"/>
        <v>13639.03</v>
      </c>
      <c r="N137" s="3">
        <f t="shared" ref="N137:N200" si="17">G137+L137</f>
        <v>332840.85000000003</v>
      </c>
      <c r="O137" s="2">
        <f>SUM(Levy!F137:J137)</f>
        <v>666467.49</v>
      </c>
      <c r="P137" s="2">
        <f>SUM(Levy!U137:V137)</f>
        <v>0</v>
      </c>
      <c r="Q137" s="2">
        <f t="shared" ref="Q137:Q200" si="18">O137-P137</f>
        <v>666467.49</v>
      </c>
    </row>
    <row r="138" spans="1:17" x14ac:dyDescent="0.2">
      <c r="A138" s="5">
        <v>432</v>
      </c>
      <c r="B138" s="5">
        <v>1</v>
      </c>
      <c r="C138" s="2" t="s">
        <v>135</v>
      </c>
      <c r="D138" s="3">
        <f>SUM(Shift11!D138:L138)</f>
        <v>92514.419999999984</v>
      </c>
      <c r="E138" s="3">
        <f>ROUND(MAX(0,(Levy!Q138+Data!D138+Data!E138-Levy!U138)*0.5),2)</f>
        <v>74636.62</v>
      </c>
      <c r="F138" s="3">
        <f t="shared" si="13"/>
        <v>17877.799999999988</v>
      </c>
      <c r="G138" s="3">
        <f t="shared" si="14"/>
        <v>74636.62</v>
      </c>
      <c r="I138" s="3">
        <f>SUM(Shift11!M138:N138)</f>
        <v>15974.11</v>
      </c>
      <c r="J138" s="3">
        <f>ROUND(MAX(0,(Levy!R138-Levy!V138)*0.5),2)</f>
        <v>16434.27</v>
      </c>
      <c r="K138" s="3">
        <f t="shared" si="15"/>
        <v>0</v>
      </c>
      <c r="L138" s="3">
        <f t="shared" si="16"/>
        <v>15974.11</v>
      </c>
      <c r="N138" s="3">
        <f t="shared" si="17"/>
        <v>90610.73</v>
      </c>
      <c r="O138" s="2">
        <f>SUM(Levy!F138:J138)</f>
        <v>182141.77</v>
      </c>
      <c r="P138" s="2">
        <f>SUM(Levy!U138:V138)</f>
        <v>0</v>
      </c>
      <c r="Q138" s="2">
        <f t="shared" si="18"/>
        <v>182141.77</v>
      </c>
    </row>
    <row r="139" spans="1:17" x14ac:dyDescent="0.2">
      <c r="A139" s="5">
        <v>435</v>
      </c>
      <c r="B139" s="5">
        <v>1</v>
      </c>
      <c r="C139" s="2" t="s">
        <v>136</v>
      </c>
      <c r="D139" s="3">
        <f>SUM(Shift11!D139:L139)</f>
        <v>99132.88</v>
      </c>
      <c r="E139" s="3">
        <f>ROUND(MAX(0,(Levy!Q139+Data!D139+Data!E139-Levy!U139)*0.5),2)</f>
        <v>91440.54</v>
      </c>
      <c r="F139" s="3">
        <f t="shared" si="13"/>
        <v>7692.3400000000111</v>
      </c>
      <c r="G139" s="3">
        <f t="shared" si="14"/>
        <v>91440.54</v>
      </c>
      <c r="I139" s="3">
        <f>SUM(Shift11!M139:N139)</f>
        <v>15354.97</v>
      </c>
      <c r="J139" s="3">
        <f>ROUND(MAX(0,(Levy!R139-Levy!V139)*0.5),2)</f>
        <v>15797.29</v>
      </c>
      <c r="K139" s="3">
        <f t="shared" si="15"/>
        <v>0</v>
      </c>
      <c r="L139" s="3">
        <f t="shared" si="16"/>
        <v>15354.97</v>
      </c>
      <c r="N139" s="3">
        <f t="shared" si="17"/>
        <v>106795.51</v>
      </c>
      <c r="O139" s="2">
        <f>SUM(Levy!F139:J139)</f>
        <v>214475.65000000002</v>
      </c>
      <c r="P139" s="2">
        <f>SUM(Levy!U139:V139)</f>
        <v>0</v>
      </c>
      <c r="Q139" s="2">
        <f t="shared" si="18"/>
        <v>214475.65000000002</v>
      </c>
    </row>
    <row r="140" spans="1:17" x14ac:dyDescent="0.2">
      <c r="A140" s="5">
        <v>441</v>
      </c>
      <c r="B140" s="5">
        <v>1</v>
      </c>
      <c r="C140" s="2" t="s">
        <v>137</v>
      </c>
      <c r="D140" s="3">
        <f>SUM(Shift11!D140:L140)</f>
        <v>209415.96000000002</v>
      </c>
      <c r="E140" s="3">
        <f>ROUND(MAX(0,(Levy!Q140+Data!D140+Data!E140-Levy!U140)*0.5),2)</f>
        <v>206591</v>
      </c>
      <c r="F140" s="3">
        <f t="shared" si="13"/>
        <v>2824.960000000021</v>
      </c>
      <c r="G140" s="3">
        <f t="shared" si="14"/>
        <v>206591</v>
      </c>
      <c r="I140" s="3">
        <f>SUM(Shift11!M140:N140)</f>
        <v>15889.77</v>
      </c>
      <c r="J140" s="3">
        <f>ROUND(MAX(0,(Levy!R140-Levy!V140)*0.5),2)</f>
        <v>16347.5</v>
      </c>
      <c r="K140" s="3">
        <f t="shared" si="15"/>
        <v>0</v>
      </c>
      <c r="L140" s="3">
        <f t="shared" si="16"/>
        <v>15889.77</v>
      </c>
      <c r="N140" s="3">
        <f t="shared" si="17"/>
        <v>222480.77</v>
      </c>
      <c r="O140" s="2">
        <f>SUM(Levy!F140:J140)</f>
        <v>445877</v>
      </c>
      <c r="P140" s="2">
        <f>SUM(Levy!U140:V140)</f>
        <v>0</v>
      </c>
      <c r="Q140" s="2">
        <f t="shared" si="18"/>
        <v>445877</v>
      </c>
    </row>
    <row r="141" spans="1:17" x14ac:dyDescent="0.2">
      <c r="A141" s="5">
        <v>447</v>
      </c>
      <c r="B141" s="5">
        <v>1</v>
      </c>
      <c r="C141" s="2" t="s">
        <v>138</v>
      </c>
      <c r="D141" s="3">
        <f>SUM(Shift11!D141:L141)</f>
        <v>41915.56</v>
      </c>
      <c r="E141" s="3">
        <f>ROUND(MAX(0,(Levy!Q141+Data!D141+Data!E141-Levy!U141)*0.5),2)</f>
        <v>35384.5</v>
      </c>
      <c r="F141" s="3">
        <f t="shared" si="13"/>
        <v>6531.0599999999977</v>
      </c>
      <c r="G141" s="3">
        <f t="shared" si="14"/>
        <v>35384.5</v>
      </c>
      <c r="I141" s="3">
        <f>SUM(Shift11!M141:N141)</f>
        <v>6027.86</v>
      </c>
      <c r="J141" s="3">
        <f>ROUND(MAX(0,(Levy!R141-Levy!V141)*0.5),2)</f>
        <v>6201.5</v>
      </c>
      <c r="K141" s="3">
        <f t="shared" si="15"/>
        <v>0</v>
      </c>
      <c r="L141" s="3">
        <f t="shared" si="16"/>
        <v>6027.86</v>
      </c>
      <c r="N141" s="3">
        <f t="shared" si="17"/>
        <v>41412.36</v>
      </c>
      <c r="O141" s="2">
        <f>SUM(Levy!F141:J141)</f>
        <v>83172</v>
      </c>
      <c r="P141" s="2">
        <f>SUM(Levy!U141:V141)</f>
        <v>0</v>
      </c>
      <c r="Q141" s="2">
        <f t="shared" si="18"/>
        <v>83172</v>
      </c>
    </row>
    <row r="142" spans="1:17" x14ac:dyDescent="0.2">
      <c r="A142" s="5">
        <v>458</v>
      </c>
      <c r="B142" s="5">
        <v>1</v>
      </c>
      <c r="C142" s="2" t="s">
        <v>139</v>
      </c>
      <c r="D142" s="3">
        <f>SUM(Shift11!D142:L142)</f>
        <v>273885.67</v>
      </c>
      <c r="E142" s="3">
        <f>ROUND(MAX(0,(Levy!Q142+Data!D142+Data!E142-Levy!U142)*0.5),2)</f>
        <v>273689.82</v>
      </c>
      <c r="F142" s="3">
        <f t="shared" si="13"/>
        <v>195.84999999997672</v>
      </c>
      <c r="G142" s="3">
        <f t="shared" si="14"/>
        <v>273689.82</v>
      </c>
      <c r="I142" s="3">
        <f>SUM(Shift11!M142:N142)</f>
        <v>19672.66</v>
      </c>
      <c r="J142" s="3">
        <f>ROUND(MAX(0,(Levy!R142-Levy!V142)*0.5),2)</f>
        <v>20239.37</v>
      </c>
      <c r="K142" s="3">
        <f t="shared" si="15"/>
        <v>0</v>
      </c>
      <c r="L142" s="3">
        <f t="shared" si="16"/>
        <v>19672.66</v>
      </c>
      <c r="N142" s="3">
        <f t="shared" si="17"/>
        <v>293362.48</v>
      </c>
      <c r="O142" s="2">
        <f>SUM(Levy!F142:J142)</f>
        <v>587858.37</v>
      </c>
      <c r="P142" s="2">
        <f>SUM(Levy!U142:V142)</f>
        <v>0</v>
      </c>
      <c r="Q142" s="2">
        <f t="shared" si="18"/>
        <v>587858.37</v>
      </c>
    </row>
    <row r="143" spans="1:17" x14ac:dyDescent="0.2">
      <c r="A143" s="5">
        <v>463</v>
      </c>
      <c r="B143" s="5">
        <v>1</v>
      </c>
      <c r="C143" s="2" t="s">
        <v>140</v>
      </c>
      <c r="D143" s="3">
        <f>SUM(Shift11!D143:L143)</f>
        <v>323980.05999999994</v>
      </c>
      <c r="E143" s="3">
        <f>ROUND(MAX(0,(Levy!Q143+Data!D143+Data!E143-Levy!U143)*0.5),2)</f>
        <v>324495</v>
      </c>
      <c r="F143" s="3">
        <f t="shared" si="13"/>
        <v>0</v>
      </c>
      <c r="G143" s="3">
        <f t="shared" si="14"/>
        <v>323980.05999999994</v>
      </c>
      <c r="I143" s="3">
        <f>SUM(Shift11!M143:N143)</f>
        <v>28057.75</v>
      </c>
      <c r="J143" s="3">
        <f>ROUND(MAX(0,(Levy!R143-Levy!V143)*0.5),2)</f>
        <v>28866</v>
      </c>
      <c r="K143" s="3">
        <f t="shared" si="15"/>
        <v>0</v>
      </c>
      <c r="L143" s="3">
        <f t="shared" si="16"/>
        <v>28057.75</v>
      </c>
      <c r="N143" s="3">
        <f t="shared" si="17"/>
        <v>352037.80999999994</v>
      </c>
      <c r="O143" s="2">
        <f>SUM(Levy!F143:J143)</f>
        <v>706722</v>
      </c>
      <c r="P143" s="2">
        <f>SUM(Levy!U143:V143)</f>
        <v>0</v>
      </c>
      <c r="Q143" s="2">
        <f t="shared" si="18"/>
        <v>706722</v>
      </c>
    </row>
    <row r="144" spans="1:17" x14ac:dyDescent="0.2">
      <c r="A144" s="5">
        <v>465</v>
      </c>
      <c r="B144" s="5">
        <v>1</v>
      </c>
      <c r="C144" s="2" t="s">
        <v>141</v>
      </c>
      <c r="D144" s="3">
        <f>SUM(Shift11!D144:L144)</f>
        <v>1007328.17</v>
      </c>
      <c r="E144" s="3">
        <f>ROUND(MAX(0,(Levy!Q144+Data!D144+Data!E144-Levy!U144)*0.5),2)</f>
        <v>1011370.5</v>
      </c>
      <c r="F144" s="3">
        <f t="shared" si="13"/>
        <v>0</v>
      </c>
      <c r="G144" s="3">
        <f t="shared" si="14"/>
        <v>1007328.17</v>
      </c>
      <c r="I144" s="3">
        <f>SUM(Shift11!M144:N144)</f>
        <v>66744.320000000007</v>
      </c>
      <c r="J144" s="3">
        <f>ROUND(MAX(0,(Levy!R144-Levy!V144)*0.5),2)</f>
        <v>68667</v>
      </c>
      <c r="K144" s="3">
        <f t="shared" si="15"/>
        <v>0</v>
      </c>
      <c r="L144" s="3">
        <f t="shared" si="16"/>
        <v>66744.320000000007</v>
      </c>
      <c r="N144" s="3">
        <f t="shared" si="17"/>
        <v>1074072.49</v>
      </c>
      <c r="O144" s="2">
        <f>SUM(Levy!F144:J144)</f>
        <v>2160075</v>
      </c>
      <c r="P144" s="2">
        <f>SUM(Levy!U144:V144)</f>
        <v>0</v>
      </c>
      <c r="Q144" s="2">
        <f t="shared" si="18"/>
        <v>2160075</v>
      </c>
    </row>
    <row r="145" spans="1:17" x14ac:dyDescent="0.2">
      <c r="A145" s="5">
        <v>466</v>
      </c>
      <c r="B145" s="5">
        <v>1</v>
      </c>
      <c r="C145" s="2" t="s">
        <v>142</v>
      </c>
      <c r="D145" s="3">
        <f>SUM(Shift11!D145:L145)</f>
        <v>732253.72</v>
      </c>
      <c r="E145" s="3">
        <f>ROUND(MAX(0,(Levy!Q145+Data!D145+Data!E145-Levy!U145)*0.5),2)</f>
        <v>721958</v>
      </c>
      <c r="F145" s="3">
        <f t="shared" si="13"/>
        <v>10295.719999999972</v>
      </c>
      <c r="G145" s="3">
        <f t="shared" si="14"/>
        <v>721958</v>
      </c>
      <c r="I145" s="3">
        <f>SUM(Shift11!M145:N145)</f>
        <v>64376.05</v>
      </c>
      <c r="J145" s="3">
        <f>ROUND(MAX(0,(Levy!R145-Levy!V145)*0.5),2)</f>
        <v>66230.5</v>
      </c>
      <c r="K145" s="3">
        <f t="shared" si="15"/>
        <v>0</v>
      </c>
      <c r="L145" s="3">
        <f t="shared" si="16"/>
        <v>64376.05</v>
      </c>
      <c r="N145" s="3">
        <f t="shared" si="17"/>
        <v>786334.05</v>
      </c>
      <c r="O145" s="2">
        <f>SUM(Levy!F145:J145)</f>
        <v>1576377</v>
      </c>
      <c r="P145" s="2">
        <f>SUM(Levy!U145:V145)</f>
        <v>0</v>
      </c>
      <c r="Q145" s="2">
        <f t="shared" si="18"/>
        <v>1576377</v>
      </c>
    </row>
    <row r="146" spans="1:17" x14ac:dyDescent="0.2">
      <c r="A146" s="5">
        <v>473</v>
      </c>
      <c r="B146" s="5">
        <v>1</v>
      </c>
      <c r="C146" s="2" t="s">
        <v>143</v>
      </c>
      <c r="D146" s="3">
        <f>SUM(Shift11!D146:L146)</f>
        <v>196250.78</v>
      </c>
      <c r="E146" s="3">
        <f>ROUND(MAX(0,(Levy!Q146+Data!D146+Data!E146-Levy!U146)*0.5),2)</f>
        <v>156729.04999999999</v>
      </c>
      <c r="F146" s="3">
        <f t="shared" si="13"/>
        <v>39521.73000000001</v>
      </c>
      <c r="G146" s="3">
        <f t="shared" si="14"/>
        <v>156729.04999999999</v>
      </c>
      <c r="I146" s="3">
        <f>SUM(Shift11!M146:N146)</f>
        <v>18933.29</v>
      </c>
      <c r="J146" s="3">
        <f>ROUND(MAX(0,(Levy!R146-Levy!V146)*0.5),2)</f>
        <v>19478.7</v>
      </c>
      <c r="K146" s="3">
        <f t="shared" si="15"/>
        <v>0</v>
      </c>
      <c r="L146" s="3">
        <f t="shared" si="16"/>
        <v>18933.29</v>
      </c>
      <c r="N146" s="3">
        <f t="shared" si="17"/>
        <v>175662.34</v>
      </c>
      <c r="O146" s="2">
        <f>SUM(Levy!F146:J146)</f>
        <v>352415.48</v>
      </c>
      <c r="P146" s="2">
        <f>SUM(Levy!U146:V146)</f>
        <v>0</v>
      </c>
      <c r="Q146" s="2">
        <f t="shared" si="18"/>
        <v>352415.48</v>
      </c>
    </row>
    <row r="147" spans="1:17" x14ac:dyDescent="0.2">
      <c r="A147" s="5">
        <v>477</v>
      </c>
      <c r="B147" s="5">
        <v>1</v>
      </c>
      <c r="C147" s="2" t="s">
        <v>144</v>
      </c>
      <c r="D147" s="3">
        <f>SUM(Shift11!D147:L147)</f>
        <v>1255538.5799999998</v>
      </c>
      <c r="E147" s="3">
        <f>ROUND(MAX(0,(Levy!Q147+Data!D147+Data!E147-Levy!U147)*0.5),2)</f>
        <v>1238327.9099999999</v>
      </c>
      <c r="F147" s="3">
        <f t="shared" si="13"/>
        <v>17210.669999999925</v>
      </c>
      <c r="G147" s="3">
        <f t="shared" si="14"/>
        <v>1238327.9099999999</v>
      </c>
      <c r="I147" s="3">
        <f>SUM(Shift11!M147:N147)</f>
        <v>141619.1</v>
      </c>
      <c r="J147" s="3">
        <f>ROUND(MAX(0,(Levy!R147-Levy!V147)*0.5),2)</f>
        <v>145698.67000000001</v>
      </c>
      <c r="K147" s="3">
        <f t="shared" si="15"/>
        <v>0</v>
      </c>
      <c r="L147" s="3">
        <f t="shared" si="16"/>
        <v>141619.1</v>
      </c>
      <c r="N147" s="3">
        <f t="shared" si="17"/>
        <v>1379947.01</v>
      </c>
      <c r="O147" s="2">
        <f>SUM(Levy!F147:J147)</f>
        <v>2768053.15</v>
      </c>
      <c r="P147" s="2">
        <f>SUM(Levy!U147:V147)</f>
        <v>0</v>
      </c>
      <c r="Q147" s="2">
        <f t="shared" si="18"/>
        <v>2768053.15</v>
      </c>
    </row>
    <row r="148" spans="1:17" x14ac:dyDescent="0.2">
      <c r="A148" s="5">
        <v>480</v>
      </c>
      <c r="B148" s="5">
        <v>1</v>
      </c>
      <c r="C148" s="2" t="s">
        <v>145</v>
      </c>
      <c r="D148" s="3">
        <f>SUM(Shift11!D148:L148)</f>
        <v>488895.02</v>
      </c>
      <c r="E148" s="3">
        <f>ROUND(MAX(0,(Levy!Q148+Data!D148+Data!E148-Levy!U148)*0.5),2)</f>
        <v>491270.34</v>
      </c>
      <c r="F148" s="3">
        <f t="shared" si="13"/>
        <v>0</v>
      </c>
      <c r="G148" s="3">
        <f t="shared" si="14"/>
        <v>488895.02</v>
      </c>
      <c r="I148" s="3">
        <f>SUM(Shift11!M148:N148)</f>
        <v>36080.239999999998</v>
      </c>
      <c r="J148" s="3">
        <f>ROUND(MAX(0,(Levy!R148-Levy!V148)*0.5),2)</f>
        <v>37119.589999999997</v>
      </c>
      <c r="K148" s="3">
        <f t="shared" si="15"/>
        <v>0</v>
      </c>
      <c r="L148" s="3">
        <f t="shared" si="16"/>
        <v>36080.239999999998</v>
      </c>
      <c r="N148" s="3">
        <f t="shared" si="17"/>
        <v>524975.26</v>
      </c>
      <c r="O148" s="2">
        <f>SUM(Levy!F148:J148)</f>
        <v>1056779.8400000001</v>
      </c>
      <c r="P148" s="2">
        <f>SUM(Levy!U148:V148)</f>
        <v>0</v>
      </c>
      <c r="Q148" s="2">
        <f t="shared" si="18"/>
        <v>1056779.8400000001</v>
      </c>
    </row>
    <row r="149" spans="1:17" x14ac:dyDescent="0.2">
      <c r="A149" s="5">
        <v>482</v>
      </c>
      <c r="B149" s="5">
        <v>1</v>
      </c>
      <c r="C149" s="2" t="s">
        <v>146</v>
      </c>
      <c r="D149" s="3">
        <f>SUM(Shift11!D149:L149)</f>
        <v>1398960.2300000002</v>
      </c>
      <c r="E149" s="3">
        <f>ROUND(MAX(0,(Levy!Q149+Data!D149+Data!E149-Levy!U149)*0.5),2)</f>
        <v>1359274.01</v>
      </c>
      <c r="F149" s="3">
        <f t="shared" si="13"/>
        <v>39686.220000000205</v>
      </c>
      <c r="G149" s="3">
        <f t="shared" si="14"/>
        <v>1359274.01</v>
      </c>
      <c r="I149" s="3">
        <f>SUM(Shift11!M149:N149)</f>
        <v>101661.88</v>
      </c>
      <c r="J149" s="3">
        <f>ROUND(MAX(0,(Levy!R149-Levy!V149)*0.5),2)</f>
        <v>104590.42</v>
      </c>
      <c r="K149" s="3">
        <f t="shared" si="15"/>
        <v>0</v>
      </c>
      <c r="L149" s="3">
        <f t="shared" si="16"/>
        <v>101661.88</v>
      </c>
      <c r="N149" s="3">
        <f t="shared" si="17"/>
        <v>1460935.8900000001</v>
      </c>
      <c r="O149" s="2">
        <f>SUM(Levy!F149:J149)</f>
        <v>2927728.8499999996</v>
      </c>
      <c r="P149" s="2">
        <f>SUM(Levy!U149:V149)</f>
        <v>0</v>
      </c>
      <c r="Q149" s="2">
        <f t="shared" si="18"/>
        <v>2927728.8499999996</v>
      </c>
    </row>
    <row r="150" spans="1:17" x14ac:dyDescent="0.2">
      <c r="A150" s="5">
        <v>484</v>
      </c>
      <c r="B150" s="5">
        <v>1</v>
      </c>
      <c r="C150" s="2" t="s">
        <v>147</v>
      </c>
      <c r="D150" s="3">
        <f>SUM(Shift11!D150:L150)</f>
        <v>350312.24000000005</v>
      </c>
      <c r="E150" s="3">
        <f>ROUND(MAX(0,(Levy!Q150+Data!D150+Data!E150-Levy!U150)*0.5),2)</f>
        <v>360403.54</v>
      </c>
      <c r="F150" s="3">
        <f t="shared" si="13"/>
        <v>0</v>
      </c>
      <c r="G150" s="3">
        <f t="shared" si="14"/>
        <v>350312.24000000005</v>
      </c>
      <c r="I150" s="3">
        <f>SUM(Shift11!M150:N150)</f>
        <v>24341.47</v>
      </c>
      <c r="J150" s="3">
        <f>ROUND(MAX(0,(Levy!R150-Levy!V150)*0.5),2)</f>
        <v>25042.67</v>
      </c>
      <c r="K150" s="3">
        <f t="shared" si="15"/>
        <v>0</v>
      </c>
      <c r="L150" s="3">
        <f t="shared" si="16"/>
        <v>24341.47</v>
      </c>
      <c r="N150" s="3">
        <f t="shared" si="17"/>
        <v>374653.71000000008</v>
      </c>
      <c r="O150" s="2">
        <f>SUM(Levy!F150:J150)</f>
        <v>770892.41</v>
      </c>
      <c r="P150" s="2">
        <f>SUM(Levy!U150:V150)</f>
        <v>0</v>
      </c>
      <c r="Q150" s="2">
        <f t="shared" si="18"/>
        <v>770892.41</v>
      </c>
    </row>
    <row r="151" spans="1:17" x14ac:dyDescent="0.2">
      <c r="A151" s="5">
        <v>485</v>
      </c>
      <c r="B151" s="5">
        <v>1</v>
      </c>
      <c r="C151" s="2" t="s">
        <v>148</v>
      </c>
      <c r="D151" s="3">
        <f>SUM(Shift11!D151:L151)</f>
        <v>178760.80000000002</v>
      </c>
      <c r="E151" s="3">
        <f>ROUND(MAX(0,(Levy!Q151+Data!D151+Data!E151-Levy!U151)*0.5),2)</f>
        <v>137972.4</v>
      </c>
      <c r="F151" s="3">
        <f t="shared" si="13"/>
        <v>40788.400000000023</v>
      </c>
      <c r="G151" s="3">
        <f t="shared" si="14"/>
        <v>137972.4</v>
      </c>
      <c r="I151" s="3">
        <f>SUM(Shift11!M151:N151)</f>
        <v>19139.310000000001</v>
      </c>
      <c r="J151" s="3">
        <f>ROUND(MAX(0,(Levy!R151-Levy!V151)*0.5),2)</f>
        <v>19690.650000000001</v>
      </c>
      <c r="K151" s="3">
        <f t="shared" si="15"/>
        <v>0</v>
      </c>
      <c r="L151" s="3">
        <f t="shared" si="16"/>
        <v>19139.310000000001</v>
      </c>
      <c r="N151" s="3">
        <f t="shared" si="17"/>
        <v>157111.71</v>
      </c>
      <c r="O151" s="2">
        <f>SUM(Levy!F151:J151)</f>
        <v>315326.09000000003</v>
      </c>
      <c r="P151" s="2">
        <f>SUM(Levy!U151:V151)</f>
        <v>0</v>
      </c>
      <c r="Q151" s="2">
        <f t="shared" si="18"/>
        <v>315326.09000000003</v>
      </c>
    </row>
    <row r="152" spans="1:17" x14ac:dyDescent="0.2">
      <c r="A152" s="5">
        <v>486</v>
      </c>
      <c r="B152" s="5">
        <v>1</v>
      </c>
      <c r="C152" s="2" t="s">
        <v>149</v>
      </c>
      <c r="D152" s="3">
        <f>SUM(Shift11!D152:L152)</f>
        <v>141410.72000000003</v>
      </c>
      <c r="E152" s="3">
        <f>ROUND(MAX(0,(Levy!Q152+Data!D152+Data!E152-Levy!U152)*0.5),2)</f>
        <v>144167.60999999999</v>
      </c>
      <c r="F152" s="3">
        <f t="shared" si="13"/>
        <v>0</v>
      </c>
      <c r="G152" s="3">
        <f t="shared" si="14"/>
        <v>141410.72000000003</v>
      </c>
      <c r="I152" s="3">
        <f>SUM(Shift11!M152:N152)</f>
        <v>10003.780000000001</v>
      </c>
      <c r="J152" s="3">
        <f>ROUND(MAX(0,(Levy!R152-Levy!V152)*0.5),2)</f>
        <v>10291.950000000001</v>
      </c>
      <c r="K152" s="3">
        <f t="shared" si="15"/>
        <v>0</v>
      </c>
      <c r="L152" s="3">
        <f t="shared" si="16"/>
        <v>10003.780000000001</v>
      </c>
      <c r="N152" s="3">
        <f t="shared" si="17"/>
        <v>151414.50000000003</v>
      </c>
      <c r="O152" s="2">
        <f>SUM(Levy!F152:J152)</f>
        <v>308919.11000000004</v>
      </c>
      <c r="P152" s="2">
        <f>SUM(Levy!U152:V152)</f>
        <v>0</v>
      </c>
      <c r="Q152" s="2">
        <f t="shared" si="18"/>
        <v>308919.11000000004</v>
      </c>
    </row>
    <row r="153" spans="1:17" x14ac:dyDescent="0.2">
      <c r="A153" s="5">
        <v>487</v>
      </c>
      <c r="B153" s="5">
        <v>1</v>
      </c>
      <c r="C153" s="2" t="s">
        <v>150</v>
      </c>
      <c r="D153" s="3">
        <f>SUM(Shift11!D153:L153)</f>
        <v>63478.71</v>
      </c>
      <c r="E153" s="3">
        <f>ROUND(MAX(0,(Levy!Q153+Data!D153+Data!E153-Levy!U153)*0.5),2)</f>
        <v>63368.46</v>
      </c>
      <c r="F153" s="3">
        <f t="shared" si="13"/>
        <v>110.25</v>
      </c>
      <c r="G153" s="3">
        <f t="shared" si="14"/>
        <v>63368.46</v>
      </c>
      <c r="I153" s="3">
        <f>SUM(Shift11!M153:N153)</f>
        <v>6192.16</v>
      </c>
      <c r="J153" s="3">
        <f>ROUND(MAX(0,(Levy!R153-Levy!V153)*0.5),2)</f>
        <v>6370.53</v>
      </c>
      <c r="K153" s="3">
        <f t="shared" si="15"/>
        <v>0</v>
      </c>
      <c r="L153" s="3">
        <f t="shared" si="16"/>
        <v>6192.16</v>
      </c>
      <c r="N153" s="3">
        <f t="shared" si="17"/>
        <v>69560.62</v>
      </c>
      <c r="O153" s="2">
        <f>SUM(Levy!F153:J153)</f>
        <v>139477.97</v>
      </c>
      <c r="P153" s="2">
        <f>SUM(Levy!U153:V153)</f>
        <v>0</v>
      </c>
      <c r="Q153" s="2">
        <f t="shared" si="18"/>
        <v>139477.97</v>
      </c>
    </row>
    <row r="154" spans="1:17" x14ac:dyDescent="0.2">
      <c r="A154" s="5">
        <v>492</v>
      </c>
      <c r="B154" s="5">
        <v>1</v>
      </c>
      <c r="C154" s="2" t="s">
        <v>151</v>
      </c>
      <c r="D154" s="3">
        <f>SUM(Shift11!D154:L154)</f>
        <v>1783042.4500000002</v>
      </c>
      <c r="E154" s="3">
        <f>ROUND(MAX(0,(Levy!Q154+Data!D154+Data!E154-Levy!U154)*0.5),2)</f>
        <v>1746609.57</v>
      </c>
      <c r="F154" s="3">
        <f t="shared" si="13"/>
        <v>36432.880000000121</v>
      </c>
      <c r="G154" s="3">
        <f t="shared" si="14"/>
        <v>1746609.57</v>
      </c>
      <c r="I154" s="3">
        <f>SUM(Shift11!M154:N154)</f>
        <v>103554.94</v>
      </c>
      <c r="J154" s="3">
        <f>ROUND(MAX(0,(Levy!R154-Levy!V154)*0.5),2)</f>
        <v>106538</v>
      </c>
      <c r="K154" s="3">
        <f t="shared" si="15"/>
        <v>0</v>
      </c>
      <c r="L154" s="3">
        <f t="shared" si="16"/>
        <v>103554.94</v>
      </c>
      <c r="N154" s="3">
        <f t="shared" si="17"/>
        <v>1850164.51</v>
      </c>
      <c r="O154" s="2">
        <f>SUM(Levy!F154:J154)</f>
        <v>3706295.13</v>
      </c>
      <c r="P154" s="2">
        <f>SUM(Levy!U154:V154)</f>
        <v>0</v>
      </c>
      <c r="Q154" s="2">
        <f t="shared" si="18"/>
        <v>3706295.13</v>
      </c>
    </row>
    <row r="155" spans="1:17" x14ac:dyDescent="0.2">
      <c r="A155" s="5">
        <v>495</v>
      </c>
      <c r="B155" s="5">
        <v>1</v>
      </c>
      <c r="C155" s="2" t="s">
        <v>152</v>
      </c>
      <c r="D155" s="3">
        <f>SUM(Shift11!D155:L155)</f>
        <v>242996.61000000002</v>
      </c>
      <c r="E155" s="3">
        <f>ROUND(MAX(0,(Levy!Q155+Data!D155+Data!E155-Levy!U155)*0.5),2)</f>
        <v>243265</v>
      </c>
      <c r="F155" s="3">
        <f t="shared" si="13"/>
        <v>0</v>
      </c>
      <c r="G155" s="3">
        <f t="shared" si="14"/>
        <v>242996.61000000002</v>
      </c>
      <c r="I155" s="3">
        <f>SUM(Shift11!M155:N155)</f>
        <v>16018.56</v>
      </c>
      <c r="J155" s="3">
        <f>ROUND(MAX(0,(Levy!R155-Levy!V155)*0.5),2)</f>
        <v>16480</v>
      </c>
      <c r="K155" s="3">
        <f t="shared" si="15"/>
        <v>0</v>
      </c>
      <c r="L155" s="3">
        <f t="shared" si="16"/>
        <v>16018.56</v>
      </c>
      <c r="N155" s="3">
        <f t="shared" si="17"/>
        <v>259015.17</v>
      </c>
      <c r="O155" s="2">
        <f>SUM(Levy!F155:J155)</f>
        <v>519490</v>
      </c>
      <c r="P155" s="2">
        <f>SUM(Levy!U155:V155)</f>
        <v>0</v>
      </c>
      <c r="Q155" s="2">
        <f t="shared" si="18"/>
        <v>519490</v>
      </c>
    </row>
    <row r="156" spans="1:17" x14ac:dyDescent="0.2">
      <c r="A156" s="5">
        <v>497</v>
      </c>
      <c r="B156" s="5">
        <v>1</v>
      </c>
      <c r="C156" s="2" t="s">
        <v>153</v>
      </c>
      <c r="D156" s="3">
        <f>SUM(Shift11!D156:L156)</f>
        <v>101175.61</v>
      </c>
      <c r="E156" s="3">
        <f>ROUND(MAX(0,(Levy!Q156+Data!D156+Data!E156-Levy!U156)*0.5),2)</f>
        <v>86234.5</v>
      </c>
      <c r="F156" s="3">
        <f t="shared" si="13"/>
        <v>14941.11</v>
      </c>
      <c r="G156" s="3">
        <f t="shared" si="14"/>
        <v>86234.5</v>
      </c>
      <c r="I156" s="3">
        <f>SUM(Shift11!M156:N156)</f>
        <v>6746.65</v>
      </c>
      <c r="J156" s="3">
        <f>ROUND(MAX(0,(Levy!R156-Levy!V156)*0.5),2)</f>
        <v>6941</v>
      </c>
      <c r="K156" s="3">
        <f t="shared" si="15"/>
        <v>0</v>
      </c>
      <c r="L156" s="3">
        <f t="shared" si="16"/>
        <v>6746.65</v>
      </c>
      <c r="N156" s="3">
        <f t="shared" si="17"/>
        <v>92981.15</v>
      </c>
      <c r="O156" s="2">
        <f>SUM(Levy!F156:J156)</f>
        <v>186351</v>
      </c>
      <c r="P156" s="2">
        <f>SUM(Levy!U156:V156)</f>
        <v>0</v>
      </c>
      <c r="Q156" s="2">
        <f t="shared" si="18"/>
        <v>186351</v>
      </c>
    </row>
    <row r="157" spans="1:17" x14ac:dyDescent="0.2">
      <c r="A157" s="5">
        <v>499</v>
      </c>
      <c r="B157" s="5">
        <v>1</v>
      </c>
      <c r="C157" s="2" t="s">
        <v>154</v>
      </c>
      <c r="D157" s="3">
        <f>SUM(Shift11!D157:L157)</f>
        <v>351195.59000000008</v>
      </c>
      <c r="E157" s="3">
        <f>ROUND(MAX(0,(Levy!Q157+Data!D157+Data!E157-Levy!U157)*0.5),2)</f>
        <v>347407.56</v>
      </c>
      <c r="F157" s="3">
        <f t="shared" si="13"/>
        <v>3788.0300000000861</v>
      </c>
      <c r="G157" s="3">
        <f t="shared" si="14"/>
        <v>347407.56</v>
      </c>
      <c r="I157" s="3">
        <f>SUM(Shift11!M157:N157)</f>
        <v>23777.119999999999</v>
      </c>
      <c r="J157" s="3">
        <f>ROUND(MAX(0,(Levy!R157-Levy!V157)*0.5),2)</f>
        <v>24462.06</v>
      </c>
      <c r="K157" s="3">
        <f t="shared" si="15"/>
        <v>0</v>
      </c>
      <c r="L157" s="3">
        <f t="shared" si="16"/>
        <v>23777.119999999999</v>
      </c>
      <c r="N157" s="3">
        <f t="shared" si="17"/>
        <v>371184.68</v>
      </c>
      <c r="O157" s="2">
        <f>SUM(Levy!F157:J157)</f>
        <v>743739.22</v>
      </c>
      <c r="P157" s="2">
        <f>SUM(Levy!U157:V157)</f>
        <v>0</v>
      </c>
      <c r="Q157" s="2">
        <f t="shared" si="18"/>
        <v>743739.22</v>
      </c>
    </row>
    <row r="158" spans="1:17" x14ac:dyDescent="0.2">
      <c r="A158" s="5">
        <v>500</v>
      </c>
      <c r="B158" s="5">
        <v>1</v>
      </c>
      <c r="C158" s="2" t="s">
        <v>155</v>
      </c>
      <c r="D158" s="3">
        <f>SUM(Shift11!D158:L158)</f>
        <v>480377.39999999997</v>
      </c>
      <c r="E158" s="3">
        <f>ROUND(MAX(0,(Levy!Q158+Data!D158+Data!E158-Levy!U158)*0.5),2)</f>
        <v>483763.84</v>
      </c>
      <c r="F158" s="3">
        <f t="shared" si="13"/>
        <v>0</v>
      </c>
      <c r="G158" s="3">
        <f t="shared" si="14"/>
        <v>480377.39999999997</v>
      </c>
      <c r="I158" s="3">
        <f>SUM(Shift11!M158:N158)</f>
        <v>24116.29</v>
      </c>
      <c r="J158" s="3">
        <f>ROUND(MAX(0,(Levy!R158-Levy!V158)*0.5),2)</f>
        <v>24811</v>
      </c>
      <c r="K158" s="3">
        <f t="shared" si="15"/>
        <v>0</v>
      </c>
      <c r="L158" s="3">
        <f t="shared" si="16"/>
        <v>24116.29</v>
      </c>
      <c r="N158" s="3">
        <f t="shared" si="17"/>
        <v>504493.68999999994</v>
      </c>
      <c r="O158" s="2">
        <f>SUM(Levy!F158:J158)</f>
        <v>1017149.6699999999</v>
      </c>
      <c r="P158" s="2">
        <f>SUM(Levy!U158:V158)</f>
        <v>0</v>
      </c>
      <c r="Q158" s="2">
        <f t="shared" si="18"/>
        <v>1017149.6699999999</v>
      </c>
    </row>
    <row r="159" spans="1:17" x14ac:dyDescent="0.2">
      <c r="A159" s="5">
        <v>505</v>
      </c>
      <c r="B159" s="5">
        <v>1</v>
      </c>
      <c r="C159" s="2" t="s">
        <v>156</v>
      </c>
      <c r="D159" s="3">
        <f>SUM(Shift11!D159:L159)</f>
        <v>335496.01</v>
      </c>
      <c r="E159" s="3">
        <f>ROUND(MAX(0,(Levy!Q159+Data!D159+Data!E159-Levy!U159)*0.5),2)</f>
        <v>334613.63</v>
      </c>
      <c r="F159" s="3">
        <f t="shared" si="13"/>
        <v>882.38000000000466</v>
      </c>
      <c r="G159" s="3">
        <f t="shared" si="14"/>
        <v>334613.63</v>
      </c>
      <c r="I159" s="3">
        <f>SUM(Shift11!M159:N159)</f>
        <v>19938.349999999999</v>
      </c>
      <c r="J159" s="3">
        <f>ROUND(MAX(0,(Levy!R159-Levy!V159)*0.5),2)</f>
        <v>20512.71</v>
      </c>
      <c r="K159" s="3">
        <f t="shared" si="15"/>
        <v>0</v>
      </c>
      <c r="L159" s="3">
        <f t="shared" si="16"/>
        <v>19938.349999999999</v>
      </c>
      <c r="N159" s="3">
        <f t="shared" si="17"/>
        <v>354551.98</v>
      </c>
      <c r="O159" s="2">
        <f>SUM(Levy!F159:J159)</f>
        <v>710252.67</v>
      </c>
      <c r="P159" s="2">
        <f>SUM(Levy!U159:V159)</f>
        <v>0</v>
      </c>
      <c r="Q159" s="2">
        <f t="shared" si="18"/>
        <v>710252.67</v>
      </c>
    </row>
    <row r="160" spans="1:17" x14ac:dyDescent="0.2">
      <c r="A160" s="5">
        <v>507</v>
      </c>
      <c r="B160" s="5">
        <v>1</v>
      </c>
      <c r="C160" s="2" t="s">
        <v>157</v>
      </c>
      <c r="D160" s="3">
        <f>SUM(Shift11!D160:L160)</f>
        <v>241211.03000000003</v>
      </c>
      <c r="E160" s="3">
        <f>ROUND(MAX(0,(Levy!Q160+Data!D160+Data!E160-Levy!U160)*0.5),2)</f>
        <v>203723.5</v>
      </c>
      <c r="F160" s="3">
        <f t="shared" si="13"/>
        <v>37487.530000000028</v>
      </c>
      <c r="G160" s="3">
        <f t="shared" si="14"/>
        <v>203723.5</v>
      </c>
      <c r="I160" s="3">
        <f>SUM(Shift11!M160:N160)</f>
        <v>17471.7</v>
      </c>
      <c r="J160" s="3">
        <f>ROUND(MAX(0,(Levy!R160-Levy!V160)*0.5),2)</f>
        <v>17975</v>
      </c>
      <c r="K160" s="3">
        <f t="shared" si="15"/>
        <v>0</v>
      </c>
      <c r="L160" s="3">
        <f t="shared" si="16"/>
        <v>17471.7</v>
      </c>
      <c r="N160" s="3">
        <f t="shared" si="17"/>
        <v>221195.2</v>
      </c>
      <c r="O160" s="2">
        <f>SUM(Levy!F160:J160)</f>
        <v>443397</v>
      </c>
      <c r="P160" s="2">
        <f>SUM(Levy!U160:V160)</f>
        <v>0</v>
      </c>
      <c r="Q160" s="2">
        <f t="shared" si="18"/>
        <v>443397</v>
      </c>
    </row>
    <row r="161" spans="1:17" x14ac:dyDescent="0.2">
      <c r="A161" s="5">
        <v>508</v>
      </c>
      <c r="B161" s="5">
        <v>1</v>
      </c>
      <c r="C161" s="2" t="s">
        <v>158</v>
      </c>
      <c r="D161" s="3">
        <f>SUM(Shift11!D161:L161)</f>
        <v>1218838.73</v>
      </c>
      <c r="E161" s="3">
        <f>ROUND(MAX(0,(Levy!Q161+Data!D161+Data!E161-Levy!U161)*0.5),2)</f>
        <v>1245768.5</v>
      </c>
      <c r="F161" s="3">
        <f t="shared" si="13"/>
        <v>0</v>
      </c>
      <c r="G161" s="3">
        <f t="shared" si="14"/>
        <v>1218838.73</v>
      </c>
      <c r="I161" s="3">
        <f>SUM(Shift11!M161:N161)</f>
        <v>66905.679999999993</v>
      </c>
      <c r="J161" s="3">
        <f>ROUND(MAX(0,(Levy!R161-Levy!V161)*0.5),2)</f>
        <v>68833</v>
      </c>
      <c r="K161" s="3">
        <f t="shared" si="15"/>
        <v>0</v>
      </c>
      <c r="L161" s="3">
        <f t="shared" si="16"/>
        <v>66905.679999999993</v>
      </c>
      <c r="N161" s="3">
        <f t="shared" si="17"/>
        <v>1285744.4099999999</v>
      </c>
      <c r="O161" s="2">
        <f>SUM(Levy!F161:J161)</f>
        <v>2629203</v>
      </c>
      <c r="P161" s="2">
        <f>SUM(Levy!U161:V161)</f>
        <v>0</v>
      </c>
      <c r="Q161" s="2">
        <f t="shared" si="18"/>
        <v>2629203</v>
      </c>
    </row>
    <row r="162" spans="1:17" x14ac:dyDescent="0.2">
      <c r="A162" s="5">
        <v>511</v>
      </c>
      <c r="B162" s="5">
        <v>1</v>
      </c>
      <c r="C162" s="2" t="s">
        <v>159</v>
      </c>
      <c r="D162" s="3">
        <f>SUM(Shift11!D162:L162)</f>
        <v>287508.14999999997</v>
      </c>
      <c r="E162" s="3">
        <f>ROUND(MAX(0,(Levy!Q162+Data!D162+Data!E162-Levy!U162)*0.5),2)</f>
        <v>289887.26</v>
      </c>
      <c r="F162" s="3">
        <f t="shared" si="13"/>
        <v>0</v>
      </c>
      <c r="G162" s="3">
        <f t="shared" si="14"/>
        <v>287508.14999999997</v>
      </c>
      <c r="I162" s="3">
        <f>SUM(Shift11!M162:N162)</f>
        <v>5986.78</v>
      </c>
      <c r="J162" s="3">
        <f>ROUND(MAX(0,(Levy!R162-Levy!V162)*0.5),2)</f>
        <v>6159.24</v>
      </c>
      <c r="K162" s="3">
        <f t="shared" si="15"/>
        <v>0</v>
      </c>
      <c r="L162" s="3">
        <f t="shared" si="16"/>
        <v>5986.78</v>
      </c>
      <c r="N162" s="3">
        <f t="shared" si="17"/>
        <v>293494.93</v>
      </c>
      <c r="O162" s="2">
        <f>SUM(Levy!F162:J162)</f>
        <v>592092.99</v>
      </c>
      <c r="P162" s="2">
        <f>SUM(Levy!U162:V162)</f>
        <v>0</v>
      </c>
      <c r="Q162" s="2">
        <f t="shared" si="18"/>
        <v>592092.99</v>
      </c>
    </row>
    <row r="163" spans="1:17" x14ac:dyDescent="0.2">
      <c r="A163" s="5">
        <v>513</v>
      </c>
      <c r="B163" s="5">
        <v>1</v>
      </c>
      <c r="C163" s="2" t="s">
        <v>160</v>
      </c>
      <c r="D163" s="3">
        <f>SUM(Shift11!D163:L163)</f>
        <v>145207.24000000002</v>
      </c>
      <c r="E163" s="3">
        <f>ROUND(MAX(0,(Levy!Q163+Data!D163+Data!E163-Levy!U163)*0.5),2)</f>
        <v>148486.29</v>
      </c>
      <c r="F163" s="3">
        <f t="shared" si="13"/>
        <v>0</v>
      </c>
      <c r="G163" s="3">
        <f t="shared" si="14"/>
        <v>145207.24000000002</v>
      </c>
      <c r="I163" s="3">
        <f>SUM(Shift11!M163:N163)</f>
        <v>7232.24</v>
      </c>
      <c r="J163" s="3">
        <f>ROUND(MAX(0,(Levy!R163-Levy!V163)*0.5),2)</f>
        <v>7440.58</v>
      </c>
      <c r="K163" s="3">
        <f t="shared" si="15"/>
        <v>0</v>
      </c>
      <c r="L163" s="3">
        <f t="shared" si="16"/>
        <v>7232.24</v>
      </c>
      <c r="N163" s="3">
        <f t="shared" si="17"/>
        <v>152439.48000000001</v>
      </c>
      <c r="O163" s="2">
        <f>SUM(Levy!F163:J163)</f>
        <v>311853.73</v>
      </c>
      <c r="P163" s="2">
        <f>SUM(Levy!U163:V163)</f>
        <v>0</v>
      </c>
      <c r="Q163" s="2">
        <f t="shared" si="18"/>
        <v>311853.73</v>
      </c>
    </row>
    <row r="164" spans="1:17" x14ac:dyDescent="0.2">
      <c r="A164" s="5">
        <v>514</v>
      </c>
      <c r="B164" s="5">
        <v>1</v>
      </c>
      <c r="C164" s="2" t="s">
        <v>161</v>
      </c>
      <c r="D164" s="3">
        <f>SUM(Shift11!D164:L164)</f>
        <v>122743.07</v>
      </c>
      <c r="E164" s="3">
        <f>ROUND(MAX(0,(Levy!Q164+Data!D164+Data!E164-Levy!U164)*0.5),2)</f>
        <v>110213.63</v>
      </c>
      <c r="F164" s="3">
        <f t="shared" si="13"/>
        <v>12529.440000000002</v>
      </c>
      <c r="G164" s="3">
        <f t="shared" si="14"/>
        <v>110213.63</v>
      </c>
      <c r="I164" s="3">
        <f>SUM(Shift11!M164:N164)</f>
        <v>6454.5</v>
      </c>
      <c r="J164" s="3">
        <f>ROUND(MAX(0,(Levy!R164-Levy!V164)*0.5),2)</f>
        <v>6640.43</v>
      </c>
      <c r="K164" s="3">
        <f t="shared" si="15"/>
        <v>0</v>
      </c>
      <c r="L164" s="3">
        <f t="shared" si="16"/>
        <v>6454.5</v>
      </c>
      <c r="N164" s="3">
        <f t="shared" si="17"/>
        <v>116668.13</v>
      </c>
      <c r="O164" s="2">
        <f>SUM(Levy!F164:J164)</f>
        <v>233708.12</v>
      </c>
      <c r="P164" s="2">
        <f>SUM(Levy!U164:V164)</f>
        <v>0</v>
      </c>
      <c r="Q164" s="2">
        <f t="shared" si="18"/>
        <v>233708.12</v>
      </c>
    </row>
    <row r="165" spans="1:17" x14ac:dyDescent="0.2">
      <c r="A165" s="5">
        <v>516</v>
      </c>
      <c r="B165" s="5">
        <v>1</v>
      </c>
      <c r="C165" s="2" t="s">
        <v>162</v>
      </c>
      <c r="D165" s="3">
        <f>SUM(Shift11!D165:L165)</f>
        <v>71327.17</v>
      </c>
      <c r="E165" s="3">
        <f>ROUND(MAX(0,(Levy!Q165+Data!D165+Data!E165-Levy!U165)*0.5),2)</f>
        <v>75494.899999999994</v>
      </c>
      <c r="F165" s="3">
        <f t="shared" si="13"/>
        <v>0</v>
      </c>
      <c r="G165" s="3">
        <f t="shared" si="14"/>
        <v>71327.17</v>
      </c>
      <c r="I165" s="3">
        <f>SUM(Shift11!M165:N165)</f>
        <v>7879.73</v>
      </c>
      <c r="J165" s="3">
        <f>ROUND(MAX(0,(Levy!R165-Levy!V165)*0.5),2)</f>
        <v>8106.72</v>
      </c>
      <c r="K165" s="3">
        <f t="shared" si="15"/>
        <v>0</v>
      </c>
      <c r="L165" s="3">
        <f t="shared" si="16"/>
        <v>7879.73</v>
      </c>
      <c r="N165" s="3">
        <f t="shared" si="17"/>
        <v>79206.899999999994</v>
      </c>
      <c r="O165" s="2">
        <f>SUM(Levy!F165:J165)</f>
        <v>167203.24</v>
      </c>
      <c r="P165" s="2">
        <f>SUM(Levy!U165:V165)</f>
        <v>0</v>
      </c>
      <c r="Q165" s="2">
        <f t="shared" si="18"/>
        <v>167203.24</v>
      </c>
    </row>
    <row r="166" spans="1:17" x14ac:dyDescent="0.2">
      <c r="A166" s="5">
        <v>518</v>
      </c>
      <c r="B166" s="5">
        <v>1</v>
      </c>
      <c r="C166" s="2" t="s">
        <v>163</v>
      </c>
      <c r="D166" s="3">
        <f>SUM(Shift11!D166:L166)</f>
        <v>1058838.6800000002</v>
      </c>
      <c r="E166" s="3">
        <f>ROUND(MAX(0,(Levy!Q166+Data!D166+Data!E166-Levy!U166)*0.5),2)</f>
        <v>1062703.5900000001</v>
      </c>
      <c r="F166" s="3">
        <f t="shared" si="13"/>
        <v>0</v>
      </c>
      <c r="G166" s="3">
        <f t="shared" si="14"/>
        <v>1058838.6800000002</v>
      </c>
      <c r="I166" s="3">
        <f>SUM(Shift11!M166:N166)</f>
        <v>78537.25</v>
      </c>
      <c r="J166" s="3">
        <f>ROUND(MAX(0,(Levy!R166-Levy!V166)*0.5),2)</f>
        <v>80799.64</v>
      </c>
      <c r="K166" s="3">
        <f t="shared" si="15"/>
        <v>0</v>
      </c>
      <c r="L166" s="3">
        <f t="shared" si="16"/>
        <v>78537.25</v>
      </c>
      <c r="N166" s="3">
        <f t="shared" si="17"/>
        <v>1137375.9300000002</v>
      </c>
      <c r="O166" s="2">
        <f>SUM(Levy!F166:J166)</f>
        <v>2287006.44</v>
      </c>
      <c r="P166" s="2">
        <f>SUM(Levy!U166:V166)</f>
        <v>0</v>
      </c>
      <c r="Q166" s="2">
        <f t="shared" si="18"/>
        <v>2287006.44</v>
      </c>
    </row>
    <row r="167" spans="1:17" x14ac:dyDescent="0.2">
      <c r="A167" s="5">
        <v>531</v>
      </c>
      <c r="B167" s="5">
        <v>1</v>
      </c>
      <c r="C167" s="2" t="s">
        <v>164</v>
      </c>
      <c r="D167" s="3">
        <f>SUM(Shift11!D167:L167)</f>
        <v>356693.54</v>
      </c>
      <c r="E167" s="3">
        <f>ROUND(MAX(0,(Levy!Q167+Data!D167+Data!E167-Levy!U167)*0.5),2)</f>
        <v>352542</v>
      </c>
      <c r="F167" s="3">
        <f t="shared" si="13"/>
        <v>4151.539999999979</v>
      </c>
      <c r="G167" s="3">
        <f t="shared" si="14"/>
        <v>352542</v>
      </c>
      <c r="I167" s="3">
        <f>SUM(Shift11!M167:N167)</f>
        <v>42475.91</v>
      </c>
      <c r="J167" s="3">
        <f>ROUND(MAX(0,(Levy!R167-Levy!V167)*0.5),2)</f>
        <v>43699.5</v>
      </c>
      <c r="K167" s="3">
        <f t="shared" si="15"/>
        <v>0</v>
      </c>
      <c r="L167" s="3">
        <f t="shared" si="16"/>
        <v>42475.91</v>
      </c>
      <c r="N167" s="3">
        <f t="shared" si="17"/>
        <v>395017.91000000003</v>
      </c>
      <c r="O167" s="2">
        <f>SUM(Levy!F167:J167)</f>
        <v>792483</v>
      </c>
      <c r="P167" s="2">
        <f>SUM(Levy!U167:V167)</f>
        <v>0</v>
      </c>
      <c r="Q167" s="2">
        <f t="shared" si="18"/>
        <v>792483</v>
      </c>
    </row>
    <row r="168" spans="1:17" x14ac:dyDescent="0.2">
      <c r="A168" s="5">
        <v>533</v>
      </c>
      <c r="B168" s="5">
        <v>1</v>
      </c>
      <c r="C168" s="2" t="s">
        <v>165</v>
      </c>
      <c r="D168" s="3">
        <f>SUM(Shift11!D168:L168)</f>
        <v>227181.85</v>
      </c>
      <c r="E168" s="3">
        <f>ROUND(MAX(0,(Levy!Q168+Data!D168+Data!E168-Levy!U168)*0.5),2)</f>
        <v>227230.5</v>
      </c>
      <c r="F168" s="3">
        <f t="shared" si="13"/>
        <v>0</v>
      </c>
      <c r="G168" s="3">
        <f t="shared" si="14"/>
        <v>227181.85</v>
      </c>
      <c r="I168" s="3">
        <f>SUM(Shift11!M168:N168)</f>
        <v>9505.67</v>
      </c>
      <c r="J168" s="3">
        <f>ROUND(MAX(0,(Levy!R168-Levy!V168)*0.5),2)</f>
        <v>9779.5</v>
      </c>
      <c r="K168" s="3">
        <f t="shared" si="15"/>
        <v>0</v>
      </c>
      <c r="L168" s="3">
        <f t="shared" si="16"/>
        <v>9505.67</v>
      </c>
      <c r="N168" s="3">
        <f t="shared" si="17"/>
        <v>236687.52000000002</v>
      </c>
      <c r="O168" s="2">
        <f>SUM(Levy!F168:J168)</f>
        <v>474020</v>
      </c>
      <c r="P168" s="2">
        <f>SUM(Levy!U168:V168)</f>
        <v>0</v>
      </c>
      <c r="Q168" s="2">
        <f t="shared" si="18"/>
        <v>474020</v>
      </c>
    </row>
    <row r="169" spans="1:17" x14ac:dyDescent="0.2">
      <c r="A169" s="5">
        <v>534</v>
      </c>
      <c r="B169" s="5">
        <v>1</v>
      </c>
      <c r="C169" s="2" t="s">
        <v>166</v>
      </c>
      <c r="D169" s="3">
        <f>SUM(Shift11!D169:L169)</f>
        <v>1014572.5299999999</v>
      </c>
      <c r="E169" s="3">
        <f>ROUND(MAX(0,(Levy!Q169+Data!D169+Data!E169-Levy!U169)*0.5),2)</f>
        <v>1004434.5</v>
      </c>
      <c r="F169" s="3">
        <f t="shared" si="13"/>
        <v>10138.029999999912</v>
      </c>
      <c r="G169" s="3">
        <f t="shared" si="14"/>
        <v>1004434.5</v>
      </c>
      <c r="I169" s="3">
        <f>SUM(Shift11!M169:N169)</f>
        <v>54200.66</v>
      </c>
      <c r="J169" s="3">
        <f>ROUND(MAX(0,(Levy!R169-Levy!V169)*0.5),2)</f>
        <v>55762</v>
      </c>
      <c r="K169" s="3">
        <f t="shared" si="15"/>
        <v>0</v>
      </c>
      <c r="L169" s="3">
        <f t="shared" si="16"/>
        <v>54200.66</v>
      </c>
      <c r="N169" s="3">
        <f t="shared" si="17"/>
        <v>1058635.1599999999</v>
      </c>
      <c r="O169" s="2">
        <f>SUM(Levy!F169:J169)</f>
        <v>2120393</v>
      </c>
      <c r="P169" s="2">
        <f>SUM(Levy!U169:V169)</f>
        <v>0</v>
      </c>
      <c r="Q169" s="2">
        <f t="shared" si="18"/>
        <v>2120393</v>
      </c>
    </row>
    <row r="170" spans="1:17" x14ac:dyDescent="0.2">
      <c r="A170" s="5">
        <v>535</v>
      </c>
      <c r="B170" s="5">
        <v>1</v>
      </c>
      <c r="C170" s="2" t="s">
        <v>167</v>
      </c>
      <c r="D170" s="3">
        <f>SUM(Shift11!D170:L170)</f>
        <v>13179137.300000001</v>
      </c>
      <c r="E170" s="3">
        <f>ROUND(MAX(0,(Levy!Q170+Data!D170+Data!E170-Levy!U170)*0.5),2)</f>
        <v>13132846.5</v>
      </c>
      <c r="F170" s="3">
        <f t="shared" si="13"/>
        <v>46290.800000000745</v>
      </c>
      <c r="G170" s="3">
        <f t="shared" si="14"/>
        <v>13132846.5</v>
      </c>
      <c r="I170" s="3">
        <f>SUM(Shift11!M170:N170)</f>
        <v>813458.05</v>
      </c>
      <c r="J170" s="3">
        <f>ROUND(MAX(0,(Levy!R170-Levy!V170)*0.5),2)</f>
        <v>836891</v>
      </c>
      <c r="K170" s="3">
        <f t="shared" si="15"/>
        <v>0</v>
      </c>
      <c r="L170" s="3">
        <f t="shared" si="16"/>
        <v>813458.05</v>
      </c>
      <c r="N170" s="3">
        <f t="shared" si="17"/>
        <v>13946304.550000001</v>
      </c>
      <c r="O170" s="2">
        <f>SUM(Levy!F170:J170)</f>
        <v>27939475</v>
      </c>
      <c r="P170" s="2">
        <f>SUM(Levy!U170:V170)</f>
        <v>0</v>
      </c>
      <c r="Q170" s="2">
        <f t="shared" si="18"/>
        <v>27939475</v>
      </c>
    </row>
    <row r="171" spans="1:17" x14ac:dyDescent="0.2">
      <c r="A171" s="5">
        <v>542</v>
      </c>
      <c r="B171" s="5">
        <v>1</v>
      </c>
      <c r="C171" s="2" t="s">
        <v>168</v>
      </c>
      <c r="D171" s="3">
        <f>SUM(Shift11!D171:L171)</f>
        <v>178272.64000000001</v>
      </c>
      <c r="E171" s="3">
        <f>ROUND(MAX(0,(Levy!Q171+Data!D171+Data!E171-Levy!U171)*0.5),2)</f>
        <v>175258.01</v>
      </c>
      <c r="F171" s="3">
        <f t="shared" si="13"/>
        <v>3014.6300000000047</v>
      </c>
      <c r="G171" s="3">
        <f t="shared" si="14"/>
        <v>175258.01</v>
      </c>
      <c r="I171" s="3">
        <f>SUM(Shift11!M171:N171)</f>
        <v>29679.85</v>
      </c>
      <c r="J171" s="3">
        <f>ROUND(MAX(0,(Levy!R171-Levy!V171)*0.5),2)</f>
        <v>30534.83</v>
      </c>
      <c r="K171" s="3">
        <f t="shared" si="15"/>
        <v>0</v>
      </c>
      <c r="L171" s="3">
        <f t="shared" si="16"/>
        <v>29679.85</v>
      </c>
      <c r="N171" s="3">
        <f t="shared" si="17"/>
        <v>204937.86000000002</v>
      </c>
      <c r="O171" s="2">
        <f>SUM(Levy!F171:J171)</f>
        <v>411585.67000000004</v>
      </c>
      <c r="P171" s="2">
        <f>SUM(Levy!U171:V171)</f>
        <v>0</v>
      </c>
      <c r="Q171" s="2">
        <f t="shared" si="18"/>
        <v>411585.67000000004</v>
      </c>
    </row>
    <row r="172" spans="1:17" x14ac:dyDescent="0.2">
      <c r="A172" s="5">
        <v>544</v>
      </c>
      <c r="B172" s="5">
        <v>1</v>
      </c>
      <c r="C172" s="2" t="s">
        <v>169</v>
      </c>
      <c r="D172" s="3">
        <f>SUM(Shift11!D172:L172)</f>
        <v>1478916.6300000001</v>
      </c>
      <c r="E172" s="3">
        <f>ROUND(MAX(0,(Levy!Q172+Data!D172+Data!E172-Levy!U172)*0.5),2)</f>
        <v>1461671.46</v>
      </c>
      <c r="F172" s="3">
        <f t="shared" si="13"/>
        <v>17245.170000000158</v>
      </c>
      <c r="G172" s="3">
        <f t="shared" si="14"/>
        <v>1461671.46</v>
      </c>
      <c r="I172" s="3">
        <f>SUM(Shift11!M172:N172)</f>
        <v>106829.46</v>
      </c>
      <c r="J172" s="3">
        <f>ROUND(MAX(0,(Levy!R172-Levy!V172)*0.5),2)</f>
        <v>109906.86</v>
      </c>
      <c r="K172" s="3">
        <f t="shared" si="15"/>
        <v>0</v>
      </c>
      <c r="L172" s="3">
        <f t="shared" si="16"/>
        <v>106829.46</v>
      </c>
      <c r="N172" s="3">
        <f t="shared" si="17"/>
        <v>1568500.92</v>
      </c>
      <c r="O172" s="2">
        <f>SUM(Levy!F172:J172)</f>
        <v>3143156.63</v>
      </c>
      <c r="P172" s="2">
        <f>SUM(Levy!U172:V172)</f>
        <v>0</v>
      </c>
      <c r="Q172" s="2">
        <f t="shared" si="18"/>
        <v>3143156.63</v>
      </c>
    </row>
    <row r="173" spans="1:17" x14ac:dyDescent="0.2">
      <c r="A173" s="5">
        <v>545</v>
      </c>
      <c r="B173" s="5">
        <v>1</v>
      </c>
      <c r="C173" s="2" t="s">
        <v>170</v>
      </c>
      <c r="D173" s="3">
        <f>SUM(Shift11!D173:L173)</f>
        <v>328072.70999999996</v>
      </c>
      <c r="E173" s="3">
        <f>ROUND(MAX(0,(Levy!Q173+Data!D173+Data!E173-Levy!U173)*0.5),2)</f>
        <v>331597.84999999998</v>
      </c>
      <c r="F173" s="3">
        <f t="shared" si="13"/>
        <v>0</v>
      </c>
      <c r="G173" s="3">
        <f t="shared" si="14"/>
        <v>328072.70999999996</v>
      </c>
      <c r="I173" s="3">
        <f>SUM(Shift11!M173:N173)</f>
        <v>20273.68</v>
      </c>
      <c r="J173" s="3">
        <f>ROUND(MAX(0,(Levy!R173-Levy!V173)*0.5),2)</f>
        <v>20857.7</v>
      </c>
      <c r="K173" s="3">
        <f t="shared" si="15"/>
        <v>0</v>
      </c>
      <c r="L173" s="3">
        <f t="shared" si="16"/>
        <v>20273.68</v>
      </c>
      <c r="N173" s="3">
        <f t="shared" si="17"/>
        <v>348346.38999999996</v>
      </c>
      <c r="O173" s="2">
        <f>SUM(Levy!F173:J173)</f>
        <v>704911.09</v>
      </c>
      <c r="P173" s="2">
        <f>SUM(Levy!U173:V173)</f>
        <v>0</v>
      </c>
      <c r="Q173" s="2">
        <f t="shared" si="18"/>
        <v>704911.09</v>
      </c>
    </row>
    <row r="174" spans="1:17" x14ac:dyDescent="0.2">
      <c r="A174" s="5">
        <v>547</v>
      </c>
      <c r="B174" s="5">
        <v>1</v>
      </c>
      <c r="C174" s="2" t="s">
        <v>171</v>
      </c>
      <c r="D174" s="3">
        <f>SUM(Shift11!D174:L174)</f>
        <v>345777.56</v>
      </c>
      <c r="E174" s="3">
        <f>ROUND(MAX(0,(Levy!Q174+Data!D174+Data!E174-Levy!U174)*0.5),2)</f>
        <v>345907.75</v>
      </c>
      <c r="F174" s="3">
        <f t="shared" si="13"/>
        <v>0</v>
      </c>
      <c r="G174" s="3">
        <f t="shared" si="14"/>
        <v>345777.56</v>
      </c>
      <c r="I174" s="3">
        <f>SUM(Shift11!M174:N174)</f>
        <v>27648.23</v>
      </c>
      <c r="J174" s="3">
        <f>ROUND(MAX(0,(Levy!R174-Levy!V174)*0.5),2)</f>
        <v>28444.69</v>
      </c>
      <c r="K174" s="3">
        <f t="shared" si="15"/>
        <v>0</v>
      </c>
      <c r="L174" s="3">
        <f t="shared" si="16"/>
        <v>27648.23</v>
      </c>
      <c r="N174" s="3">
        <f t="shared" si="17"/>
        <v>373425.79</v>
      </c>
      <c r="O174" s="2">
        <f>SUM(Levy!F174:J174)</f>
        <v>748704.86</v>
      </c>
      <c r="P174" s="2">
        <f>SUM(Levy!U174:V174)</f>
        <v>0</v>
      </c>
      <c r="Q174" s="2">
        <f t="shared" si="18"/>
        <v>748704.86</v>
      </c>
    </row>
    <row r="175" spans="1:17" x14ac:dyDescent="0.2">
      <c r="A175" s="5">
        <v>548</v>
      </c>
      <c r="B175" s="5">
        <v>1</v>
      </c>
      <c r="C175" s="2" t="s">
        <v>172</v>
      </c>
      <c r="D175" s="3">
        <f>SUM(Shift11!D175:L175)</f>
        <v>264181.28000000003</v>
      </c>
      <c r="E175" s="3">
        <f>ROUND(MAX(0,(Levy!Q175+Data!D175+Data!E175-Levy!U175)*0.5),2)</f>
        <v>255087.47</v>
      </c>
      <c r="F175" s="3">
        <f t="shared" si="13"/>
        <v>9093.8100000000268</v>
      </c>
      <c r="G175" s="3">
        <f t="shared" si="14"/>
        <v>255087.47</v>
      </c>
      <c r="I175" s="3">
        <f>SUM(Shift11!M175:N175)</f>
        <v>51277.45</v>
      </c>
      <c r="J175" s="3">
        <f>ROUND(MAX(0,(Levy!R175-Levy!V175)*0.5),2)</f>
        <v>52754.58</v>
      </c>
      <c r="K175" s="3">
        <f t="shared" si="15"/>
        <v>0</v>
      </c>
      <c r="L175" s="3">
        <f t="shared" si="16"/>
        <v>51277.45</v>
      </c>
      <c r="N175" s="3">
        <f t="shared" si="17"/>
        <v>306364.92</v>
      </c>
      <c r="O175" s="2">
        <f>SUM(Levy!F175:J175)</f>
        <v>615684.09</v>
      </c>
      <c r="P175" s="2">
        <f>SUM(Levy!U175:V175)</f>
        <v>0</v>
      </c>
      <c r="Q175" s="2">
        <f t="shared" si="18"/>
        <v>615684.09</v>
      </c>
    </row>
    <row r="176" spans="1:17" x14ac:dyDescent="0.2">
      <c r="A176" s="5">
        <v>549</v>
      </c>
      <c r="B176" s="5">
        <v>1</v>
      </c>
      <c r="C176" s="2" t="s">
        <v>173</v>
      </c>
      <c r="D176" s="3">
        <f>SUM(Shift11!D176:L176)</f>
        <v>700518.45000000007</v>
      </c>
      <c r="E176" s="3">
        <f>ROUND(MAX(0,(Levy!Q176+Data!D176+Data!E176-Levy!U176)*0.5),2)</f>
        <v>519505.48</v>
      </c>
      <c r="F176" s="3">
        <f t="shared" si="13"/>
        <v>181012.97000000009</v>
      </c>
      <c r="G176" s="3">
        <f t="shared" si="14"/>
        <v>519505.48</v>
      </c>
      <c r="I176" s="3">
        <f>SUM(Shift11!M176:N176)</f>
        <v>66163.199999999997</v>
      </c>
      <c r="J176" s="3">
        <f>ROUND(MAX(0,(Levy!R176-Levy!V176)*0.5),2)</f>
        <v>68069.14</v>
      </c>
      <c r="K176" s="3">
        <f t="shared" si="15"/>
        <v>0</v>
      </c>
      <c r="L176" s="3">
        <f t="shared" si="16"/>
        <v>66163.199999999997</v>
      </c>
      <c r="N176" s="3">
        <f t="shared" si="17"/>
        <v>585668.67999999993</v>
      </c>
      <c r="O176" s="2">
        <f>SUM(Levy!F176:J176)</f>
        <v>1175149.23</v>
      </c>
      <c r="P176" s="2">
        <f>SUM(Levy!U176:V176)</f>
        <v>0</v>
      </c>
      <c r="Q176" s="2">
        <f t="shared" si="18"/>
        <v>1175149.23</v>
      </c>
    </row>
    <row r="177" spans="1:17" x14ac:dyDescent="0.2">
      <c r="A177" s="5">
        <v>550</v>
      </c>
      <c r="B177" s="5">
        <v>1</v>
      </c>
      <c r="C177" s="2" t="s">
        <v>174</v>
      </c>
      <c r="D177" s="3">
        <f>SUM(Shift11!D177:L177)</f>
        <v>74009.22</v>
      </c>
      <c r="E177" s="3">
        <f>ROUND(MAX(0,(Levy!Q177+Data!D177+Data!E177-Levy!U177)*0.5),2)</f>
        <v>58324.04</v>
      </c>
      <c r="F177" s="3">
        <f t="shared" si="13"/>
        <v>15685.18</v>
      </c>
      <c r="G177" s="3">
        <f t="shared" si="14"/>
        <v>58324.04</v>
      </c>
      <c r="I177" s="3">
        <f>SUM(Shift11!M177:N177)</f>
        <v>14961.54</v>
      </c>
      <c r="J177" s="3">
        <f>ROUND(MAX(0,(Levy!R177-Levy!V177)*0.5),2)</f>
        <v>15392.53</v>
      </c>
      <c r="K177" s="3">
        <f t="shared" si="15"/>
        <v>0</v>
      </c>
      <c r="L177" s="3">
        <f t="shared" si="16"/>
        <v>14961.54</v>
      </c>
      <c r="N177" s="3">
        <f t="shared" si="17"/>
        <v>73285.58</v>
      </c>
      <c r="O177" s="2">
        <f>SUM(Levy!F177:J177)</f>
        <v>147433.14000000001</v>
      </c>
      <c r="P177" s="2">
        <f>SUM(Levy!U177:V177)</f>
        <v>0</v>
      </c>
      <c r="Q177" s="2">
        <f t="shared" si="18"/>
        <v>147433.14000000001</v>
      </c>
    </row>
    <row r="178" spans="1:17" x14ac:dyDescent="0.2">
      <c r="A178" s="5">
        <v>553</v>
      </c>
      <c r="B178" s="5">
        <v>1</v>
      </c>
      <c r="C178" s="2" t="s">
        <v>175</v>
      </c>
      <c r="D178" s="3">
        <f>SUM(Shift11!D178:L178)</f>
        <v>164227.78999999998</v>
      </c>
      <c r="E178" s="3">
        <f>ROUND(MAX(0,(Levy!Q178+Data!D178+Data!E178-Levy!U178)*0.5),2)</f>
        <v>151247.74</v>
      </c>
      <c r="F178" s="3">
        <f t="shared" si="13"/>
        <v>12980.049999999988</v>
      </c>
      <c r="G178" s="3">
        <f t="shared" si="14"/>
        <v>151247.74</v>
      </c>
      <c r="I178" s="3">
        <f>SUM(Shift11!M178:N178)</f>
        <v>19144.77</v>
      </c>
      <c r="J178" s="3">
        <f>ROUND(MAX(0,(Levy!R178-Levy!V178)*0.5),2)</f>
        <v>19696.27</v>
      </c>
      <c r="K178" s="3">
        <f t="shared" si="15"/>
        <v>0</v>
      </c>
      <c r="L178" s="3">
        <f t="shared" si="16"/>
        <v>19144.77</v>
      </c>
      <c r="N178" s="3">
        <f t="shared" si="17"/>
        <v>170392.50999999998</v>
      </c>
      <c r="O178" s="2">
        <f>SUM(Levy!F178:J178)</f>
        <v>341888.01</v>
      </c>
      <c r="P178" s="2">
        <f>SUM(Levy!U178:V178)</f>
        <v>0</v>
      </c>
      <c r="Q178" s="2">
        <f t="shared" si="18"/>
        <v>341888.01</v>
      </c>
    </row>
    <row r="179" spans="1:17" x14ac:dyDescent="0.2">
      <c r="A179" s="5">
        <v>561</v>
      </c>
      <c r="B179" s="5">
        <v>1</v>
      </c>
      <c r="C179" s="2" t="s">
        <v>176</v>
      </c>
      <c r="D179" s="3">
        <f>SUM(Shift11!D179:L179)</f>
        <v>78544.14</v>
      </c>
      <c r="E179" s="3">
        <f>ROUND(MAX(0,(Levy!Q179+Data!D179+Data!E179-Levy!U179)*0.5),2)</f>
        <v>80784.179999999993</v>
      </c>
      <c r="F179" s="3">
        <f t="shared" si="13"/>
        <v>0</v>
      </c>
      <c r="G179" s="3">
        <f t="shared" si="14"/>
        <v>78544.14</v>
      </c>
      <c r="I179" s="3">
        <f>SUM(Shift11!M179:N179)</f>
        <v>6009.59</v>
      </c>
      <c r="J179" s="3">
        <f>ROUND(MAX(0,(Levy!R179-Levy!V179)*0.5),2)</f>
        <v>6182.71</v>
      </c>
      <c r="K179" s="3">
        <f t="shared" si="15"/>
        <v>0</v>
      </c>
      <c r="L179" s="3">
        <f t="shared" si="16"/>
        <v>6009.59</v>
      </c>
      <c r="N179" s="3">
        <f t="shared" si="17"/>
        <v>84553.73</v>
      </c>
      <c r="O179" s="2">
        <f>SUM(Levy!F179:J179)</f>
        <v>173933.76</v>
      </c>
      <c r="P179" s="2">
        <f>SUM(Levy!U179:V179)</f>
        <v>0</v>
      </c>
      <c r="Q179" s="2">
        <f t="shared" si="18"/>
        <v>173933.76</v>
      </c>
    </row>
    <row r="180" spans="1:17" x14ac:dyDescent="0.2">
      <c r="A180" s="5">
        <v>564</v>
      </c>
      <c r="B180" s="5">
        <v>1</v>
      </c>
      <c r="C180" s="2" t="s">
        <v>177</v>
      </c>
      <c r="D180" s="3">
        <f>SUM(Shift11!D180:L180)</f>
        <v>954055.25</v>
      </c>
      <c r="E180" s="3">
        <f>ROUND(MAX(0,(Levy!Q180+Data!D180+Data!E180-Levy!U180)*0.5),2)</f>
        <v>935881.48</v>
      </c>
      <c r="F180" s="3">
        <f t="shared" si="13"/>
        <v>18173.770000000019</v>
      </c>
      <c r="G180" s="3">
        <f t="shared" si="14"/>
        <v>935881.48</v>
      </c>
      <c r="I180" s="3">
        <f>SUM(Shift11!M180:N180)</f>
        <v>55817.78</v>
      </c>
      <c r="J180" s="3">
        <f>ROUND(MAX(0,(Levy!R180-Levy!V180)*0.5),2)</f>
        <v>57425.7</v>
      </c>
      <c r="K180" s="3">
        <f t="shared" si="15"/>
        <v>0</v>
      </c>
      <c r="L180" s="3">
        <f t="shared" si="16"/>
        <v>55817.78</v>
      </c>
      <c r="N180" s="3">
        <f t="shared" si="17"/>
        <v>991699.26</v>
      </c>
      <c r="O180" s="2">
        <f>SUM(Levy!F180:J180)</f>
        <v>1986614.35</v>
      </c>
      <c r="P180" s="2">
        <f>SUM(Levy!U180:V180)</f>
        <v>0</v>
      </c>
      <c r="Q180" s="2">
        <f t="shared" si="18"/>
        <v>1986614.35</v>
      </c>
    </row>
    <row r="181" spans="1:17" x14ac:dyDescent="0.2">
      <c r="A181" s="5">
        <v>577</v>
      </c>
      <c r="B181" s="5">
        <v>1</v>
      </c>
      <c r="C181" s="2" t="s">
        <v>178</v>
      </c>
      <c r="D181" s="3">
        <f>SUM(Shift11!D181:L181)</f>
        <v>181517.80000000002</v>
      </c>
      <c r="E181" s="3">
        <f>ROUND(MAX(0,(Levy!Q181+Data!D181+Data!E181-Levy!U181)*0.5),2)</f>
        <v>170036.93</v>
      </c>
      <c r="F181" s="3">
        <f t="shared" si="13"/>
        <v>11480.870000000024</v>
      </c>
      <c r="G181" s="3">
        <f t="shared" si="14"/>
        <v>170036.93</v>
      </c>
      <c r="I181" s="3">
        <f>SUM(Shift11!M181:N181)</f>
        <v>18890.64</v>
      </c>
      <c r="J181" s="3">
        <f>ROUND(MAX(0,(Levy!R181-Levy!V181)*0.5),2)</f>
        <v>19434.810000000001</v>
      </c>
      <c r="K181" s="3">
        <f t="shared" si="15"/>
        <v>0</v>
      </c>
      <c r="L181" s="3">
        <f t="shared" si="16"/>
        <v>18890.64</v>
      </c>
      <c r="N181" s="3">
        <f t="shared" si="17"/>
        <v>188927.57</v>
      </c>
      <c r="O181" s="2">
        <f>SUM(Levy!F181:J181)</f>
        <v>378943.47</v>
      </c>
      <c r="P181" s="2">
        <f>SUM(Levy!U181:V181)</f>
        <v>0</v>
      </c>
      <c r="Q181" s="2">
        <f t="shared" si="18"/>
        <v>378943.47</v>
      </c>
    </row>
    <row r="182" spans="1:17" x14ac:dyDescent="0.2">
      <c r="A182" s="5">
        <v>578</v>
      </c>
      <c r="B182" s="5">
        <v>1</v>
      </c>
      <c r="C182" s="2" t="s">
        <v>179</v>
      </c>
      <c r="D182" s="3">
        <f>SUM(Shift11!D182:L182)</f>
        <v>1043292.36</v>
      </c>
      <c r="E182" s="3">
        <f>ROUND(MAX(0,(Levy!Q182+Data!D182+Data!E182-Levy!U182)*0.5),2)</f>
        <v>1047082.3</v>
      </c>
      <c r="F182" s="3">
        <f t="shared" si="13"/>
        <v>0</v>
      </c>
      <c r="G182" s="3">
        <f t="shared" si="14"/>
        <v>1043292.36</v>
      </c>
      <c r="I182" s="3">
        <f>SUM(Shift11!M182:N182)</f>
        <v>64311.82</v>
      </c>
      <c r="J182" s="3">
        <f>ROUND(MAX(0,(Levy!R182-Levy!V182)*0.5),2)</f>
        <v>66164.429999999993</v>
      </c>
      <c r="K182" s="3">
        <f t="shared" si="15"/>
        <v>0</v>
      </c>
      <c r="L182" s="3">
        <f t="shared" si="16"/>
        <v>64311.82</v>
      </c>
      <c r="N182" s="3">
        <f t="shared" si="17"/>
        <v>1107604.18</v>
      </c>
      <c r="O182" s="2">
        <f>SUM(Levy!F182:J182)</f>
        <v>2226493.4500000002</v>
      </c>
      <c r="P182" s="2">
        <f>SUM(Levy!U182:V182)</f>
        <v>0</v>
      </c>
      <c r="Q182" s="2">
        <f t="shared" si="18"/>
        <v>2226493.4500000002</v>
      </c>
    </row>
    <row r="183" spans="1:17" x14ac:dyDescent="0.2">
      <c r="A183" s="5">
        <v>581</v>
      </c>
      <c r="B183" s="5">
        <v>1</v>
      </c>
      <c r="C183" s="2" t="s">
        <v>180</v>
      </c>
      <c r="D183" s="3">
        <f>SUM(Shift11!D183:L183)</f>
        <v>210854.12999999998</v>
      </c>
      <c r="E183" s="3">
        <f>ROUND(MAX(0,(Levy!Q183+Data!D183+Data!E183-Levy!U183)*0.5),2)</f>
        <v>213049.07</v>
      </c>
      <c r="F183" s="3">
        <f t="shared" si="13"/>
        <v>0</v>
      </c>
      <c r="G183" s="3">
        <f t="shared" si="14"/>
        <v>210854.12999999998</v>
      </c>
      <c r="I183" s="3">
        <f>SUM(Shift11!M183:N183)</f>
        <v>15552.52</v>
      </c>
      <c r="J183" s="3">
        <f>ROUND(MAX(0,(Levy!R183-Levy!V183)*0.5),2)</f>
        <v>16000.54</v>
      </c>
      <c r="K183" s="3">
        <f t="shared" si="15"/>
        <v>0</v>
      </c>
      <c r="L183" s="3">
        <f t="shared" si="16"/>
        <v>15552.52</v>
      </c>
      <c r="N183" s="3">
        <f t="shared" si="17"/>
        <v>226406.64999999997</v>
      </c>
      <c r="O183" s="2">
        <f>SUM(Levy!F183:J183)</f>
        <v>458099.20000000001</v>
      </c>
      <c r="P183" s="2">
        <f>SUM(Levy!U183:V183)</f>
        <v>0</v>
      </c>
      <c r="Q183" s="2">
        <f t="shared" si="18"/>
        <v>458099.20000000001</v>
      </c>
    </row>
    <row r="184" spans="1:17" x14ac:dyDescent="0.2">
      <c r="A184" s="5">
        <v>592</v>
      </c>
      <c r="B184" s="5">
        <v>1</v>
      </c>
      <c r="C184" s="2" t="s">
        <v>181</v>
      </c>
      <c r="D184" s="3">
        <f>SUM(Shift11!D184:L184)</f>
        <v>107849.45</v>
      </c>
      <c r="E184" s="3">
        <f>ROUND(MAX(0,(Levy!Q184+Data!D184+Data!E184-Levy!U184)*0.5),2)</f>
        <v>105658.84</v>
      </c>
      <c r="F184" s="3">
        <f t="shared" si="13"/>
        <v>2190.6100000000006</v>
      </c>
      <c r="G184" s="3">
        <f t="shared" si="14"/>
        <v>105658.84</v>
      </c>
      <c r="I184" s="3">
        <f>SUM(Shift11!M184:N184)</f>
        <v>5787.22</v>
      </c>
      <c r="J184" s="3">
        <f>ROUND(MAX(0,(Levy!R184-Levy!V184)*0.5),2)</f>
        <v>5953.93</v>
      </c>
      <c r="K184" s="3">
        <f t="shared" si="15"/>
        <v>0</v>
      </c>
      <c r="L184" s="3">
        <f t="shared" si="16"/>
        <v>5787.22</v>
      </c>
      <c r="N184" s="3">
        <f t="shared" si="17"/>
        <v>111446.06</v>
      </c>
      <c r="O184" s="2">
        <f>SUM(Levy!F184:J184)</f>
        <v>223225.53999999998</v>
      </c>
      <c r="P184" s="2">
        <f>SUM(Levy!U184:V184)</f>
        <v>0</v>
      </c>
      <c r="Q184" s="2">
        <f t="shared" si="18"/>
        <v>223225.53999999998</v>
      </c>
    </row>
    <row r="185" spans="1:17" x14ac:dyDescent="0.2">
      <c r="A185" s="5">
        <v>593</v>
      </c>
      <c r="B185" s="5">
        <v>1</v>
      </c>
      <c r="C185" s="2" t="s">
        <v>182</v>
      </c>
      <c r="D185" s="3">
        <f>SUM(Shift11!D185:L185)</f>
        <v>561515.34</v>
      </c>
      <c r="E185" s="3">
        <f>ROUND(MAX(0,(Levy!Q185+Data!D185+Data!E185-Levy!U185)*0.5),2)</f>
        <v>551111.77</v>
      </c>
      <c r="F185" s="3">
        <f t="shared" si="13"/>
        <v>10403.569999999949</v>
      </c>
      <c r="G185" s="3">
        <f t="shared" si="14"/>
        <v>551111.77</v>
      </c>
      <c r="I185" s="3">
        <f>SUM(Shift11!M185:N185)</f>
        <v>61997.8</v>
      </c>
      <c r="J185" s="3">
        <f>ROUND(MAX(0,(Levy!R185-Levy!V185)*0.5),2)</f>
        <v>63783.74</v>
      </c>
      <c r="K185" s="3">
        <f t="shared" si="15"/>
        <v>0</v>
      </c>
      <c r="L185" s="3">
        <f t="shared" si="16"/>
        <v>61997.8</v>
      </c>
      <c r="N185" s="3">
        <f t="shared" si="17"/>
        <v>613109.57000000007</v>
      </c>
      <c r="O185" s="2">
        <f>SUM(Levy!F185:J185)</f>
        <v>1229791.01</v>
      </c>
      <c r="P185" s="2">
        <f>SUM(Levy!U185:V185)</f>
        <v>0</v>
      </c>
      <c r="Q185" s="2">
        <f t="shared" si="18"/>
        <v>1229791.01</v>
      </c>
    </row>
    <row r="186" spans="1:17" x14ac:dyDescent="0.2">
      <c r="A186" s="5">
        <v>595</v>
      </c>
      <c r="B186" s="5">
        <v>1</v>
      </c>
      <c r="C186" s="2" t="s">
        <v>183</v>
      </c>
      <c r="D186" s="3">
        <f>SUM(Shift11!D186:L186)</f>
        <v>684089.87</v>
      </c>
      <c r="E186" s="3">
        <f>ROUND(MAX(0,(Levy!Q186+Data!D186+Data!E186-Levy!U186)*0.5),2)</f>
        <v>681176.6</v>
      </c>
      <c r="F186" s="3">
        <f t="shared" si="13"/>
        <v>2913.2700000000186</v>
      </c>
      <c r="G186" s="3">
        <f t="shared" si="14"/>
        <v>681176.6</v>
      </c>
      <c r="I186" s="3">
        <f>SUM(Shift11!M186:N186)</f>
        <v>53278.87</v>
      </c>
      <c r="J186" s="3">
        <f>ROUND(MAX(0,(Levy!R186-Levy!V186)*0.5),2)</f>
        <v>54813.66</v>
      </c>
      <c r="K186" s="3">
        <f t="shared" si="15"/>
        <v>0</v>
      </c>
      <c r="L186" s="3">
        <f t="shared" si="16"/>
        <v>53278.87</v>
      </c>
      <c r="N186" s="3">
        <f t="shared" si="17"/>
        <v>734455.47</v>
      </c>
      <c r="O186" s="2">
        <f>SUM(Levy!F186:J186)</f>
        <v>1471980.5</v>
      </c>
      <c r="P186" s="2">
        <f>SUM(Levy!U186:V186)</f>
        <v>0</v>
      </c>
      <c r="Q186" s="2">
        <f t="shared" si="18"/>
        <v>1471980.5</v>
      </c>
    </row>
    <row r="187" spans="1:17" x14ac:dyDescent="0.2">
      <c r="A187" s="5">
        <v>599</v>
      </c>
      <c r="B187" s="5">
        <v>1</v>
      </c>
      <c r="C187" s="2" t="s">
        <v>184</v>
      </c>
      <c r="D187" s="3">
        <f>SUM(Shift11!D187:L187)</f>
        <v>343331.45999999996</v>
      </c>
      <c r="E187" s="3">
        <f>ROUND(MAX(0,(Levy!Q187+Data!D187+Data!E187-Levy!U187)*0.5),2)</f>
        <v>343983.67</v>
      </c>
      <c r="F187" s="3">
        <f t="shared" si="13"/>
        <v>0</v>
      </c>
      <c r="G187" s="3">
        <f t="shared" si="14"/>
        <v>343331.45999999996</v>
      </c>
      <c r="I187" s="3">
        <f>SUM(Shift11!M187:N187)</f>
        <v>19140.11</v>
      </c>
      <c r="J187" s="3">
        <f>ROUND(MAX(0,(Levy!R187-Levy!V187)*0.5),2)</f>
        <v>19691.48</v>
      </c>
      <c r="K187" s="3">
        <f t="shared" si="15"/>
        <v>0</v>
      </c>
      <c r="L187" s="3">
        <f t="shared" si="16"/>
        <v>19140.11</v>
      </c>
      <c r="N187" s="3">
        <f t="shared" si="17"/>
        <v>362471.56999999995</v>
      </c>
      <c r="O187" s="2">
        <f>SUM(Levy!F187:J187)</f>
        <v>727350.28</v>
      </c>
      <c r="P187" s="2">
        <f>SUM(Levy!U187:V187)</f>
        <v>0</v>
      </c>
      <c r="Q187" s="2">
        <f t="shared" si="18"/>
        <v>727350.28</v>
      </c>
    </row>
    <row r="188" spans="1:17" x14ac:dyDescent="0.2">
      <c r="A188" s="5">
        <v>600</v>
      </c>
      <c r="B188" s="5">
        <v>1</v>
      </c>
      <c r="C188" s="2" t="s">
        <v>185</v>
      </c>
      <c r="D188" s="3">
        <f>SUM(Shift11!D188:L188)</f>
        <v>134767.76</v>
      </c>
      <c r="E188" s="3">
        <f>ROUND(MAX(0,(Levy!Q188+Data!D188+Data!E188-Levy!U188)*0.5),2)</f>
        <v>91767.71</v>
      </c>
      <c r="F188" s="3">
        <f t="shared" si="13"/>
        <v>43000.05</v>
      </c>
      <c r="G188" s="3">
        <f t="shared" si="14"/>
        <v>91767.71</v>
      </c>
      <c r="I188" s="3">
        <f>SUM(Shift11!M188:N188)</f>
        <v>9239.8700000000008</v>
      </c>
      <c r="J188" s="3">
        <f>ROUND(MAX(0,(Levy!R188-Levy!V188)*0.5),2)</f>
        <v>9506.0400000000009</v>
      </c>
      <c r="K188" s="3">
        <f t="shared" si="15"/>
        <v>0</v>
      </c>
      <c r="L188" s="3">
        <f t="shared" si="16"/>
        <v>9239.8700000000008</v>
      </c>
      <c r="N188" s="3">
        <f t="shared" si="17"/>
        <v>101007.58</v>
      </c>
      <c r="O188" s="2">
        <f>SUM(Levy!F188:J188)</f>
        <v>202547.49</v>
      </c>
      <c r="P188" s="2">
        <f>SUM(Levy!U188:V188)</f>
        <v>0</v>
      </c>
      <c r="Q188" s="2">
        <f t="shared" si="18"/>
        <v>202547.49</v>
      </c>
    </row>
    <row r="189" spans="1:17" x14ac:dyDescent="0.2">
      <c r="A189" s="5">
        <v>601</v>
      </c>
      <c r="B189" s="5">
        <v>1</v>
      </c>
      <c r="C189" s="2" t="s">
        <v>186</v>
      </c>
      <c r="D189" s="3">
        <f>SUM(Shift11!D189:L189)</f>
        <v>265238.49</v>
      </c>
      <c r="E189" s="3">
        <f>ROUND(MAX(0,(Levy!Q189+Data!D189+Data!E189-Levy!U189)*0.5),2)</f>
        <v>261916.59</v>
      </c>
      <c r="F189" s="3">
        <f t="shared" si="13"/>
        <v>3321.8999999999942</v>
      </c>
      <c r="G189" s="3">
        <f t="shared" si="14"/>
        <v>261916.59</v>
      </c>
      <c r="I189" s="3">
        <f>SUM(Shift11!M189:N189)</f>
        <v>21009.97</v>
      </c>
      <c r="J189" s="3">
        <f>ROUND(MAX(0,(Levy!R189-Levy!V189)*0.5),2)</f>
        <v>21615.200000000001</v>
      </c>
      <c r="K189" s="3">
        <f t="shared" si="15"/>
        <v>0</v>
      </c>
      <c r="L189" s="3">
        <f t="shared" si="16"/>
        <v>21009.97</v>
      </c>
      <c r="N189" s="3">
        <f t="shared" si="17"/>
        <v>282926.56</v>
      </c>
      <c r="O189" s="2">
        <f>SUM(Levy!F189:J189)</f>
        <v>567063.57999999996</v>
      </c>
      <c r="P189" s="2">
        <f>SUM(Levy!U189:V189)</f>
        <v>0</v>
      </c>
      <c r="Q189" s="2">
        <f t="shared" si="18"/>
        <v>567063.57999999996</v>
      </c>
    </row>
    <row r="190" spans="1:17" x14ac:dyDescent="0.2">
      <c r="A190" s="5">
        <v>611</v>
      </c>
      <c r="B190" s="5">
        <v>1</v>
      </c>
      <c r="C190" s="2" t="s">
        <v>187</v>
      </c>
      <c r="D190" s="3">
        <f>SUM(Shift11!D190:L190)</f>
        <v>37399.949999999997</v>
      </c>
      <c r="E190" s="3">
        <f>ROUND(MAX(0,(Levy!Q190+Data!D190+Data!E190-Levy!U190)*0.5),2)</f>
        <v>28739.5</v>
      </c>
      <c r="F190" s="3">
        <f t="shared" si="13"/>
        <v>8660.4499999999971</v>
      </c>
      <c r="G190" s="3">
        <f t="shared" si="14"/>
        <v>28739.5</v>
      </c>
      <c r="I190" s="3">
        <f>SUM(Shift11!M190:N190)</f>
        <v>8381.07</v>
      </c>
      <c r="J190" s="3">
        <f>ROUND(MAX(0,(Levy!R190-Levy!V190)*0.5),2)</f>
        <v>8622.5</v>
      </c>
      <c r="K190" s="3">
        <f t="shared" si="15"/>
        <v>0</v>
      </c>
      <c r="L190" s="3">
        <f t="shared" si="16"/>
        <v>8381.07</v>
      </c>
      <c r="N190" s="3">
        <f t="shared" si="17"/>
        <v>37120.57</v>
      </c>
      <c r="O190" s="2">
        <f>SUM(Levy!F190:J190)</f>
        <v>74724</v>
      </c>
      <c r="P190" s="2">
        <f>SUM(Levy!U190:V190)</f>
        <v>0</v>
      </c>
      <c r="Q190" s="2">
        <f t="shared" si="18"/>
        <v>74724</v>
      </c>
    </row>
    <row r="191" spans="1:17" x14ac:dyDescent="0.2">
      <c r="A191" s="5">
        <v>621</v>
      </c>
      <c r="B191" s="5">
        <v>1</v>
      </c>
      <c r="C191" s="2" t="s">
        <v>188</v>
      </c>
      <c r="D191" s="3">
        <f>SUM(Shift11!D191:L191)</f>
        <v>12689220.869999999</v>
      </c>
      <c r="E191" s="3">
        <f>ROUND(MAX(0,(Levy!Q191+Data!D191+Data!E191-Levy!U191)*0.5),2)</f>
        <v>12793901</v>
      </c>
      <c r="F191" s="3">
        <f t="shared" si="13"/>
        <v>0</v>
      </c>
      <c r="G191" s="3">
        <f t="shared" si="14"/>
        <v>12689220.869999999</v>
      </c>
      <c r="I191" s="3">
        <f>SUM(Shift11!M191:N191)</f>
        <v>519152</v>
      </c>
      <c r="J191" s="3">
        <f>ROUND(MAX(0,(Levy!R191-Levy!V191)*0.5),2)</f>
        <v>534107</v>
      </c>
      <c r="K191" s="3">
        <f t="shared" si="15"/>
        <v>0</v>
      </c>
      <c r="L191" s="3">
        <f t="shared" si="16"/>
        <v>519152</v>
      </c>
      <c r="N191" s="3">
        <f t="shared" si="17"/>
        <v>13208372.869999999</v>
      </c>
      <c r="O191" s="2">
        <f>SUM(Levy!F191:J191)</f>
        <v>26656016</v>
      </c>
      <c r="P191" s="2">
        <f>SUM(Levy!U191:V191)</f>
        <v>0</v>
      </c>
      <c r="Q191" s="2">
        <f t="shared" si="18"/>
        <v>26656016</v>
      </c>
    </row>
    <row r="192" spans="1:17" x14ac:dyDescent="0.2">
      <c r="A192" s="5">
        <v>622</v>
      </c>
      <c r="B192" s="5">
        <v>1</v>
      </c>
      <c r="C192" s="2" t="s">
        <v>189</v>
      </c>
      <c r="D192" s="3">
        <f>SUM(Shift11!D192:L192)</f>
        <v>9467860.2400000002</v>
      </c>
      <c r="E192" s="3">
        <f>ROUND(MAX(0,(Levy!Q192+Data!D192+Data!E192-Levy!U192)*0.5),2)</f>
        <v>9501073</v>
      </c>
      <c r="F192" s="3">
        <f t="shared" si="13"/>
        <v>0</v>
      </c>
      <c r="G192" s="3">
        <f t="shared" si="14"/>
        <v>9467860.2400000002</v>
      </c>
      <c r="I192" s="3">
        <f>SUM(Shift11!M192:N192)</f>
        <v>745201.78</v>
      </c>
      <c r="J192" s="3">
        <f>ROUND(MAX(0,(Levy!R192-Levy!V192)*0.5),2)</f>
        <v>766668.5</v>
      </c>
      <c r="K192" s="3">
        <f t="shared" si="15"/>
        <v>0</v>
      </c>
      <c r="L192" s="3">
        <f t="shared" si="16"/>
        <v>745201.78</v>
      </c>
      <c r="N192" s="3">
        <f t="shared" si="17"/>
        <v>10213062.02</v>
      </c>
      <c r="O192" s="2">
        <f>SUM(Levy!F192:J192)</f>
        <v>20535483</v>
      </c>
      <c r="P192" s="2">
        <f>SUM(Levy!U192:V192)</f>
        <v>0</v>
      </c>
      <c r="Q192" s="2">
        <f t="shared" si="18"/>
        <v>20535483</v>
      </c>
    </row>
    <row r="193" spans="1:17" x14ac:dyDescent="0.2">
      <c r="A193" s="5">
        <v>623</v>
      </c>
      <c r="B193" s="5">
        <v>1</v>
      </c>
      <c r="C193" s="2" t="s">
        <v>190</v>
      </c>
      <c r="D193" s="3">
        <f>SUM(Shift11!D193:L193)</f>
        <v>8122279.9500000002</v>
      </c>
      <c r="E193" s="3">
        <f>ROUND(MAX(0,(Levy!Q193+Data!D193+Data!E193-Levy!U193)*0.5),2)</f>
        <v>8202970.5</v>
      </c>
      <c r="F193" s="3">
        <f t="shared" si="13"/>
        <v>0</v>
      </c>
      <c r="G193" s="3">
        <f t="shared" si="14"/>
        <v>8122279.9500000002</v>
      </c>
      <c r="I193" s="3">
        <f>SUM(Shift11!M193:N193)</f>
        <v>417599.87</v>
      </c>
      <c r="J193" s="3">
        <f>ROUND(MAX(0,(Levy!R193-Levy!V193)*0.5),2)</f>
        <v>429629.5</v>
      </c>
      <c r="K193" s="3">
        <f t="shared" si="15"/>
        <v>0</v>
      </c>
      <c r="L193" s="3">
        <f t="shared" si="16"/>
        <v>417599.87</v>
      </c>
      <c r="N193" s="3">
        <f t="shared" si="17"/>
        <v>8539879.8200000003</v>
      </c>
      <c r="O193" s="2">
        <f>SUM(Levy!F193:J193)</f>
        <v>17265200</v>
      </c>
      <c r="P193" s="2">
        <f>SUM(Levy!U193:V193)</f>
        <v>0</v>
      </c>
      <c r="Q193" s="2">
        <f t="shared" si="18"/>
        <v>17265200</v>
      </c>
    </row>
    <row r="194" spans="1:17" x14ac:dyDescent="0.2">
      <c r="A194" s="5">
        <v>624</v>
      </c>
      <c r="B194" s="5">
        <v>1</v>
      </c>
      <c r="C194" s="2" t="s">
        <v>191</v>
      </c>
      <c r="D194" s="3">
        <f>SUM(Shift11!D194:L194)</f>
        <v>10630559.43</v>
      </c>
      <c r="E194" s="3">
        <f>ROUND(MAX(0,(Levy!Q194+Data!D194+Data!E194-Levy!U194)*0.5),2)</f>
        <v>10830163.5</v>
      </c>
      <c r="F194" s="3">
        <f t="shared" si="13"/>
        <v>0</v>
      </c>
      <c r="G194" s="3">
        <f t="shared" si="14"/>
        <v>10630559.43</v>
      </c>
      <c r="I194" s="3">
        <f>SUM(Shift11!M194:N194)</f>
        <v>412764.17</v>
      </c>
      <c r="J194" s="3">
        <f>ROUND(MAX(0,(Levy!R194-Levy!V194)*0.5),2)</f>
        <v>424654.5</v>
      </c>
      <c r="K194" s="3">
        <f t="shared" si="15"/>
        <v>0</v>
      </c>
      <c r="L194" s="3">
        <f t="shared" si="16"/>
        <v>412764.17</v>
      </c>
      <c r="N194" s="3">
        <f t="shared" si="17"/>
        <v>11043323.6</v>
      </c>
      <c r="O194" s="2">
        <f>SUM(Levy!F194:J194)</f>
        <v>22509636</v>
      </c>
      <c r="P194" s="2">
        <f>SUM(Levy!U194:V194)</f>
        <v>0</v>
      </c>
      <c r="Q194" s="2">
        <f t="shared" si="18"/>
        <v>22509636</v>
      </c>
    </row>
    <row r="195" spans="1:17" x14ac:dyDescent="0.2">
      <c r="A195" s="5">
        <v>625</v>
      </c>
      <c r="B195" s="5">
        <v>1</v>
      </c>
      <c r="C195" s="2" t="s">
        <v>192</v>
      </c>
      <c r="D195" s="3">
        <f>SUM(Shift11!D195:L195)</f>
        <v>46643464.300000004</v>
      </c>
      <c r="E195" s="3">
        <f>ROUND(MAX(0,(Levy!Q195+Data!D195+Data!E195-Levy!U195)*0.5),2)</f>
        <v>38101270.5</v>
      </c>
      <c r="F195" s="3">
        <f t="shared" si="13"/>
        <v>8542193.8000000045</v>
      </c>
      <c r="G195" s="3">
        <f t="shared" si="14"/>
        <v>38101270.5</v>
      </c>
      <c r="I195" s="3">
        <f>SUM(Shift11!M195:N195)</f>
        <v>1735783.02</v>
      </c>
      <c r="J195" s="3">
        <f>ROUND(MAX(0,(Levy!R195-Levy!V195)*0.5),2)</f>
        <v>1785785</v>
      </c>
      <c r="K195" s="3">
        <f t="shared" si="15"/>
        <v>0</v>
      </c>
      <c r="L195" s="3">
        <f t="shared" si="16"/>
        <v>1735783.02</v>
      </c>
      <c r="N195" s="3">
        <f t="shared" si="17"/>
        <v>39837053.520000003</v>
      </c>
      <c r="O195" s="2">
        <f>SUM(Levy!F195:J195)</f>
        <v>79774111</v>
      </c>
      <c r="P195" s="2">
        <f>SUM(Levy!U195:V195)</f>
        <v>0</v>
      </c>
      <c r="Q195" s="2">
        <f t="shared" si="18"/>
        <v>79774111</v>
      </c>
    </row>
    <row r="196" spans="1:17" x14ac:dyDescent="0.2">
      <c r="A196" s="5">
        <v>627</v>
      </c>
      <c r="B196" s="5">
        <v>1</v>
      </c>
      <c r="C196" s="2" t="s">
        <v>193</v>
      </c>
      <c r="D196" s="3">
        <f>SUM(Shift11!D196:L196)</f>
        <v>153780.87</v>
      </c>
      <c r="E196" s="3">
        <f>ROUND(MAX(0,(Levy!Q196+Data!D196+Data!E196-Levy!U196)*0.5),2)</f>
        <v>137493</v>
      </c>
      <c r="F196" s="3">
        <f t="shared" si="13"/>
        <v>16287.869999999995</v>
      </c>
      <c r="G196" s="3">
        <f t="shared" si="14"/>
        <v>137493</v>
      </c>
      <c r="I196" s="3">
        <f>SUM(Shift11!M196:N196)</f>
        <v>8186.18</v>
      </c>
      <c r="J196" s="3">
        <f>ROUND(MAX(0,(Levy!R196-Levy!V196)*0.5),2)</f>
        <v>8422</v>
      </c>
      <c r="K196" s="3">
        <f t="shared" si="15"/>
        <v>0</v>
      </c>
      <c r="L196" s="3">
        <f t="shared" si="16"/>
        <v>8186.18</v>
      </c>
      <c r="N196" s="3">
        <f t="shared" si="17"/>
        <v>145679.18</v>
      </c>
      <c r="O196" s="2">
        <f>SUM(Levy!F196:J196)</f>
        <v>291830</v>
      </c>
      <c r="P196" s="2">
        <f>SUM(Levy!U196:V196)</f>
        <v>0</v>
      </c>
      <c r="Q196" s="2">
        <f t="shared" si="18"/>
        <v>291830</v>
      </c>
    </row>
    <row r="197" spans="1:17" x14ac:dyDescent="0.2">
      <c r="A197" s="5">
        <v>628</v>
      </c>
      <c r="B197" s="5">
        <v>1</v>
      </c>
      <c r="C197" s="2" t="s">
        <v>194</v>
      </c>
      <c r="D197" s="3">
        <f>SUM(Shift11!D197:L197)</f>
        <v>130086.28</v>
      </c>
      <c r="E197" s="3">
        <f>ROUND(MAX(0,(Levy!Q197+Data!D197+Data!E197-Levy!U197)*0.5),2)</f>
        <v>122563</v>
      </c>
      <c r="F197" s="3">
        <f t="shared" ref="F197:F260" si="19">IF(D197&gt;E197,D197-E197,0)</f>
        <v>7523.2799999999988</v>
      </c>
      <c r="G197" s="3">
        <f t="shared" ref="G197:G260" si="20">MAX(0,MIN(D197,E197))</f>
        <v>122563</v>
      </c>
      <c r="I197" s="3">
        <f>SUM(Shift11!M197:N197)</f>
        <v>16712.080000000002</v>
      </c>
      <c r="J197" s="3">
        <f>ROUND(MAX(0,(Levy!R197-Levy!V197)*0.5),2)</f>
        <v>17193.5</v>
      </c>
      <c r="K197" s="3">
        <f t="shared" ref="K197:K260" si="21">IF(I197&gt;J197,I197-J197,0)</f>
        <v>0</v>
      </c>
      <c r="L197" s="3">
        <f t="shared" ref="L197:L260" si="22">MAX(0,MIN(I197,J197))</f>
        <v>16712.080000000002</v>
      </c>
      <c r="N197" s="3">
        <f t="shared" si="17"/>
        <v>139275.08000000002</v>
      </c>
      <c r="O197" s="2">
        <f>SUM(Levy!F197:J197)</f>
        <v>279513</v>
      </c>
      <c r="P197" s="2">
        <f>SUM(Levy!U197:V197)</f>
        <v>0</v>
      </c>
      <c r="Q197" s="2">
        <f t="shared" si="18"/>
        <v>279513</v>
      </c>
    </row>
    <row r="198" spans="1:17" x14ac:dyDescent="0.2">
      <c r="A198" s="5">
        <v>630</v>
      </c>
      <c r="B198" s="5">
        <v>1</v>
      </c>
      <c r="C198" s="2" t="s">
        <v>195</v>
      </c>
      <c r="D198" s="3">
        <f>SUM(Shift11!D198:L198)</f>
        <v>212583.97</v>
      </c>
      <c r="E198" s="3">
        <f>ROUND(MAX(0,(Levy!Q198+Data!D198+Data!E198-Levy!U198)*0.5),2)</f>
        <v>212860.5</v>
      </c>
      <c r="F198" s="3">
        <f t="shared" si="19"/>
        <v>0</v>
      </c>
      <c r="G198" s="3">
        <f t="shared" si="20"/>
        <v>212583.97</v>
      </c>
      <c r="I198" s="3">
        <f>SUM(Shift11!M198:N198)</f>
        <v>9403.1299999999992</v>
      </c>
      <c r="J198" s="3">
        <f>ROUND(MAX(0,(Levy!R198-Levy!V198)*0.5),2)</f>
        <v>9674</v>
      </c>
      <c r="K198" s="3">
        <f t="shared" si="21"/>
        <v>0</v>
      </c>
      <c r="L198" s="3">
        <f t="shared" si="22"/>
        <v>9403.1299999999992</v>
      </c>
      <c r="N198" s="3">
        <f t="shared" si="17"/>
        <v>221987.1</v>
      </c>
      <c r="O198" s="2">
        <f>SUM(Levy!F198:J198)</f>
        <v>445069</v>
      </c>
      <c r="P198" s="2">
        <f>SUM(Levy!U198:V198)</f>
        <v>0</v>
      </c>
      <c r="Q198" s="2">
        <f t="shared" si="18"/>
        <v>445069</v>
      </c>
    </row>
    <row r="199" spans="1:17" x14ac:dyDescent="0.2">
      <c r="A199" s="5">
        <v>635</v>
      </c>
      <c r="B199" s="5">
        <v>1</v>
      </c>
      <c r="C199" s="2" t="s">
        <v>196</v>
      </c>
      <c r="D199" s="3">
        <f>SUM(Shift11!D199:L199)</f>
        <v>75409.22</v>
      </c>
      <c r="E199" s="3">
        <f>ROUND(MAX(0,(Levy!Q199+Data!D199+Data!E199-Levy!U199)*0.5),2)</f>
        <v>77581.5</v>
      </c>
      <c r="F199" s="3">
        <f t="shared" si="19"/>
        <v>0</v>
      </c>
      <c r="G199" s="3">
        <f t="shared" si="20"/>
        <v>75409.22</v>
      </c>
      <c r="I199" s="3">
        <f>SUM(Shift11!M199:N199)</f>
        <v>6217.88</v>
      </c>
      <c r="J199" s="3">
        <f>ROUND(MAX(0,(Levy!R199-Levy!V199)*0.5),2)</f>
        <v>6397</v>
      </c>
      <c r="K199" s="3">
        <f t="shared" si="21"/>
        <v>0</v>
      </c>
      <c r="L199" s="3">
        <f t="shared" si="22"/>
        <v>6217.88</v>
      </c>
      <c r="N199" s="3">
        <f t="shared" si="17"/>
        <v>81627.100000000006</v>
      </c>
      <c r="O199" s="2">
        <f>SUM(Levy!F199:J199)</f>
        <v>167957</v>
      </c>
      <c r="P199" s="2">
        <f>SUM(Levy!U199:V199)</f>
        <v>0</v>
      </c>
      <c r="Q199" s="2">
        <f t="shared" si="18"/>
        <v>167957</v>
      </c>
    </row>
    <row r="200" spans="1:17" x14ac:dyDescent="0.2">
      <c r="A200" s="5">
        <v>640</v>
      </c>
      <c r="B200" s="5">
        <v>1</v>
      </c>
      <c r="C200" s="2" t="s">
        <v>197</v>
      </c>
      <c r="D200" s="3">
        <f>SUM(Shift11!D200:L200)</f>
        <v>237718.88999999996</v>
      </c>
      <c r="E200" s="3">
        <f>ROUND(MAX(0,(Levy!Q200+Data!D200+Data!E200-Levy!U200)*0.5),2)</f>
        <v>232490.5</v>
      </c>
      <c r="F200" s="3">
        <f t="shared" si="19"/>
        <v>5228.3899999999558</v>
      </c>
      <c r="G200" s="3">
        <f t="shared" si="20"/>
        <v>232490.5</v>
      </c>
      <c r="I200" s="3">
        <f>SUM(Shift11!M200:N200)</f>
        <v>20377.490000000002</v>
      </c>
      <c r="J200" s="3">
        <f>ROUND(MAX(0,(Levy!R200-Levy!V200)*0.5),2)</f>
        <v>20964.5</v>
      </c>
      <c r="K200" s="3">
        <f t="shared" si="21"/>
        <v>0</v>
      </c>
      <c r="L200" s="3">
        <f t="shared" si="22"/>
        <v>20377.490000000002</v>
      </c>
      <c r="N200" s="3">
        <f t="shared" si="17"/>
        <v>252867.99</v>
      </c>
      <c r="O200" s="2">
        <f>SUM(Levy!F200:J200)</f>
        <v>506910</v>
      </c>
      <c r="P200" s="2">
        <f>SUM(Levy!U200:V200)</f>
        <v>0</v>
      </c>
      <c r="Q200" s="2">
        <f t="shared" si="18"/>
        <v>506910</v>
      </c>
    </row>
    <row r="201" spans="1:17" x14ac:dyDescent="0.2">
      <c r="A201" s="5">
        <v>656</v>
      </c>
      <c r="B201" s="5">
        <v>1</v>
      </c>
      <c r="C201" s="2" t="s">
        <v>198</v>
      </c>
      <c r="D201" s="3">
        <f>SUM(Shift11!D201:L201)</f>
        <v>1851582.43</v>
      </c>
      <c r="E201" s="3">
        <f>ROUND(MAX(0,(Levy!Q201+Data!D201+Data!E201-Levy!U201)*0.5),2)</f>
        <v>1857121.07</v>
      </c>
      <c r="F201" s="3">
        <f t="shared" si="19"/>
        <v>0</v>
      </c>
      <c r="G201" s="3">
        <f t="shared" si="20"/>
        <v>1851582.43</v>
      </c>
      <c r="I201" s="3">
        <f>SUM(Shift11!M201:N201)</f>
        <v>171063.74</v>
      </c>
      <c r="J201" s="3">
        <f>ROUND(MAX(0,(Levy!R201-Levy!V201)*0.5),2)</f>
        <v>175991.5</v>
      </c>
      <c r="K201" s="3">
        <f t="shared" si="21"/>
        <v>0</v>
      </c>
      <c r="L201" s="3">
        <f t="shared" si="22"/>
        <v>171063.74</v>
      </c>
      <c r="N201" s="3">
        <f t="shared" ref="N201:N264" si="23">G201+L201</f>
        <v>2022646.17</v>
      </c>
      <c r="O201" s="2">
        <f>SUM(Levy!F201:J201)</f>
        <v>4066225.1399999997</v>
      </c>
      <c r="P201" s="2">
        <f>SUM(Levy!U201:V201)</f>
        <v>0</v>
      </c>
      <c r="Q201" s="2">
        <f t="shared" ref="Q201:Q264" si="24">O201-P201</f>
        <v>4066225.1399999997</v>
      </c>
    </row>
    <row r="202" spans="1:17" x14ac:dyDescent="0.2">
      <c r="A202" s="5">
        <v>659</v>
      </c>
      <c r="B202" s="5">
        <v>1</v>
      </c>
      <c r="C202" s="2" t="s">
        <v>199</v>
      </c>
      <c r="D202" s="3">
        <f>SUM(Shift11!D202:L202)</f>
        <v>3978056.5199999996</v>
      </c>
      <c r="E202" s="3">
        <f>ROUND(MAX(0,(Levy!Q202+Data!D202+Data!E202-Levy!U202)*0.5),2)</f>
        <v>4084117.07</v>
      </c>
      <c r="F202" s="3">
        <f t="shared" si="19"/>
        <v>0</v>
      </c>
      <c r="G202" s="3">
        <f t="shared" si="20"/>
        <v>3978056.5199999996</v>
      </c>
      <c r="I202" s="3">
        <f>SUM(Shift11!M202:N202)</f>
        <v>212088.15</v>
      </c>
      <c r="J202" s="3">
        <f>ROUND(MAX(0,(Levy!R202-Levy!V202)*0.5),2)</f>
        <v>218197.69</v>
      </c>
      <c r="K202" s="3">
        <f t="shared" si="21"/>
        <v>0</v>
      </c>
      <c r="L202" s="3">
        <f t="shared" si="22"/>
        <v>212088.15</v>
      </c>
      <c r="N202" s="3">
        <f t="shared" si="23"/>
        <v>4190144.6699999995</v>
      </c>
      <c r="O202" s="2">
        <f>SUM(Levy!F202:J202)</f>
        <v>8604629.5200000014</v>
      </c>
      <c r="P202" s="2">
        <f>SUM(Levy!U202:V202)</f>
        <v>0</v>
      </c>
      <c r="Q202" s="2">
        <f t="shared" si="24"/>
        <v>8604629.5200000014</v>
      </c>
    </row>
    <row r="203" spans="1:17" x14ac:dyDescent="0.2">
      <c r="A203" s="5">
        <v>671</v>
      </c>
      <c r="B203" s="5">
        <v>1</v>
      </c>
      <c r="C203" s="2" t="s">
        <v>200</v>
      </c>
      <c r="D203" s="3">
        <f>SUM(Shift11!D203:L203)</f>
        <v>163619.41000000003</v>
      </c>
      <c r="E203" s="3">
        <f>ROUND(MAX(0,(Levy!Q203+Data!D203+Data!E203-Levy!U203)*0.5),2)</f>
        <v>166937.51999999999</v>
      </c>
      <c r="F203" s="3">
        <f t="shared" si="19"/>
        <v>0</v>
      </c>
      <c r="G203" s="3">
        <f t="shared" si="20"/>
        <v>163619.41000000003</v>
      </c>
      <c r="I203" s="3">
        <f>SUM(Shift11!M203:N203)</f>
        <v>12900.94</v>
      </c>
      <c r="J203" s="3">
        <f>ROUND(MAX(0,(Levy!R203-Levy!V203)*0.5),2)</f>
        <v>13272.58</v>
      </c>
      <c r="K203" s="3">
        <f t="shared" si="21"/>
        <v>0</v>
      </c>
      <c r="L203" s="3">
        <f t="shared" si="22"/>
        <v>12900.94</v>
      </c>
      <c r="N203" s="3">
        <f t="shared" si="23"/>
        <v>176520.35000000003</v>
      </c>
      <c r="O203" s="2">
        <f>SUM(Levy!F203:J203)</f>
        <v>360420.18000000005</v>
      </c>
      <c r="P203" s="2">
        <f>SUM(Levy!U203:V203)</f>
        <v>0</v>
      </c>
      <c r="Q203" s="2">
        <f t="shared" si="24"/>
        <v>360420.18000000005</v>
      </c>
    </row>
    <row r="204" spans="1:17" x14ac:dyDescent="0.2">
      <c r="A204" s="5">
        <v>676</v>
      </c>
      <c r="B204" s="5">
        <v>1</v>
      </c>
      <c r="C204" s="2" t="s">
        <v>201</v>
      </c>
      <c r="D204" s="3">
        <f>SUM(Shift11!D204:L204)</f>
        <v>142213</v>
      </c>
      <c r="E204" s="3">
        <f>ROUND(MAX(0,(Levy!Q204+Data!D204+Data!E204-Levy!U204)*0.5),2)</f>
        <v>130640</v>
      </c>
      <c r="F204" s="3">
        <f t="shared" si="19"/>
        <v>11573</v>
      </c>
      <c r="G204" s="3">
        <f t="shared" si="20"/>
        <v>130640</v>
      </c>
      <c r="I204" s="3">
        <f>SUM(Shift11!M204:N204)</f>
        <v>5402.86</v>
      </c>
      <c r="J204" s="3">
        <f>ROUND(MAX(0,(Levy!R204-Levy!V204)*0.5),2)</f>
        <v>5558.5</v>
      </c>
      <c r="K204" s="3">
        <f t="shared" si="21"/>
        <v>0</v>
      </c>
      <c r="L204" s="3">
        <f t="shared" si="22"/>
        <v>5402.86</v>
      </c>
      <c r="N204" s="3">
        <f t="shared" si="23"/>
        <v>136042.85999999999</v>
      </c>
      <c r="O204" s="2">
        <f>SUM(Levy!F204:J204)</f>
        <v>272397</v>
      </c>
      <c r="P204" s="2">
        <f>SUM(Levy!U204:V204)</f>
        <v>0</v>
      </c>
      <c r="Q204" s="2">
        <f t="shared" si="24"/>
        <v>272397</v>
      </c>
    </row>
    <row r="205" spans="1:17" x14ac:dyDescent="0.2">
      <c r="A205" s="5">
        <v>682</v>
      </c>
      <c r="B205" s="5">
        <v>1</v>
      </c>
      <c r="C205" s="2" t="s">
        <v>202</v>
      </c>
      <c r="D205" s="3">
        <f>SUM(Shift11!D205:L205)</f>
        <v>403540.26999999996</v>
      </c>
      <c r="E205" s="3">
        <f>ROUND(MAX(0,(Levy!Q205+Data!D205+Data!E205-Levy!U205)*0.5),2)</f>
        <v>388793</v>
      </c>
      <c r="F205" s="3">
        <f t="shared" si="19"/>
        <v>14747.26999999996</v>
      </c>
      <c r="G205" s="3">
        <f t="shared" si="20"/>
        <v>388793</v>
      </c>
      <c r="I205" s="3">
        <f>SUM(Shift11!M205:N205)</f>
        <v>42677.599999999999</v>
      </c>
      <c r="J205" s="3">
        <f>ROUND(MAX(0,(Levy!R205-Levy!V205)*0.5),2)</f>
        <v>43907</v>
      </c>
      <c r="K205" s="3">
        <f t="shared" si="21"/>
        <v>0</v>
      </c>
      <c r="L205" s="3">
        <f t="shared" si="22"/>
        <v>42677.599999999999</v>
      </c>
      <c r="N205" s="3">
        <f t="shared" si="23"/>
        <v>431470.6</v>
      </c>
      <c r="O205" s="2">
        <f>SUM(Levy!F205:J205)</f>
        <v>865400</v>
      </c>
      <c r="P205" s="2">
        <f>SUM(Levy!U205:V205)</f>
        <v>0</v>
      </c>
      <c r="Q205" s="2">
        <f t="shared" si="24"/>
        <v>865400</v>
      </c>
    </row>
    <row r="206" spans="1:17" x14ac:dyDescent="0.2">
      <c r="A206" s="5">
        <v>690</v>
      </c>
      <c r="B206" s="5">
        <v>1</v>
      </c>
      <c r="C206" s="2" t="s">
        <v>203</v>
      </c>
      <c r="D206" s="3">
        <f>SUM(Shift11!D206:L206)</f>
        <v>477062.14999999997</v>
      </c>
      <c r="E206" s="3">
        <f>ROUND(MAX(0,(Levy!Q206+Data!D206+Data!E206-Levy!U206)*0.5),2)</f>
        <v>449506.5</v>
      </c>
      <c r="F206" s="3">
        <f t="shared" si="19"/>
        <v>27555.649999999965</v>
      </c>
      <c r="G206" s="3">
        <f t="shared" si="20"/>
        <v>449506.5</v>
      </c>
      <c r="I206" s="3">
        <f>SUM(Shift11!M206:N206)</f>
        <v>38414.9</v>
      </c>
      <c r="J206" s="3">
        <f>ROUND(MAX(0,(Levy!R206-Levy!V206)*0.5),2)</f>
        <v>39521.5</v>
      </c>
      <c r="K206" s="3">
        <f t="shared" si="21"/>
        <v>0</v>
      </c>
      <c r="L206" s="3">
        <f t="shared" si="22"/>
        <v>38414.9</v>
      </c>
      <c r="N206" s="3">
        <f t="shared" si="23"/>
        <v>487921.4</v>
      </c>
      <c r="O206" s="2">
        <f>SUM(Levy!F206:J206)</f>
        <v>978056</v>
      </c>
      <c r="P206" s="2">
        <f>SUM(Levy!U206:V206)</f>
        <v>0</v>
      </c>
      <c r="Q206" s="2">
        <f t="shared" si="24"/>
        <v>978056</v>
      </c>
    </row>
    <row r="207" spans="1:17" x14ac:dyDescent="0.2">
      <c r="A207" s="5">
        <v>695</v>
      </c>
      <c r="B207" s="5">
        <v>1</v>
      </c>
      <c r="C207" s="2" t="s">
        <v>204</v>
      </c>
      <c r="D207" s="3">
        <f>SUM(Shift11!D207:L207)</f>
        <v>362083.03</v>
      </c>
      <c r="E207" s="3">
        <f>ROUND(MAX(0,(Levy!Q207+Data!D207+Data!E207-Levy!U207)*0.5),2)</f>
        <v>213349.12</v>
      </c>
      <c r="F207" s="3">
        <f t="shared" si="19"/>
        <v>148733.91000000003</v>
      </c>
      <c r="G207" s="3">
        <f t="shared" si="20"/>
        <v>213349.12</v>
      </c>
      <c r="I207" s="3">
        <f>SUM(Shift11!M207:N207)</f>
        <v>0</v>
      </c>
      <c r="J207" s="3">
        <f>ROUND(MAX(0,(Levy!R207-Levy!V207)*0.5),2)</f>
        <v>0</v>
      </c>
      <c r="K207" s="3">
        <f t="shared" si="21"/>
        <v>0</v>
      </c>
      <c r="L207" s="3">
        <f t="shared" si="22"/>
        <v>0</v>
      </c>
      <c r="N207" s="3">
        <f t="shared" si="23"/>
        <v>213349.12</v>
      </c>
      <c r="O207" s="2">
        <f>SUM(Levy!F207:J207)</f>
        <v>426698.23</v>
      </c>
      <c r="P207" s="2">
        <f>SUM(Levy!U207:V207)</f>
        <v>0</v>
      </c>
      <c r="Q207" s="2">
        <f t="shared" si="24"/>
        <v>426698.23</v>
      </c>
    </row>
    <row r="208" spans="1:17" x14ac:dyDescent="0.2">
      <c r="A208" s="5">
        <v>696</v>
      </c>
      <c r="B208" s="5">
        <v>1</v>
      </c>
      <c r="C208" s="2" t="s">
        <v>205</v>
      </c>
      <c r="D208" s="3">
        <f>SUM(Shift11!D208:L208)</f>
        <v>793531.09</v>
      </c>
      <c r="E208" s="3">
        <f>ROUND(MAX(0,(Levy!Q208+Data!D208+Data!E208-Levy!U208)*0.5),2)</f>
        <v>680250.51</v>
      </c>
      <c r="F208" s="3">
        <f t="shared" si="19"/>
        <v>113280.57999999996</v>
      </c>
      <c r="G208" s="3">
        <f t="shared" si="20"/>
        <v>680250.51</v>
      </c>
      <c r="I208" s="3">
        <f>SUM(Shift11!M208:N208)</f>
        <v>10976.39</v>
      </c>
      <c r="J208" s="3">
        <f>ROUND(MAX(0,(Levy!R208-Levy!V208)*0.5),2)</f>
        <v>11292.59</v>
      </c>
      <c r="K208" s="3">
        <f t="shared" si="21"/>
        <v>0</v>
      </c>
      <c r="L208" s="3">
        <f t="shared" si="22"/>
        <v>10976.39</v>
      </c>
      <c r="N208" s="3">
        <f t="shared" si="23"/>
        <v>691226.9</v>
      </c>
      <c r="O208" s="2">
        <f>SUM(Levy!F208:J208)</f>
        <v>1383086.19</v>
      </c>
      <c r="P208" s="2">
        <f>SUM(Levy!U208:V208)</f>
        <v>0</v>
      </c>
      <c r="Q208" s="2">
        <f t="shared" si="24"/>
        <v>1383086.19</v>
      </c>
    </row>
    <row r="209" spans="1:17" x14ac:dyDescent="0.2">
      <c r="A209" s="5">
        <v>698</v>
      </c>
      <c r="B209" s="5">
        <v>1</v>
      </c>
      <c r="C209" s="2" t="s">
        <v>206</v>
      </c>
      <c r="D209" s="3">
        <f>SUM(Shift11!D209:L209)</f>
        <v>136387.91</v>
      </c>
      <c r="E209" s="3">
        <f>ROUND(MAX(0,(Levy!Q209+Data!D209+Data!E209-Levy!U209)*0.5),2)</f>
        <v>107524.72</v>
      </c>
      <c r="F209" s="3">
        <f t="shared" si="19"/>
        <v>28863.190000000002</v>
      </c>
      <c r="G209" s="3">
        <f t="shared" si="20"/>
        <v>107524.72</v>
      </c>
      <c r="I209" s="3">
        <f>SUM(Shift11!M209:N209)</f>
        <v>10869.69</v>
      </c>
      <c r="J209" s="3">
        <f>ROUND(MAX(0,(Levy!R209-Levy!V209)*0.5),2)</f>
        <v>11182.81</v>
      </c>
      <c r="K209" s="3">
        <f t="shared" si="21"/>
        <v>0</v>
      </c>
      <c r="L209" s="3">
        <f t="shared" si="22"/>
        <v>10869.69</v>
      </c>
      <c r="N209" s="3">
        <f t="shared" si="23"/>
        <v>118394.41</v>
      </c>
      <c r="O209" s="2">
        <f>SUM(Levy!F209:J209)</f>
        <v>237415.05</v>
      </c>
      <c r="P209" s="2">
        <f>SUM(Levy!U209:V209)</f>
        <v>0</v>
      </c>
      <c r="Q209" s="2">
        <f t="shared" si="24"/>
        <v>237415.05</v>
      </c>
    </row>
    <row r="210" spans="1:17" x14ac:dyDescent="0.2">
      <c r="A210" s="5">
        <v>700</v>
      </c>
      <c r="B210" s="5">
        <v>1</v>
      </c>
      <c r="C210" s="2" t="s">
        <v>207</v>
      </c>
      <c r="D210" s="3">
        <f>SUM(Shift11!D210:L210)</f>
        <v>722959.27999999991</v>
      </c>
      <c r="E210" s="3">
        <f>ROUND(MAX(0,(Levy!Q210+Data!D210+Data!E210-Levy!U210)*0.5),2)</f>
        <v>646993.52</v>
      </c>
      <c r="F210" s="3">
        <f t="shared" si="19"/>
        <v>75965.759999999893</v>
      </c>
      <c r="G210" s="3">
        <f t="shared" si="20"/>
        <v>646993.52</v>
      </c>
      <c r="I210" s="3">
        <f>SUM(Shift11!M210:N210)</f>
        <v>66138.09</v>
      </c>
      <c r="J210" s="3">
        <f>ROUND(MAX(0,(Levy!R210-Levy!V210)*0.5),2)</f>
        <v>68043.31</v>
      </c>
      <c r="K210" s="3">
        <f t="shared" si="21"/>
        <v>0</v>
      </c>
      <c r="L210" s="3">
        <f t="shared" si="22"/>
        <v>66138.09</v>
      </c>
      <c r="N210" s="3">
        <f t="shared" si="23"/>
        <v>713131.61</v>
      </c>
      <c r="O210" s="2">
        <f>SUM(Levy!F210:J210)</f>
        <v>1430073.65</v>
      </c>
      <c r="P210" s="2">
        <f>SUM(Levy!U210:V210)</f>
        <v>0</v>
      </c>
      <c r="Q210" s="2">
        <f t="shared" si="24"/>
        <v>1430073.65</v>
      </c>
    </row>
    <row r="211" spans="1:17" x14ac:dyDescent="0.2">
      <c r="A211" s="5">
        <v>701</v>
      </c>
      <c r="B211" s="5">
        <v>1</v>
      </c>
      <c r="C211" s="2" t="s">
        <v>208</v>
      </c>
      <c r="D211" s="3">
        <f>SUM(Shift11!D211:L211)</f>
        <v>1197132.1300000001</v>
      </c>
      <c r="E211" s="3">
        <f>ROUND(MAX(0,(Levy!Q211+Data!D211+Data!E211-Levy!U211)*0.5),2)</f>
        <v>922603.49</v>
      </c>
      <c r="F211" s="3">
        <f t="shared" si="19"/>
        <v>274528.64000000013</v>
      </c>
      <c r="G211" s="3">
        <f t="shared" si="20"/>
        <v>922603.49</v>
      </c>
      <c r="I211" s="3">
        <f>SUM(Shift11!M211:N211)</f>
        <v>0</v>
      </c>
      <c r="J211" s="3">
        <f>ROUND(MAX(0,(Levy!R211-Levy!V211)*0.5),2)</f>
        <v>0</v>
      </c>
      <c r="K211" s="3">
        <f t="shared" si="21"/>
        <v>0</v>
      </c>
      <c r="L211" s="3">
        <f t="shared" si="22"/>
        <v>0</v>
      </c>
      <c r="N211" s="3">
        <f t="shared" si="23"/>
        <v>922603.49</v>
      </c>
      <c r="O211" s="2">
        <f>SUM(Levy!F211:J211)</f>
        <v>1845206.9800000002</v>
      </c>
      <c r="P211" s="2">
        <f>SUM(Levy!U211:V211)</f>
        <v>0</v>
      </c>
      <c r="Q211" s="2">
        <f t="shared" si="24"/>
        <v>1845206.9800000002</v>
      </c>
    </row>
    <row r="212" spans="1:17" x14ac:dyDescent="0.2">
      <c r="A212" s="5">
        <v>704</v>
      </c>
      <c r="B212" s="5">
        <v>1</v>
      </c>
      <c r="C212" s="2" t="s">
        <v>209</v>
      </c>
      <c r="D212" s="3">
        <f>SUM(Shift11!D212:L212)</f>
        <v>684498.15999999992</v>
      </c>
      <c r="E212" s="3">
        <f>ROUND(MAX(0,(Levy!Q212+Data!D212+Data!E212-Levy!U212)*0.5),2)</f>
        <v>591026.65</v>
      </c>
      <c r="F212" s="3">
        <f t="shared" si="19"/>
        <v>93471.509999999893</v>
      </c>
      <c r="G212" s="3">
        <f t="shared" si="20"/>
        <v>591026.65</v>
      </c>
      <c r="I212" s="3">
        <f>SUM(Shift11!M212:N212)</f>
        <v>69646.91</v>
      </c>
      <c r="J212" s="3">
        <f>ROUND(MAX(0,(Levy!R212-Levy!V212)*0.5),2)</f>
        <v>71653.2</v>
      </c>
      <c r="K212" s="3">
        <f t="shared" si="21"/>
        <v>0</v>
      </c>
      <c r="L212" s="3">
        <f t="shared" si="22"/>
        <v>69646.91</v>
      </c>
      <c r="N212" s="3">
        <f t="shared" si="23"/>
        <v>660673.56000000006</v>
      </c>
      <c r="O212" s="2">
        <f>SUM(Levy!F212:J212)</f>
        <v>1325359.7</v>
      </c>
      <c r="P212" s="2">
        <f>SUM(Levy!U212:V212)</f>
        <v>0</v>
      </c>
      <c r="Q212" s="2">
        <f t="shared" si="24"/>
        <v>1325359.7</v>
      </c>
    </row>
    <row r="213" spans="1:17" x14ac:dyDescent="0.2">
      <c r="A213" s="5">
        <v>706</v>
      </c>
      <c r="B213" s="5">
        <v>1</v>
      </c>
      <c r="C213" s="2" t="s">
        <v>210</v>
      </c>
      <c r="D213" s="3">
        <f>SUM(Shift11!D213:L213)</f>
        <v>1065817.1200000001</v>
      </c>
      <c r="E213" s="3">
        <f>ROUND(MAX(0,(Levy!Q213+Data!D213+Data!E213-Levy!U213)*0.5),2)</f>
        <v>763521.45</v>
      </c>
      <c r="F213" s="3">
        <f t="shared" si="19"/>
        <v>302295.67000000016</v>
      </c>
      <c r="G213" s="3">
        <f t="shared" si="20"/>
        <v>763521.45</v>
      </c>
      <c r="I213" s="3">
        <f>SUM(Shift11!M213:N213)</f>
        <v>0</v>
      </c>
      <c r="J213" s="3">
        <f>ROUND(MAX(0,(Levy!R213-Levy!V213)*0.5),2)</f>
        <v>0</v>
      </c>
      <c r="K213" s="3">
        <f t="shared" si="21"/>
        <v>0</v>
      </c>
      <c r="L213" s="3">
        <f t="shared" si="22"/>
        <v>0</v>
      </c>
      <c r="N213" s="3">
        <f t="shared" si="23"/>
        <v>763521.45</v>
      </c>
      <c r="O213" s="2">
        <f>SUM(Levy!F213:J213)</f>
        <v>1527042.9</v>
      </c>
      <c r="P213" s="2">
        <f>SUM(Levy!U213:V213)</f>
        <v>0</v>
      </c>
      <c r="Q213" s="2">
        <f t="shared" si="24"/>
        <v>1527042.9</v>
      </c>
    </row>
    <row r="214" spans="1:17" x14ac:dyDescent="0.2">
      <c r="A214" s="5">
        <v>707</v>
      </c>
      <c r="B214" s="5">
        <v>1</v>
      </c>
      <c r="C214" s="2" t="s">
        <v>211</v>
      </c>
      <c r="D214" s="3">
        <f>SUM(Shift11!D214:L214)</f>
        <v>10884.619999999999</v>
      </c>
      <c r="E214" s="3">
        <f>ROUND(MAX(0,(Levy!Q214+Data!D214+Data!E214-Levy!U214)*0.5),2)</f>
        <v>10206.959999999999</v>
      </c>
      <c r="F214" s="3">
        <f t="shared" si="19"/>
        <v>677.65999999999985</v>
      </c>
      <c r="G214" s="3">
        <f t="shared" si="20"/>
        <v>10206.959999999999</v>
      </c>
      <c r="I214" s="3">
        <f>SUM(Shift11!M214:N214)</f>
        <v>826.09</v>
      </c>
      <c r="J214" s="3">
        <f>ROUND(MAX(0,(Levy!R214-Levy!V214)*0.5),2)</f>
        <v>849.89</v>
      </c>
      <c r="K214" s="3">
        <f t="shared" si="21"/>
        <v>0</v>
      </c>
      <c r="L214" s="3">
        <f t="shared" si="22"/>
        <v>826.09</v>
      </c>
      <c r="N214" s="3">
        <f t="shared" si="23"/>
        <v>11033.05</v>
      </c>
      <c r="O214" s="2">
        <f>SUM(Levy!F214:J214)</f>
        <v>22113.7</v>
      </c>
      <c r="P214" s="2">
        <f>SUM(Levy!U214:V214)</f>
        <v>0</v>
      </c>
      <c r="Q214" s="2">
        <f t="shared" si="24"/>
        <v>22113.7</v>
      </c>
    </row>
    <row r="215" spans="1:17" x14ac:dyDescent="0.2">
      <c r="A215" s="5">
        <v>709</v>
      </c>
      <c r="B215" s="5">
        <v>1</v>
      </c>
      <c r="C215" s="2" t="s">
        <v>212</v>
      </c>
      <c r="D215" s="3">
        <f>SUM(Shift11!D215:L215)</f>
        <v>5636382.6699999999</v>
      </c>
      <c r="E215" s="3">
        <f>ROUND(MAX(0,(Levy!Q215+Data!D215+Data!E215-Levy!U215)*0.5),2)</f>
        <v>5128097.05</v>
      </c>
      <c r="F215" s="3">
        <f t="shared" si="19"/>
        <v>508285.62000000011</v>
      </c>
      <c r="G215" s="3">
        <f t="shared" si="20"/>
        <v>5128097.05</v>
      </c>
      <c r="I215" s="3">
        <f>SUM(Shift11!M215:N215)</f>
        <v>518821.32</v>
      </c>
      <c r="J215" s="3">
        <f>ROUND(MAX(0,(Levy!R215-Levy!V215)*0.5),2)</f>
        <v>533766.79</v>
      </c>
      <c r="K215" s="3">
        <f t="shared" si="21"/>
        <v>0</v>
      </c>
      <c r="L215" s="3">
        <f t="shared" si="22"/>
        <v>518821.32</v>
      </c>
      <c r="N215" s="3">
        <f t="shared" si="23"/>
        <v>5646918.3700000001</v>
      </c>
      <c r="O215" s="2">
        <f>SUM(Levy!F215:J215)</f>
        <v>11323727.670000002</v>
      </c>
      <c r="P215" s="2">
        <f>SUM(Levy!U215:V215)</f>
        <v>0</v>
      </c>
      <c r="Q215" s="2">
        <f t="shared" si="24"/>
        <v>11323727.670000002</v>
      </c>
    </row>
    <row r="216" spans="1:17" x14ac:dyDescent="0.2">
      <c r="A216" s="5">
        <v>712</v>
      </c>
      <c r="B216" s="5">
        <v>1</v>
      </c>
      <c r="C216" s="2" t="s">
        <v>213</v>
      </c>
      <c r="D216" s="3">
        <f>SUM(Shift11!D216:L216)</f>
        <v>228515.05000000002</v>
      </c>
      <c r="E216" s="3">
        <f>ROUND(MAX(0,(Levy!Q216+Data!D216+Data!E216-Levy!U216)*0.5),2)</f>
        <v>177030.28</v>
      </c>
      <c r="F216" s="3">
        <f t="shared" si="19"/>
        <v>51484.770000000019</v>
      </c>
      <c r="G216" s="3">
        <f t="shared" si="20"/>
        <v>177030.28</v>
      </c>
      <c r="I216" s="3">
        <f>SUM(Shift11!M216:N216)</f>
        <v>0</v>
      </c>
      <c r="J216" s="3">
        <f>ROUND(MAX(0,(Levy!R216-Levy!V216)*0.5),2)</f>
        <v>0</v>
      </c>
      <c r="K216" s="3">
        <f t="shared" si="21"/>
        <v>0</v>
      </c>
      <c r="L216" s="3">
        <f t="shared" si="22"/>
        <v>0</v>
      </c>
      <c r="N216" s="3">
        <f t="shared" si="23"/>
        <v>177030.28</v>
      </c>
      <c r="O216" s="2">
        <f>SUM(Levy!F216:J216)</f>
        <v>354060.55</v>
      </c>
      <c r="P216" s="2">
        <f>SUM(Levy!U216:V216)</f>
        <v>0</v>
      </c>
      <c r="Q216" s="2">
        <f t="shared" si="24"/>
        <v>354060.55</v>
      </c>
    </row>
    <row r="217" spans="1:17" x14ac:dyDescent="0.2">
      <c r="A217" s="5">
        <v>716</v>
      </c>
      <c r="B217" s="5">
        <v>1</v>
      </c>
      <c r="C217" s="2" t="s">
        <v>214</v>
      </c>
      <c r="D217" s="3">
        <f>SUM(Shift11!D217:L217)</f>
        <v>567696.32999999996</v>
      </c>
      <c r="E217" s="3">
        <f>ROUND(MAX(0,(Levy!Q217+Data!D217+Data!E217-Levy!U217)*0.5),2)</f>
        <v>568562.29</v>
      </c>
      <c r="F217" s="3">
        <f t="shared" si="19"/>
        <v>0</v>
      </c>
      <c r="G217" s="3">
        <f t="shared" si="20"/>
        <v>567696.32999999996</v>
      </c>
      <c r="I217" s="3">
        <f>SUM(Shift11!M217:N217)</f>
        <v>65606.399999999994</v>
      </c>
      <c r="J217" s="3">
        <f>ROUND(MAX(0,(Levy!R217-Levy!V217)*0.5),2)</f>
        <v>67496.3</v>
      </c>
      <c r="K217" s="3">
        <f t="shared" si="21"/>
        <v>0</v>
      </c>
      <c r="L217" s="3">
        <f t="shared" si="22"/>
        <v>65606.399999999994</v>
      </c>
      <c r="N217" s="3">
        <f t="shared" si="23"/>
        <v>633302.73</v>
      </c>
      <c r="O217" s="2">
        <f>SUM(Levy!F217:J217)</f>
        <v>1272117.1600000001</v>
      </c>
      <c r="P217" s="2">
        <f>SUM(Levy!U217:V217)</f>
        <v>0</v>
      </c>
      <c r="Q217" s="2">
        <f t="shared" si="24"/>
        <v>1272117.1600000001</v>
      </c>
    </row>
    <row r="218" spans="1:17" x14ac:dyDescent="0.2">
      <c r="A218" s="5">
        <v>717</v>
      </c>
      <c r="B218" s="5">
        <v>1</v>
      </c>
      <c r="C218" s="2" t="s">
        <v>215</v>
      </c>
      <c r="D218" s="3">
        <f>SUM(Shift11!D218:L218)</f>
        <v>913781.6</v>
      </c>
      <c r="E218" s="3">
        <f>ROUND(MAX(0,(Levy!Q218+Data!D218+Data!E218-Levy!U218)*0.5),2)</f>
        <v>917072.69</v>
      </c>
      <c r="F218" s="3">
        <f t="shared" si="19"/>
        <v>0</v>
      </c>
      <c r="G218" s="3">
        <f t="shared" si="20"/>
        <v>913781.6</v>
      </c>
      <c r="I218" s="3">
        <f>SUM(Shift11!M218:N218)</f>
        <v>63508.59</v>
      </c>
      <c r="J218" s="3">
        <f>ROUND(MAX(0,(Levy!R218-Levy!V218)*0.5),2)</f>
        <v>65338.06</v>
      </c>
      <c r="K218" s="3">
        <f t="shared" si="21"/>
        <v>0</v>
      </c>
      <c r="L218" s="3">
        <f t="shared" si="22"/>
        <v>63508.59</v>
      </c>
      <c r="N218" s="3">
        <f t="shared" si="23"/>
        <v>977290.19</v>
      </c>
      <c r="O218" s="2">
        <f>SUM(Levy!F218:J218)</f>
        <v>1964821.4899999998</v>
      </c>
      <c r="P218" s="2">
        <f>SUM(Levy!U218:V218)</f>
        <v>0</v>
      </c>
      <c r="Q218" s="2">
        <f t="shared" si="24"/>
        <v>1964821.4899999998</v>
      </c>
    </row>
    <row r="219" spans="1:17" x14ac:dyDescent="0.2">
      <c r="A219" s="5">
        <v>719</v>
      </c>
      <c r="B219" s="5">
        <v>1</v>
      </c>
      <c r="C219" s="2" t="s">
        <v>345</v>
      </c>
      <c r="D219" s="3">
        <f>SUM(Shift11!D219:L219)</f>
        <v>5939913.9699999997</v>
      </c>
      <c r="E219" s="3">
        <f>ROUND(MAX(0,(Levy!Q219+Data!D219+Data!E219-Levy!U219)*0.5),2)</f>
        <v>5945861.5</v>
      </c>
      <c r="F219" s="3">
        <f t="shared" si="19"/>
        <v>0</v>
      </c>
      <c r="G219" s="3">
        <f t="shared" si="20"/>
        <v>5939913.9699999997</v>
      </c>
      <c r="I219" s="3">
        <f>SUM(Shift11!M219:N219)</f>
        <v>306929.84000000003</v>
      </c>
      <c r="J219" s="3">
        <f>ROUND(MAX(0,(Levy!R219-Levy!V219)*0.5),2)</f>
        <v>315771.44</v>
      </c>
      <c r="K219" s="3">
        <f t="shared" si="21"/>
        <v>0</v>
      </c>
      <c r="L219" s="3">
        <f t="shared" si="22"/>
        <v>306929.84000000003</v>
      </c>
      <c r="N219" s="3">
        <f t="shared" si="23"/>
        <v>6246843.8099999996</v>
      </c>
      <c r="O219" s="2">
        <f>SUM(Levy!F219:J219)</f>
        <v>12523265.870000001</v>
      </c>
      <c r="P219" s="2">
        <f>SUM(Levy!U219:V219)</f>
        <v>0</v>
      </c>
      <c r="Q219" s="2">
        <f t="shared" si="24"/>
        <v>12523265.870000001</v>
      </c>
    </row>
    <row r="220" spans="1:17" x14ac:dyDescent="0.2">
      <c r="A220" s="5">
        <v>720</v>
      </c>
      <c r="B220" s="5">
        <v>1</v>
      </c>
      <c r="C220" s="2" t="s">
        <v>217</v>
      </c>
      <c r="D220" s="3">
        <f>SUM(Shift11!D220:L220)</f>
        <v>3749620.69</v>
      </c>
      <c r="E220" s="3">
        <f>ROUND(MAX(0,(Levy!Q220+Data!D220+Data!E220-Levy!U220)*0.5),2)</f>
        <v>3800177.63</v>
      </c>
      <c r="F220" s="3">
        <f t="shared" si="19"/>
        <v>0</v>
      </c>
      <c r="G220" s="3">
        <f t="shared" si="20"/>
        <v>3749620.69</v>
      </c>
      <c r="I220" s="3">
        <f>SUM(Shift11!M220:N220)</f>
        <v>232311.27</v>
      </c>
      <c r="J220" s="3">
        <f>ROUND(MAX(0,(Levy!R220-Levy!V220)*0.5),2)</f>
        <v>239003.36</v>
      </c>
      <c r="K220" s="3">
        <f t="shared" si="21"/>
        <v>0</v>
      </c>
      <c r="L220" s="3">
        <f t="shared" si="22"/>
        <v>232311.27</v>
      </c>
      <c r="N220" s="3">
        <f t="shared" si="23"/>
        <v>3981931.96</v>
      </c>
      <c r="O220" s="2">
        <f>SUM(Levy!F220:J220)</f>
        <v>8078361.9699999997</v>
      </c>
      <c r="P220" s="2">
        <f>SUM(Levy!U220:V220)</f>
        <v>0</v>
      </c>
      <c r="Q220" s="2">
        <f t="shared" si="24"/>
        <v>8078361.9699999997</v>
      </c>
    </row>
    <row r="221" spans="1:17" x14ac:dyDescent="0.2">
      <c r="A221" s="5">
        <v>721</v>
      </c>
      <c r="B221" s="5">
        <v>1</v>
      </c>
      <c r="C221" s="2" t="s">
        <v>218</v>
      </c>
      <c r="D221" s="3">
        <f>SUM(Shift11!D221:L221)</f>
        <v>2371079.7000000002</v>
      </c>
      <c r="E221" s="3">
        <f>ROUND(MAX(0,(Levy!Q221+Data!D221+Data!E221-Levy!U221)*0.5),2)</f>
        <v>2379537.9700000002</v>
      </c>
      <c r="F221" s="3">
        <f t="shared" si="19"/>
        <v>0</v>
      </c>
      <c r="G221" s="3">
        <f t="shared" si="20"/>
        <v>2371079.7000000002</v>
      </c>
      <c r="I221" s="3">
        <f>SUM(Shift11!M221:N221)</f>
        <v>106273.60000000001</v>
      </c>
      <c r="J221" s="3">
        <f>ROUND(MAX(0,(Levy!R221-Levy!V221)*0.5),2)</f>
        <v>109334.98</v>
      </c>
      <c r="K221" s="3">
        <f t="shared" si="21"/>
        <v>0</v>
      </c>
      <c r="L221" s="3">
        <f t="shared" si="22"/>
        <v>106273.60000000001</v>
      </c>
      <c r="N221" s="3">
        <f t="shared" si="23"/>
        <v>2477353.3000000003</v>
      </c>
      <c r="O221" s="2">
        <f>SUM(Levy!F221:J221)</f>
        <v>4977745.8800000008</v>
      </c>
      <c r="P221" s="2">
        <f>SUM(Levy!U221:V221)</f>
        <v>0</v>
      </c>
      <c r="Q221" s="2">
        <f t="shared" si="24"/>
        <v>4977745.8800000008</v>
      </c>
    </row>
    <row r="222" spans="1:17" x14ac:dyDescent="0.2">
      <c r="A222" s="5">
        <v>726</v>
      </c>
      <c r="B222" s="5">
        <v>1</v>
      </c>
      <c r="C222" s="2" t="s">
        <v>219</v>
      </c>
      <c r="D222" s="3">
        <f>SUM(Shift11!D222:L222)</f>
        <v>2064343.9699999997</v>
      </c>
      <c r="E222" s="3">
        <f>ROUND(MAX(0,(Levy!Q222+Data!D222+Data!E222-Levy!U222)*0.5),2)</f>
        <v>2087111.33</v>
      </c>
      <c r="F222" s="3">
        <f t="shared" si="19"/>
        <v>0</v>
      </c>
      <c r="G222" s="3">
        <f t="shared" si="20"/>
        <v>2064343.9699999997</v>
      </c>
      <c r="I222" s="3">
        <f>SUM(Shift11!M222:N222)</f>
        <v>93921.69</v>
      </c>
      <c r="J222" s="3">
        <f>ROUND(MAX(0,(Levy!R222-Levy!V222)*0.5),2)</f>
        <v>96627.26</v>
      </c>
      <c r="K222" s="3">
        <f t="shared" si="21"/>
        <v>0</v>
      </c>
      <c r="L222" s="3">
        <f t="shared" si="22"/>
        <v>93921.69</v>
      </c>
      <c r="N222" s="3">
        <f t="shared" si="23"/>
        <v>2158265.6599999997</v>
      </c>
      <c r="O222" s="2">
        <f>SUM(Levy!F222:J222)</f>
        <v>4367477.16</v>
      </c>
      <c r="P222" s="2">
        <f>SUM(Levy!U222:V222)</f>
        <v>0</v>
      </c>
      <c r="Q222" s="2">
        <f t="shared" si="24"/>
        <v>4367477.16</v>
      </c>
    </row>
    <row r="223" spans="1:17" x14ac:dyDescent="0.2">
      <c r="A223" s="5">
        <v>727</v>
      </c>
      <c r="B223" s="5">
        <v>1</v>
      </c>
      <c r="C223" s="2" t="s">
        <v>220</v>
      </c>
      <c r="D223" s="3">
        <f>SUM(Shift11!D223:L223)</f>
        <v>1288997.3999999997</v>
      </c>
      <c r="E223" s="3">
        <f>ROUND(MAX(0,(Levy!Q223+Data!D223+Data!E223-Levy!U223)*0.5),2)</f>
        <v>1274812.92</v>
      </c>
      <c r="F223" s="3">
        <f t="shared" si="19"/>
        <v>14184.479999999749</v>
      </c>
      <c r="G223" s="3">
        <f t="shared" si="20"/>
        <v>1274812.92</v>
      </c>
      <c r="I223" s="3">
        <f>SUM(Shift11!M223:N223)</f>
        <v>121563.61</v>
      </c>
      <c r="J223" s="3">
        <f>ROUND(MAX(0,(Levy!R223-Levy!V223)*0.5),2)</f>
        <v>125065.44</v>
      </c>
      <c r="K223" s="3">
        <f t="shared" si="21"/>
        <v>0</v>
      </c>
      <c r="L223" s="3">
        <f t="shared" si="22"/>
        <v>121563.61</v>
      </c>
      <c r="N223" s="3">
        <f t="shared" si="23"/>
        <v>1396376.53</v>
      </c>
      <c r="O223" s="2">
        <f>SUM(Levy!F223:J223)</f>
        <v>2799756.71</v>
      </c>
      <c r="P223" s="2">
        <f>SUM(Levy!U223:V223)</f>
        <v>0</v>
      </c>
      <c r="Q223" s="2">
        <f t="shared" si="24"/>
        <v>2799756.71</v>
      </c>
    </row>
    <row r="224" spans="1:17" x14ac:dyDescent="0.2">
      <c r="A224" s="5">
        <v>728</v>
      </c>
      <c r="B224" s="5">
        <v>1</v>
      </c>
      <c r="C224" s="2" t="s">
        <v>221</v>
      </c>
      <c r="D224" s="3">
        <f>SUM(Shift11!D224:L224)</f>
        <v>8904057.0600000005</v>
      </c>
      <c r="E224" s="3">
        <f>ROUND(MAX(0,(Levy!Q224+Data!D224+Data!E224-Levy!U224)*0.5),2)</f>
        <v>8862527.8800000008</v>
      </c>
      <c r="F224" s="3">
        <f t="shared" si="19"/>
        <v>41529.179999999702</v>
      </c>
      <c r="G224" s="3">
        <f t="shared" si="20"/>
        <v>8862527.8800000008</v>
      </c>
      <c r="I224" s="3">
        <f>SUM(Shift11!M224:N224)</f>
        <v>419074.02</v>
      </c>
      <c r="J224" s="3">
        <f>ROUND(MAX(0,(Levy!R224-Levy!V224)*0.5),2)</f>
        <v>431146.11</v>
      </c>
      <c r="K224" s="3">
        <f t="shared" si="21"/>
        <v>0</v>
      </c>
      <c r="L224" s="3">
        <f t="shared" si="22"/>
        <v>419074.02</v>
      </c>
      <c r="N224" s="3">
        <f t="shared" si="23"/>
        <v>9281601.9000000004</v>
      </c>
      <c r="O224" s="2">
        <f>SUM(Levy!F224:J224)</f>
        <v>18587347.979999997</v>
      </c>
      <c r="P224" s="2">
        <f>SUM(Levy!U224:V224)</f>
        <v>0</v>
      </c>
      <c r="Q224" s="2">
        <f t="shared" si="24"/>
        <v>18587347.979999997</v>
      </c>
    </row>
    <row r="225" spans="1:17" x14ac:dyDescent="0.2">
      <c r="A225" s="5">
        <v>738</v>
      </c>
      <c r="B225" s="5">
        <v>1</v>
      </c>
      <c r="C225" s="2" t="s">
        <v>222</v>
      </c>
      <c r="D225" s="3">
        <f>SUM(Shift11!D225:L225)</f>
        <v>221176.13</v>
      </c>
      <c r="E225" s="3">
        <f>ROUND(MAX(0,(Levy!Q225+Data!D225+Data!E225-Levy!U225)*0.5),2)</f>
        <v>215658.82</v>
      </c>
      <c r="F225" s="3">
        <f t="shared" si="19"/>
        <v>5517.3099999999977</v>
      </c>
      <c r="G225" s="3">
        <f t="shared" si="20"/>
        <v>215658.82</v>
      </c>
      <c r="I225" s="3">
        <f>SUM(Shift11!M225:N225)</f>
        <v>28284.18</v>
      </c>
      <c r="J225" s="3">
        <f>ROUND(MAX(0,(Levy!R225-Levy!V225)*0.5),2)</f>
        <v>29098.959999999999</v>
      </c>
      <c r="K225" s="3">
        <f t="shared" si="21"/>
        <v>0</v>
      </c>
      <c r="L225" s="3">
        <f t="shared" si="22"/>
        <v>28284.18</v>
      </c>
      <c r="N225" s="3">
        <f t="shared" si="23"/>
        <v>243943</v>
      </c>
      <c r="O225" s="2">
        <f>SUM(Levy!F225:J225)</f>
        <v>489515.53999999992</v>
      </c>
      <c r="P225" s="2">
        <f>SUM(Levy!U225:V225)</f>
        <v>0</v>
      </c>
      <c r="Q225" s="2">
        <f t="shared" si="24"/>
        <v>489515.53999999992</v>
      </c>
    </row>
    <row r="226" spans="1:17" x14ac:dyDescent="0.2">
      <c r="A226" s="5">
        <v>739</v>
      </c>
      <c r="B226" s="5">
        <v>1</v>
      </c>
      <c r="C226" s="2" t="s">
        <v>223</v>
      </c>
      <c r="D226" s="3">
        <f>SUM(Shift11!D226:L226)</f>
        <v>490190.70999999996</v>
      </c>
      <c r="E226" s="3">
        <f>ROUND(MAX(0,(Levy!Q226+Data!D226+Data!E226-Levy!U226)*0.5),2)</f>
        <v>500526.18</v>
      </c>
      <c r="F226" s="3">
        <f t="shared" si="19"/>
        <v>0</v>
      </c>
      <c r="G226" s="3">
        <f t="shared" si="20"/>
        <v>490190.70999999996</v>
      </c>
      <c r="I226" s="3">
        <f>SUM(Shift11!M226:N226)</f>
        <v>31910.48</v>
      </c>
      <c r="J226" s="3">
        <f>ROUND(MAX(0,(Levy!R226-Levy!V226)*0.5),2)</f>
        <v>32829.72</v>
      </c>
      <c r="K226" s="3">
        <f t="shared" si="21"/>
        <v>0</v>
      </c>
      <c r="L226" s="3">
        <f t="shared" si="22"/>
        <v>31910.48</v>
      </c>
      <c r="N226" s="3">
        <f t="shared" si="23"/>
        <v>522101.18999999994</v>
      </c>
      <c r="O226" s="2">
        <f>SUM(Levy!F226:J226)</f>
        <v>1066711.79</v>
      </c>
      <c r="P226" s="2">
        <f>SUM(Levy!U226:V226)</f>
        <v>0</v>
      </c>
      <c r="Q226" s="2">
        <f t="shared" si="24"/>
        <v>1066711.79</v>
      </c>
    </row>
    <row r="227" spans="1:17" x14ac:dyDescent="0.2">
      <c r="A227" s="5">
        <v>740</v>
      </c>
      <c r="B227" s="5">
        <v>1</v>
      </c>
      <c r="C227" s="2" t="s">
        <v>224</v>
      </c>
      <c r="D227" s="3">
        <f>SUM(Shift11!D227:L227)</f>
        <v>660743.99000000011</v>
      </c>
      <c r="E227" s="3">
        <f>ROUND(MAX(0,(Levy!Q227+Data!D227+Data!E227-Levy!U227)*0.5),2)</f>
        <v>658075.32999999996</v>
      </c>
      <c r="F227" s="3">
        <f t="shared" si="19"/>
        <v>2668.660000000149</v>
      </c>
      <c r="G227" s="3">
        <f t="shared" si="20"/>
        <v>658075.32999999996</v>
      </c>
      <c r="I227" s="3">
        <f>SUM(Shift11!M227:N227)</f>
        <v>49428.09</v>
      </c>
      <c r="J227" s="3">
        <f>ROUND(MAX(0,(Levy!R227-Levy!V227)*0.5),2)</f>
        <v>50851.95</v>
      </c>
      <c r="K227" s="3">
        <f t="shared" si="21"/>
        <v>0</v>
      </c>
      <c r="L227" s="3">
        <f t="shared" si="22"/>
        <v>49428.09</v>
      </c>
      <c r="N227" s="3">
        <f t="shared" si="23"/>
        <v>707503.41999999993</v>
      </c>
      <c r="O227" s="2">
        <f>SUM(Levy!F227:J227)</f>
        <v>1417854.5399999998</v>
      </c>
      <c r="P227" s="2">
        <f>SUM(Levy!U227:V227)</f>
        <v>0</v>
      </c>
      <c r="Q227" s="2">
        <f t="shared" si="24"/>
        <v>1417854.5399999998</v>
      </c>
    </row>
    <row r="228" spans="1:17" x14ac:dyDescent="0.2">
      <c r="A228" s="5">
        <v>741</v>
      </c>
      <c r="B228" s="5">
        <v>1</v>
      </c>
      <c r="C228" s="2" t="s">
        <v>225</v>
      </c>
      <c r="D228" s="3">
        <f>SUM(Shift11!D228:L228)</f>
        <v>444793.08999999997</v>
      </c>
      <c r="E228" s="3">
        <f>ROUND(MAX(0,(Levy!Q228+Data!D228+Data!E228-Levy!U228)*0.5),2)</f>
        <v>435696.95</v>
      </c>
      <c r="F228" s="3">
        <f t="shared" si="19"/>
        <v>9096.1399999999558</v>
      </c>
      <c r="G228" s="3">
        <f t="shared" si="20"/>
        <v>435696.95</v>
      </c>
      <c r="I228" s="3">
        <f>SUM(Shift11!M228:N228)</f>
        <v>38879.589999999997</v>
      </c>
      <c r="J228" s="3">
        <f>ROUND(MAX(0,(Levy!R228-Levy!V228)*0.5),2)</f>
        <v>39999.58</v>
      </c>
      <c r="K228" s="3">
        <f t="shared" si="21"/>
        <v>0</v>
      </c>
      <c r="L228" s="3">
        <f t="shared" si="22"/>
        <v>38879.589999999997</v>
      </c>
      <c r="N228" s="3">
        <f t="shared" si="23"/>
        <v>474576.54000000004</v>
      </c>
      <c r="O228" s="2">
        <f>SUM(Levy!F228:J228)</f>
        <v>951393.06</v>
      </c>
      <c r="P228" s="2">
        <f>SUM(Levy!U228:V228)</f>
        <v>0</v>
      </c>
      <c r="Q228" s="2">
        <f t="shared" si="24"/>
        <v>951393.06</v>
      </c>
    </row>
    <row r="229" spans="1:17" x14ac:dyDescent="0.2">
      <c r="A229" s="5">
        <v>742</v>
      </c>
      <c r="B229" s="5">
        <v>1</v>
      </c>
      <c r="C229" s="2" t="s">
        <v>226</v>
      </c>
      <c r="D229" s="3">
        <f>SUM(Shift11!D229:L229)</f>
        <v>6853982.7199999997</v>
      </c>
      <c r="E229" s="3">
        <f>ROUND(MAX(0,(Levy!Q229+Data!D229+Data!E229-Levy!U229)*0.5),2)</f>
        <v>6893139.7699999996</v>
      </c>
      <c r="F229" s="3">
        <f t="shared" si="19"/>
        <v>0</v>
      </c>
      <c r="G229" s="3">
        <f t="shared" si="20"/>
        <v>6853982.7199999997</v>
      </c>
      <c r="I229" s="3">
        <f>SUM(Shift11!M229:N229)</f>
        <v>622030.99</v>
      </c>
      <c r="J229" s="3">
        <f>ROUND(MAX(0,(Levy!R229-Levy!V229)*0.5),2)</f>
        <v>639949.57999999996</v>
      </c>
      <c r="K229" s="3">
        <f t="shared" si="21"/>
        <v>0</v>
      </c>
      <c r="L229" s="3">
        <f t="shared" si="22"/>
        <v>622030.99</v>
      </c>
      <c r="N229" s="3">
        <f t="shared" si="23"/>
        <v>7476013.71</v>
      </c>
      <c r="O229" s="2">
        <f>SUM(Levy!F229:J229)</f>
        <v>15066178.699999999</v>
      </c>
      <c r="P229" s="2">
        <f>SUM(Levy!U229:V229)</f>
        <v>0</v>
      </c>
      <c r="Q229" s="2">
        <f t="shared" si="24"/>
        <v>15066178.699999999</v>
      </c>
    </row>
    <row r="230" spans="1:17" x14ac:dyDescent="0.2">
      <c r="A230" s="5">
        <v>743</v>
      </c>
      <c r="B230" s="5">
        <v>1</v>
      </c>
      <c r="C230" s="2" t="s">
        <v>227</v>
      </c>
      <c r="D230" s="3">
        <f>SUM(Shift11!D230:L230)</f>
        <v>683067.70000000007</v>
      </c>
      <c r="E230" s="3">
        <f>ROUND(MAX(0,(Levy!Q230+Data!D230+Data!E230-Levy!U230)*0.5),2)</f>
        <v>683268.92</v>
      </c>
      <c r="F230" s="3">
        <f t="shared" si="19"/>
        <v>0</v>
      </c>
      <c r="G230" s="3">
        <f t="shared" si="20"/>
        <v>683067.70000000007</v>
      </c>
      <c r="I230" s="3">
        <f>SUM(Shift11!M230:N230)</f>
        <v>42321.05</v>
      </c>
      <c r="J230" s="3">
        <f>ROUND(MAX(0,(Levy!R230-Levy!V230)*0.5),2)</f>
        <v>43540.17</v>
      </c>
      <c r="K230" s="3">
        <f t="shared" si="21"/>
        <v>0</v>
      </c>
      <c r="L230" s="3">
        <f t="shared" si="22"/>
        <v>42321.05</v>
      </c>
      <c r="N230" s="3">
        <f t="shared" si="23"/>
        <v>725388.75000000012</v>
      </c>
      <c r="O230" s="2">
        <f>SUM(Levy!F230:J230)</f>
        <v>1453618.17</v>
      </c>
      <c r="P230" s="2">
        <f>SUM(Levy!U230:V230)</f>
        <v>0</v>
      </c>
      <c r="Q230" s="2">
        <f t="shared" si="24"/>
        <v>1453618.17</v>
      </c>
    </row>
    <row r="231" spans="1:17" x14ac:dyDescent="0.2">
      <c r="A231" s="5">
        <v>745</v>
      </c>
      <c r="B231" s="5">
        <v>1</v>
      </c>
      <c r="C231" s="2" t="s">
        <v>228</v>
      </c>
      <c r="D231" s="3">
        <f>SUM(Shift11!D231:L231)</f>
        <v>524775.35</v>
      </c>
      <c r="E231" s="3">
        <f>ROUND(MAX(0,(Levy!Q231+Data!D231+Data!E231-Levy!U231)*0.5),2)</f>
        <v>521123.4</v>
      </c>
      <c r="F231" s="3">
        <f t="shared" si="19"/>
        <v>3651.9499999999534</v>
      </c>
      <c r="G231" s="3">
        <f t="shared" si="20"/>
        <v>521123.4</v>
      </c>
      <c r="I231" s="3">
        <f>SUM(Shift11!M231:N231)</f>
        <v>48758.41</v>
      </c>
      <c r="J231" s="3">
        <f>ROUND(MAX(0,(Levy!R231-Levy!V231)*0.5),2)</f>
        <v>50162.97</v>
      </c>
      <c r="K231" s="3">
        <f t="shared" si="21"/>
        <v>0</v>
      </c>
      <c r="L231" s="3">
        <f t="shared" si="22"/>
        <v>48758.41</v>
      </c>
      <c r="N231" s="3">
        <f t="shared" si="23"/>
        <v>569881.81000000006</v>
      </c>
      <c r="O231" s="2">
        <f>SUM(Levy!F231:J231)</f>
        <v>1142572.74</v>
      </c>
      <c r="P231" s="2">
        <f>SUM(Levy!U231:V231)</f>
        <v>0</v>
      </c>
      <c r="Q231" s="2">
        <f t="shared" si="24"/>
        <v>1142572.74</v>
      </c>
    </row>
    <row r="232" spans="1:17" x14ac:dyDescent="0.2">
      <c r="A232" s="5">
        <v>748</v>
      </c>
      <c r="B232" s="5">
        <v>1</v>
      </c>
      <c r="C232" s="2" t="s">
        <v>229</v>
      </c>
      <c r="D232" s="3">
        <f>SUM(Shift11!D232:L232)</f>
        <v>1102541.05</v>
      </c>
      <c r="E232" s="3">
        <f>ROUND(MAX(0,(Levy!Q232+Data!D232+Data!E232-Levy!U232)*0.5),2)</f>
        <v>1042473.97</v>
      </c>
      <c r="F232" s="3">
        <f t="shared" si="19"/>
        <v>60067.080000000075</v>
      </c>
      <c r="G232" s="3">
        <f t="shared" si="20"/>
        <v>1042473.97</v>
      </c>
      <c r="I232" s="3">
        <f>SUM(Shift11!M232:N232)</f>
        <v>84020.81</v>
      </c>
      <c r="J232" s="3">
        <f>ROUND(MAX(0,(Levy!R232-Levy!V232)*0.5),2)</f>
        <v>86441.16</v>
      </c>
      <c r="K232" s="3">
        <f t="shared" si="21"/>
        <v>0</v>
      </c>
      <c r="L232" s="3">
        <f t="shared" si="22"/>
        <v>84020.81</v>
      </c>
      <c r="N232" s="3">
        <f t="shared" si="23"/>
        <v>1126494.78</v>
      </c>
      <c r="O232" s="2">
        <f>SUM(Levy!F232:J232)</f>
        <v>2257830.2499999995</v>
      </c>
      <c r="P232" s="2">
        <f>SUM(Levy!U232:V232)</f>
        <v>0</v>
      </c>
      <c r="Q232" s="2">
        <f t="shared" si="24"/>
        <v>2257830.2499999995</v>
      </c>
    </row>
    <row r="233" spans="1:17" x14ac:dyDescent="0.2">
      <c r="A233" s="5">
        <v>750</v>
      </c>
      <c r="B233" s="5">
        <v>1</v>
      </c>
      <c r="C233" s="2" t="s">
        <v>230</v>
      </c>
      <c r="D233" s="3">
        <f>SUM(Shift11!D233:L233)</f>
        <v>1034806.9</v>
      </c>
      <c r="E233" s="3">
        <f>ROUND(MAX(0,(Levy!Q233+Data!D233+Data!E233-Levy!U233)*0.5),2)</f>
        <v>1055914.57</v>
      </c>
      <c r="F233" s="3">
        <f t="shared" si="19"/>
        <v>0</v>
      </c>
      <c r="G233" s="3">
        <f t="shared" si="20"/>
        <v>1034806.9</v>
      </c>
      <c r="I233" s="3">
        <f>SUM(Shift11!M233:N233)</f>
        <v>70715</v>
      </c>
      <c r="J233" s="3">
        <f>ROUND(MAX(0,(Levy!R233-Levy!V233)*0.5),2)</f>
        <v>72752.06</v>
      </c>
      <c r="K233" s="3">
        <f t="shared" si="21"/>
        <v>0</v>
      </c>
      <c r="L233" s="3">
        <f t="shared" si="22"/>
        <v>70715</v>
      </c>
      <c r="N233" s="3">
        <f t="shared" si="23"/>
        <v>1105521.8999999999</v>
      </c>
      <c r="O233" s="2">
        <f>SUM(Levy!F233:J233)</f>
        <v>2257333.2399999998</v>
      </c>
      <c r="P233" s="2">
        <f>SUM(Levy!U233:V233)</f>
        <v>0</v>
      </c>
      <c r="Q233" s="2">
        <f t="shared" si="24"/>
        <v>2257333.2399999998</v>
      </c>
    </row>
    <row r="234" spans="1:17" x14ac:dyDescent="0.2">
      <c r="A234" s="5">
        <v>756</v>
      </c>
      <c r="B234" s="5">
        <v>1</v>
      </c>
      <c r="C234" s="2" t="s">
        <v>231</v>
      </c>
      <c r="D234" s="3">
        <f>SUM(Shift11!D234:L234)</f>
        <v>352972.66000000009</v>
      </c>
      <c r="E234" s="3">
        <f>ROUND(MAX(0,(Levy!Q234+Data!D234+Data!E234-Levy!U234)*0.5),2)</f>
        <v>350077.44</v>
      </c>
      <c r="F234" s="3">
        <f t="shared" si="19"/>
        <v>2895.2200000000885</v>
      </c>
      <c r="G234" s="3">
        <f t="shared" si="20"/>
        <v>350077.44</v>
      </c>
      <c r="I234" s="3">
        <f>SUM(Shift11!M234:N234)</f>
        <v>21848.47</v>
      </c>
      <c r="J234" s="3">
        <f>ROUND(MAX(0,(Levy!R234-Levy!V234)*0.5),2)</f>
        <v>22477.85</v>
      </c>
      <c r="K234" s="3">
        <f t="shared" si="21"/>
        <v>0</v>
      </c>
      <c r="L234" s="3">
        <f t="shared" si="22"/>
        <v>21848.47</v>
      </c>
      <c r="N234" s="3">
        <f t="shared" si="23"/>
        <v>371925.91000000003</v>
      </c>
      <c r="O234" s="2">
        <f>SUM(Levy!F234:J234)</f>
        <v>745110.58</v>
      </c>
      <c r="P234" s="2">
        <f>SUM(Levy!U234:V234)</f>
        <v>0</v>
      </c>
      <c r="Q234" s="2">
        <f t="shared" si="24"/>
        <v>745110.58</v>
      </c>
    </row>
    <row r="235" spans="1:17" x14ac:dyDescent="0.2">
      <c r="A235" s="5">
        <v>761</v>
      </c>
      <c r="B235" s="5">
        <v>1</v>
      </c>
      <c r="C235" s="2" t="s">
        <v>232</v>
      </c>
      <c r="D235" s="3">
        <f>SUM(Shift11!D235:L235)</f>
        <v>2568560.8400000003</v>
      </c>
      <c r="E235" s="3">
        <f>ROUND(MAX(0,(Levy!Q235+Data!D235+Data!E235-Levy!U235)*0.5),2)</f>
        <v>2562677.06</v>
      </c>
      <c r="F235" s="3">
        <f t="shared" si="19"/>
        <v>5883.7800000002608</v>
      </c>
      <c r="G235" s="3">
        <f t="shared" si="20"/>
        <v>2562677.06</v>
      </c>
      <c r="I235" s="3">
        <f>SUM(Shift11!M235:N235)</f>
        <v>150770.48000000001</v>
      </c>
      <c r="J235" s="3">
        <f>ROUND(MAX(0,(Levy!R235-Levy!V235)*0.5),2)</f>
        <v>155113.67000000001</v>
      </c>
      <c r="K235" s="3">
        <f t="shared" si="21"/>
        <v>0</v>
      </c>
      <c r="L235" s="3">
        <f t="shared" si="22"/>
        <v>150770.48000000001</v>
      </c>
      <c r="N235" s="3">
        <f t="shared" si="23"/>
        <v>2713447.54</v>
      </c>
      <c r="O235" s="2">
        <f>SUM(Levy!F235:J235)</f>
        <v>5435581.4399999995</v>
      </c>
      <c r="P235" s="2">
        <f>SUM(Levy!U235:V235)</f>
        <v>0</v>
      </c>
      <c r="Q235" s="2">
        <f t="shared" si="24"/>
        <v>5435581.4399999995</v>
      </c>
    </row>
    <row r="236" spans="1:17" x14ac:dyDescent="0.2">
      <c r="A236" s="5">
        <v>763</v>
      </c>
      <c r="B236" s="5">
        <v>1</v>
      </c>
      <c r="C236" s="2" t="s">
        <v>233</v>
      </c>
      <c r="D236" s="3">
        <f>SUM(Shift11!D236:L236)</f>
        <v>230349.3</v>
      </c>
      <c r="E236" s="3">
        <f>ROUND(MAX(0,(Levy!Q236+Data!D236+Data!E236-Levy!U236)*0.5),2)</f>
        <v>132005.53</v>
      </c>
      <c r="F236" s="3">
        <f t="shared" si="19"/>
        <v>98343.76999999999</v>
      </c>
      <c r="G236" s="3">
        <f t="shared" si="20"/>
        <v>132005.53</v>
      </c>
      <c r="I236" s="3">
        <f>SUM(Shift11!M236:N236)</f>
        <v>16867.669999999998</v>
      </c>
      <c r="J236" s="3">
        <f>ROUND(MAX(0,(Levy!R236-Levy!V236)*0.5),2)</f>
        <v>17353.57</v>
      </c>
      <c r="K236" s="3">
        <f t="shared" si="21"/>
        <v>0</v>
      </c>
      <c r="L236" s="3">
        <f t="shared" si="22"/>
        <v>16867.669999999998</v>
      </c>
      <c r="N236" s="3">
        <f t="shared" si="23"/>
        <v>148873.20000000001</v>
      </c>
      <c r="O236" s="2">
        <f>SUM(Levy!F236:J236)</f>
        <v>298718.19</v>
      </c>
      <c r="P236" s="2">
        <f>SUM(Levy!U236:V236)</f>
        <v>0</v>
      </c>
      <c r="Q236" s="2">
        <f t="shared" si="24"/>
        <v>298718.19</v>
      </c>
    </row>
    <row r="237" spans="1:17" x14ac:dyDescent="0.2">
      <c r="A237" s="5">
        <v>768</v>
      </c>
      <c r="B237" s="5">
        <v>1</v>
      </c>
      <c r="C237" s="2" t="s">
        <v>234</v>
      </c>
      <c r="D237" s="3">
        <f>SUM(Shift11!D237:L237)</f>
        <v>116380.43999999999</v>
      </c>
      <c r="E237" s="3">
        <f>ROUND(MAX(0,(Levy!Q237+Data!D237+Data!E237-Levy!U237)*0.5),2)</f>
        <v>113742.69</v>
      </c>
      <c r="F237" s="3">
        <f t="shared" si="19"/>
        <v>2637.7499999999854</v>
      </c>
      <c r="G237" s="3">
        <f t="shared" si="20"/>
        <v>113742.69</v>
      </c>
      <c r="I237" s="3">
        <f>SUM(Shift11!M237:N237)</f>
        <v>7030.04</v>
      </c>
      <c r="J237" s="3">
        <f>ROUND(MAX(0,(Levy!R237-Levy!V237)*0.5),2)</f>
        <v>7232.56</v>
      </c>
      <c r="K237" s="3">
        <f t="shared" si="21"/>
        <v>0</v>
      </c>
      <c r="L237" s="3">
        <f t="shared" si="22"/>
        <v>7030.04</v>
      </c>
      <c r="N237" s="3">
        <f t="shared" si="23"/>
        <v>120772.73</v>
      </c>
      <c r="O237" s="2">
        <f>SUM(Levy!F237:J237)</f>
        <v>241950.49</v>
      </c>
      <c r="P237" s="2">
        <f>SUM(Levy!U237:V237)</f>
        <v>0</v>
      </c>
      <c r="Q237" s="2">
        <f t="shared" si="24"/>
        <v>241950.49</v>
      </c>
    </row>
    <row r="238" spans="1:17" x14ac:dyDescent="0.2">
      <c r="A238" s="5">
        <v>769</v>
      </c>
      <c r="B238" s="5">
        <v>1</v>
      </c>
      <c r="C238" s="2" t="s">
        <v>235</v>
      </c>
      <c r="D238" s="3">
        <f>SUM(Shift11!D238:L238)</f>
        <v>437655.58</v>
      </c>
      <c r="E238" s="3">
        <f>ROUND(MAX(0,(Levy!Q238+Data!D238+Data!E238-Levy!U238)*0.5),2)</f>
        <v>442504.51</v>
      </c>
      <c r="F238" s="3">
        <f t="shared" si="19"/>
        <v>0</v>
      </c>
      <c r="G238" s="3">
        <f t="shared" si="20"/>
        <v>437655.58</v>
      </c>
      <c r="I238" s="3">
        <f>SUM(Shift11!M238:N238)</f>
        <v>44888.5</v>
      </c>
      <c r="J238" s="3">
        <f>ROUND(MAX(0,(Levy!R238-Levy!V238)*0.5),2)</f>
        <v>46181.59</v>
      </c>
      <c r="K238" s="3">
        <f t="shared" si="21"/>
        <v>0</v>
      </c>
      <c r="L238" s="3">
        <f t="shared" si="22"/>
        <v>44888.5</v>
      </c>
      <c r="N238" s="3">
        <f t="shared" si="23"/>
        <v>482544.08</v>
      </c>
      <c r="O238" s="2">
        <f>SUM(Levy!F238:J238)</f>
        <v>977372.19000000006</v>
      </c>
      <c r="P238" s="2">
        <f>SUM(Levy!U238:V238)</f>
        <v>0</v>
      </c>
      <c r="Q238" s="2">
        <f t="shared" si="24"/>
        <v>977372.19000000006</v>
      </c>
    </row>
    <row r="239" spans="1:17" x14ac:dyDescent="0.2">
      <c r="A239" s="5">
        <v>771</v>
      </c>
      <c r="B239" s="5">
        <v>1</v>
      </c>
      <c r="C239" s="2" t="s">
        <v>236</v>
      </c>
      <c r="D239" s="3">
        <f>SUM(Shift11!D239:L239)</f>
        <v>205663.88</v>
      </c>
      <c r="E239" s="3">
        <f>ROUND(MAX(0,(Levy!Q239+Data!D239+Data!E239-Levy!U239)*0.5),2)</f>
        <v>203920.66</v>
      </c>
      <c r="F239" s="3">
        <f t="shared" si="19"/>
        <v>1743.2200000000012</v>
      </c>
      <c r="G239" s="3">
        <f t="shared" si="20"/>
        <v>203920.66</v>
      </c>
      <c r="I239" s="3">
        <f>SUM(Shift11!M239:N239)</f>
        <v>12081.19</v>
      </c>
      <c r="J239" s="3">
        <f>ROUND(MAX(0,(Levy!R239-Levy!V239)*0.5),2)</f>
        <v>12429.21</v>
      </c>
      <c r="K239" s="3">
        <f t="shared" si="21"/>
        <v>0</v>
      </c>
      <c r="L239" s="3">
        <f t="shared" si="22"/>
        <v>12081.19</v>
      </c>
      <c r="N239" s="3">
        <f t="shared" si="23"/>
        <v>216001.85</v>
      </c>
      <c r="O239" s="2">
        <f>SUM(Levy!F239:J239)</f>
        <v>432699.72999999992</v>
      </c>
      <c r="P239" s="2">
        <f>SUM(Levy!U239:V239)</f>
        <v>0</v>
      </c>
      <c r="Q239" s="2">
        <f t="shared" si="24"/>
        <v>432699.72999999992</v>
      </c>
    </row>
    <row r="240" spans="1:17" x14ac:dyDescent="0.2">
      <c r="A240" s="5">
        <v>775</v>
      </c>
      <c r="B240" s="5">
        <v>1</v>
      </c>
      <c r="C240" s="2" t="s">
        <v>237</v>
      </c>
      <c r="D240" s="3">
        <f>SUM(Shift11!D240:L240)</f>
        <v>288558.12</v>
      </c>
      <c r="E240" s="3">
        <f>ROUND(MAX(0,(Levy!Q240+Data!D240+Data!E240-Levy!U240)*0.5),2)</f>
        <v>284448.92</v>
      </c>
      <c r="F240" s="3">
        <f t="shared" si="19"/>
        <v>4109.2000000000116</v>
      </c>
      <c r="G240" s="3">
        <f t="shared" si="20"/>
        <v>284448.92</v>
      </c>
      <c r="I240" s="3">
        <f>SUM(Shift11!M240:N240)</f>
        <v>20982.23</v>
      </c>
      <c r="J240" s="3">
        <f>ROUND(MAX(0,(Levy!R240-Levy!V240)*0.5),2)</f>
        <v>21586.66</v>
      </c>
      <c r="K240" s="3">
        <f t="shared" si="21"/>
        <v>0</v>
      </c>
      <c r="L240" s="3">
        <f t="shared" si="22"/>
        <v>20982.23</v>
      </c>
      <c r="N240" s="3">
        <f t="shared" si="23"/>
        <v>305431.14999999997</v>
      </c>
      <c r="O240" s="2">
        <f>SUM(Levy!F240:J240)</f>
        <v>612071.15</v>
      </c>
      <c r="P240" s="2">
        <f>SUM(Levy!U240:V240)</f>
        <v>0</v>
      </c>
      <c r="Q240" s="2">
        <f t="shared" si="24"/>
        <v>612071.15</v>
      </c>
    </row>
    <row r="241" spans="1:17" x14ac:dyDescent="0.2">
      <c r="A241" s="5">
        <v>777</v>
      </c>
      <c r="B241" s="5">
        <v>1</v>
      </c>
      <c r="C241" s="2" t="s">
        <v>238</v>
      </c>
      <c r="D241" s="3">
        <f>SUM(Shift11!D241:L241)</f>
        <v>397731.36</v>
      </c>
      <c r="E241" s="3">
        <f>ROUND(MAX(0,(Levy!Q241+Data!D241+Data!E241-Levy!U241)*0.5),2)</f>
        <v>387649.23</v>
      </c>
      <c r="F241" s="3">
        <f t="shared" si="19"/>
        <v>10082.130000000005</v>
      </c>
      <c r="G241" s="3">
        <f t="shared" si="20"/>
        <v>387649.23</v>
      </c>
      <c r="I241" s="3">
        <f>SUM(Shift11!M241:N241)</f>
        <v>36517.279999999999</v>
      </c>
      <c r="J241" s="3">
        <f>ROUND(MAX(0,(Levy!R241-Levy!V241)*0.5),2)</f>
        <v>37569.22</v>
      </c>
      <c r="K241" s="3">
        <f t="shared" si="21"/>
        <v>0</v>
      </c>
      <c r="L241" s="3">
        <f t="shared" si="22"/>
        <v>36517.279999999999</v>
      </c>
      <c r="N241" s="3">
        <f t="shared" si="23"/>
        <v>424166.51</v>
      </c>
      <c r="O241" s="2">
        <f>SUM(Levy!F241:J241)</f>
        <v>850436.89999999991</v>
      </c>
      <c r="P241" s="2">
        <f>SUM(Levy!U241:V241)</f>
        <v>0</v>
      </c>
      <c r="Q241" s="2">
        <f t="shared" si="24"/>
        <v>850436.89999999991</v>
      </c>
    </row>
    <row r="242" spans="1:17" x14ac:dyDescent="0.2">
      <c r="A242" s="5">
        <v>786</v>
      </c>
      <c r="B242" s="5">
        <v>1</v>
      </c>
      <c r="C242" s="2" t="s">
        <v>239</v>
      </c>
      <c r="D242" s="3">
        <f>SUM(Shift11!D242:L242)</f>
        <v>131680.59000000003</v>
      </c>
      <c r="E242" s="3">
        <f>ROUND(MAX(0,(Levy!Q242+Data!D242+Data!E242-Levy!U242)*0.5),2)</f>
        <v>129659.5</v>
      </c>
      <c r="F242" s="3">
        <f t="shared" si="19"/>
        <v>2021.0900000000256</v>
      </c>
      <c r="G242" s="3">
        <f t="shared" si="20"/>
        <v>129659.5</v>
      </c>
      <c r="I242" s="3">
        <f>SUM(Shift11!M242:N242)</f>
        <v>23580.23</v>
      </c>
      <c r="J242" s="3">
        <f>ROUND(MAX(0,(Levy!R242-Levy!V242)*0.5),2)</f>
        <v>24259.5</v>
      </c>
      <c r="K242" s="3">
        <f t="shared" si="21"/>
        <v>0</v>
      </c>
      <c r="L242" s="3">
        <f t="shared" si="22"/>
        <v>23580.23</v>
      </c>
      <c r="N242" s="3">
        <f t="shared" si="23"/>
        <v>153239.73000000001</v>
      </c>
      <c r="O242" s="2">
        <f>SUM(Levy!F242:J242)</f>
        <v>307838</v>
      </c>
      <c r="P242" s="2">
        <f>SUM(Levy!U242:V242)</f>
        <v>0</v>
      </c>
      <c r="Q242" s="2">
        <f t="shared" si="24"/>
        <v>307838</v>
      </c>
    </row>
    <row r="243" spans="1:17" x14ac:dyDescent="0.2">
      <c r="A243" s="5">
        <v>787</v>
      </c>
      <c r="B243" s="5">
        <v>1</v>
      </c>
      <c r="C243" s="2" t="s">
        <v>240</v>
      </c>
      <c r="D243" s="3">
        <f>SUM(Shift11!D243:L243)</f>
        <v>109274.09</v>
      </c>
      <c r="E243" s="3">
        <f>ROUND(MAX(0,(Levy!Q243+Data!D243+Data!E243-Levy!U243)*0.5),2)</f>
        <v>97800.5</v>
      </c>
      <c r="F243" s="3">
        <f t="shared" si="19"/>
        <v>11473.589999999997</v>
      </c>
      <c r="G243" s="3">
        <f t="shared" si="20"/>
        <v>97800.5</v>
      </c>
      <c r="I243" s="3">
        <f>SUM(Shift11!M243:N243)</f>
        <v>12193.74</v>
      </c>
      <c r="J243" s="3">
        <f>ROUND(MAX(0,(Levy!R243-Levy!V243)*0.5),2)</f>
        <v>12545</v>
      </c>
      <c r="K243" s="3">
        <f t="shared" si="21"/>
        <v>0</v>
      </c>
      <c r="L243" s="3">
        <f t="shared" si="22"/>
        <v>12193.74</v>
      </c>
      <c r="N243" s="3">
        <f t="shared" si="23"/>
        <v>109994.24000000001</v>
      </c>
      <c r="O243" s="2">
        <f>SUM(Levy!F243:J243)</f>
        <v>220691</v>
      </c>
      <c r="P243" s="2">
        <f>SUM(Levy!U243:V243)</f>
        <v>0</v>
      </c>
      <c r="Q243" s="2">
        <f t="shared" si="24"/>
        <v>220691</v>
      </c>
    </row>
    <row r="244" spans="1:17" x14ac:dyDescent="0.2">
      <c r="A244" s="5">
        <v>801</v>
      </c>
      <c r="B244" s="5">
        <v>1</v>
      </c>
      <c r="C244" s="2" t="s">
        <v>241</v>
      </c>
      <c r="D244" s="3">
        <f>SUM(Shift11!D244:L244)</f>
        <v>59794.44</v>
      </c>
      <c r="E244" s="3">
        <f>ROUND(MAX(0,(Levy!Q244+Data!D244+Data!E244-Levy!U244)*0.5),2)</f>
        <v>58756.32</v>
      </c>
      <c r="F244" s="3">
        <f t="shared" si="19"/>
        <v>1038.1200000000026</v>
      </c>
      <c r="G244" s="3">
        <f t="shared" si="20"/>
        <v>58756.32</v>
      </c>
      <c r="I244" s="3">
        <f>SUM(Shift11!M244:N244)</f>
        <v>6461.93</v>
      </c>
      <c r="J244" s="3">
        <f>ROUND(MAX(0,(Levy!R244-Levy!V244)*0.5),2)</f>
        <v>6648.08</v>
      </c>
      <c r="K244" s="3">
        <f t="shared" si="21"/>
        <v>0</v>
      </c>
      <c r="L244" s="3">
        <f t="shared" si="22"/>
        <v>6461.93</v>
      </c>
      <c r="N244" s="3">
        <f t="shared" si="23"/>
        <v>65218.25</v>
      </c>
      <c r="O244" s="2">
        <f>SUM(Levy!F244:J244)</f>
        <v>130808.78</v>
      </c>
      <c r="P244" s="2">
        <f>SUM(Levy!U244:V244)</f>
        <v>0</v>
      </c>
      <c r="Q244" s="2">
        <f t="shared" si="24"/>
        <v>130808.78</v>
      </c>
    </row>
    <row r="245" spans="1:17" x14ac:dyDescent="0.2">
      <c r="A245" s="5">
        <v>803</v>
      </c>
      <c r="B245" s="5">
        <v>1</v>
      </c>
      <c r="C245" s="2" t="s">
        <v>242</v>
      </c>
      <c r="D245" s="3">
        <f>SUM(Shift11!D245:L245)</f>
        <v>182970.74000000002</v>
      </c>
      <c r="E245" s="3">
        <f>ROUND(MAX(0,(Levy!Q245+Data!D245+Data!E245-Levy!U245)*0.5),2)</f>
        <v>179908.02</v>
      </c>
      <c r="F245" s="3">
        <f t="shared" si="19"/>
        <v>3062.7200000000303</v>
      </c>
      <c r="G245" s="3">
        <f t="shared" si="20"/>
        <v>179908.02</v>
      </c>
      <c r="I245" s="3">
        <f>SUM(Shift11!M245:N245)</f>
        <v>15372.88</v>
      </c>
      <c r="J245" s="3">
        <f>ROUND(MAX(0,(Levy!R245-Levy!V245)*0.5),2)</f>
        <v>15815.72</v>
      </c>
      <c r="K245" s="3">
        <f t="shared" si="21"/>
        <v>0</v>
      </c>
      <c r="L245" s="3">
        <f t="shared" si="22"/>
        <v>15372.88</v>
      </c>
      <c r="N245" s="3">
        <f t="shared" si="23"/>
        <v>195280.9</v>
      </c>
      <c r="O245" s="2">
        <f>SUM(Levy!F245:J245)</f>
        <v>391447.47000000003</v>
      </c>
      <c r="P245" s="2">
        <f>SUM(Levy!U245:V245)</f>
        <v>0</v>
      </c>
      <c r="Q245" s="2">
        <f t="shared" si="24"/>
        <v>391447.47000000003</v>
      </c>
    </row>
    <row r="246" spans="1:17" x14ac:dyDescent="0.2">
      <c r="A246" s="5">
        <v>811</v>
      </c>
      <c r="B246" s="5">
        <v>1</v>
      </c>
      <c r="C246" s="2" t="s">
        <v>243</v>
      </c>
      <c r="D246" s="3">
        <f>SUM(Shift11!D246:L246)</f>
        <v>590540.24</v>
      </c>
      <c r="E246" s="3">
        <f>ROUND(MAX(0,(Levy!Q246+Data!D246+Data!E246-Levy!U246)*0.5),2)</f>
        <v>597771</v>
      </c>
      <c r="F246" s="3">
        <f t="shared" si="19"/>
        <v>0</v>
      </c>
      <c r="G246" s="3">
        <f t="shared" si="20"/>
        <v>590540.24</v>
      </c>
      <c r="I246" s="3">
        <f>SUM(Shift11!M246:N246)</f>
        <v>35124.68</v>
      </c>
      <c r="J246" s="3">
        <f>ROUND(MAX(0,(Levy!R246-Levy!V246)*0.5),2)</f>
        <v>36136.5</v>
      </c>
      <c r="K246" s="3">
        <f t="shared" si="21"/>
        <v>0</v>
      </c>
      <c r="L246" s="3">
        <f t="shared" si="22"/>
        <v>35124.68</v>
      </c>
      <c r="N246" s="3">
        <f t="shared" si="23"/>
        <v>625664.92000000004</v>
      </c>
      <c r="O246" s="2">
        <f>SUM(Levy!F246:J246)</f>
        <v>1267815</v>
      </c>
      <c r="P246" s="2">
        <f>SUM(Levy!U246:V246)</f>
        <v>0</v>
      </c>
      <c r="Q246" s="2">
        <f t="shared" si="24"/>
        <v>1267815</v>
      </c>
    </row>
    <row r="247" spans="1:17" x14ac:dyDescent="0.2">
      <c r="A247" s="5">
        <v>813</v>
      </c>
      <c r="B247" s="5">
        <v>1</v>
      </c>
      <c r="C247" s="2" t="s">
        <v>244</v>
      </c>
      <c r="D247" s="3">
        <f>SUM(Shift11!D247:L247)</f>
        <v>818324.27</v>
      </c>
      <c r="E247" s="3">
        <f>ROUND(MAX(0,(Levy!Q247+Data!D247+Data!E247-Levy!U247)*0.5),2)</f>
        <v>815282.5</v>
      </c>
      <c r="F247" s="3">
        <f t="shared" si="19"/>
        <v>3041.7700000000186</v>
      </c>
      <c r="G247" s="3">
        <f t="shared" si="20"/>
        <v>815282.5</v>
      </c>
      <c r="I247" s="3">
        <f>SUM(Shift11!M247:N247)</f>
        <v>56186.95</v>
      </c>
      <c r="J247" s="3">
        <f>ROUND(MAX(0,(Levy!R247-Levy!V247)*0.5),2)</f>
        <v>57805.5</v>
      </c>
      <c r="K247" s="3">
        <f t="shared" si="21"/>
        <v>0</v>
      </c>
      <c r="L247" s="3">
        <f t="shared" si="22"/>
        <v>56186.95</v>
      </c>
      <c r="N247" s="3">
        <f t="shared" si="23"/>
        <v>871469.45</v>
      </c>
      <c r="O247" s="2">
        <f>SUM(Levy!F247:J247)</f>
        <v>1746176</v>
      </c>
      <c r="P247" s="2">
        <f>SUM(Levy!U247:V247)</f>
        <v>0</v>
      </c>
      <c r="Q247" s="2">
        <f t="shared" si="24"/>
        <v>1746176</v>
      </c>
    </row>
    <row r="248" spans="1:17" x14ac:dyDescent="0.2">
      <c r="A248" s="5">
        <v>815</v>
      </c>
      <c r="B248" s="5">
        <v>2</v>
      </c>
      <c r="C248" s="2" t="s">
        <v>245</v>
      </c>
      <c r="D248" s="3">
        <f>SUM(Shift11!D248:L248)</f>
        <v>10892.41</v>
      </c>
      <c r="E248" s="3">
        <f>ROUND(MAX(0,(Levy!Q248+Data!D248+Data!E248-Levy!U248)*0.5),2)</f>
        <v>74706.179999999993</v>
      </c>
      <c r="F248" s="3">
        <f t="shared" si="19"/>
        <v>0</v>
      </c>
      <c r="G248" s="3">
        <f t="shared" si="20"/>
        <v>10892.41</v>
      </c>
      <c r="I248" s="3">
        <f>SUM(Shift11!M248:N248)</f>
        <v>0</v>
      </c>
      <c r="J248" s="3">
        <f>ROUND(MAX(0,(Levy!R248-Levy!V248)*0.5),2)</f>
        <v>0</v>
      </c>
      <c r="K248" s="3">
        <f t="shared" si="21"/>
        <v>0</v>
      </c>
      <c r="L248" s="3">
        <f t="shared" si="22"/>
        <v>0</v>
      </c>
      <c r="N248" s="3">
        <f t="shared" si="23"/>
        <v>10892.41</v>
      </c>
      <c r="O248" s="2">
        <f>SUM(Levy!F248:J248)</f>
        <v>149412.35999999999</v>
      </c>
      <c r="P248" s="2">
        <f>SUM(Levy!U248:V248)</f>
        <v>0</v>
      </c>
      <c r="Q248" s="2">
        <f t="shared" si="24"/>
        <v>149412.35999999999</v>
      </c>
    </row>
    <row r="249" spans="1:17" x14ac:dyDescent="0.2">
      <c r="A249" s="5">
        <v>818</v>
      </c>
      <c r="B249" s="5">
        <v>1</v>
      </c>
      <c r="C249" s="2" t="s">
        <v>246</v>
      </c>
      <c r="D249" s="3">
        <f>SUM(Shift11!D249:L249)</f>
        <v>81351.91</v>
      </c>
      <c r="E249" s="3">
        <f>ROUND(MAX(0,(Levy!Q249+Data!D249+Data!E249-Levy!U249)*0.5),2)</f>
        <v>68948.09</v>
      </c>
      <c r="F249" s="3">
        <f t="shared" si="19"/>
        <v>12403.820000000007</v>
      </c>
      <c r="G249" s="3">
        <f t="shared" si="20"/>
        <v>68948.09</v>
      </c>
      <c r="I249" s="3">
        <f>SUM(Shift11!M249:N249)</f>
        <v>5093.28</v>
      </c>
      <c r="J249" s="3">
        <f>ROUND(MAX(0,(Levy!R249-Levy!V249)*0.5),2)</f>
        <v>5240</v>
      </c>
      <c r="K249" s="3">
        <f t="shared" si="21"/>
        <v>0</v>
      </c>
      <c r="L249" s="3">
        <f t="shared" si="22"/>
        <v>5093.28</v>
      </c>
      <c r="N249" s="3">
        <f t="shared" si="23"/>
        <v>74041.37</v>
      </c>
      <c r="O249" s="2">
        <f>SUM(Levy!F249:J249)</f>
        <v>148376.18</v>
      </c>
      <c r="P249" s="2">
        <f>SUM(Levy!U249:V249)</f>
        <v>0</v>
      </c>
      <c r="Q249" s="2">
        <f t="shared" si="24"/>
        <v>148376.18</v>
      </c>
    </row>
    <row r="250" spans="1:17" x14ac:dyDescent="0.2">
      <c r="A250" s="5">
        <v>820</v>
      </c>
      <c r="B250" s="5">
        <v>1</v>
      </c>
      <c r="C250" s="2" t="s">
        <v>247</v>
      </c>
      <c r="D250" s="3">
        <f>SUM(Shift11!D250:L250)</f>
        <v>216683.93</v>
      </c>
      <c r="E250" s="3">
        <f>ROUND(MAX(0,(Levy!Q250+Data!D250+Data!E250-Levy!U250)*0.5),2)</f>
        <v>211867.5</v>
      </c>
      <c r="F250" s="3">
        <f t="shared" si="19"/>
        <v>4816.429999999993</v>
      </c>
      <c r="G250" s="3">
        <f t="shared" si="20"/>
        <v>211867.5</v>
      </c>
      <c r="I250" s="3">
        <f>SUM(Shift11!M250:N250)</f>
        <v>16989.099999999999</v>
      </c>
      <c r="J250" s="3">
        <f>ROUND(MAX(0,(Levy!R250-Levy!V250)*0.5),2)</f>
        <v>17478.5</v>
      </c>
      <c r="K250" s="3">
        <f t="shared" si="21"/>
        <v>0</v>
      </c>
      <c r="L250" s="3">
        <f t="shared" si="22"/>
        <v>16989.099999999999</v>
      </c>
      <c r="N250" s="3">
        <f t="shared" si="23"/>
        <v>228856.6</v>
      </c>
      <c r="O250" s="2">
        <f>SUM(Levy!F250:J250)</f>
        <v>458692</v>
      </c>
      <c r="P250" s="2">
        <f>SUM(Levy!U250:V250)</f>
        <v>0</v>
      </c>
      <c r="Q250" s="2">
        <f t="shared" si="24"/>
        <v>458692</v>
      </c>
    </row>
    <row r="251" spans="1:17" x14ac:dyDescent="0.2">
      <c r="A251" s="5">
        <v>821</v>
      </c>
      <c r="B251" s="5">
        <v>1</v>
      </c>
      <c r="C251" s="2" t="s">
        <v>248</v>
      </c>
      <c r="D251" s="3">
        <f>SUM(Shift11!D251:L251)</f>
        <v>310054.12</v>
      </c>
      <c r="E251" s="3">
        <f>ROUND(MAX(0,(Levy!Q251+Data!D251+Data!E251-Levy!U251)*0.5),2)</f>
        <v>308058</v>
      </c>
      <c r="F251" s="3">
        <f t="shared" si="19"/>
        <v>1996.1199999999953</v>
      </c>
      <c r="G251" s="3">
        <f t="shared" si="20"/>
        <v>308058</v>
      </c>
      <c r="I251" s="3">
        <f>SUM(Shift11!M251:N251)</f>
        <v>20293.419999999998</v>
      </c>
      <c r="J251" s="3">
        <f>ROUND(MAX(0,(Levy!R251-Levy!V251)*0.5),2)</f>
        <v>20878</v>
      </c>
      <c r="K251" s="3">
        <f t="shared" si="21"/>
        <v>0</v>
      </c>
      <c r="L251" s="3">
        <f t="shared" si="22"/>
        <v>20293.419999999998</v>
      </c>
      <c r="N251" s="3">
        <f t="shared" si="23"/>
        <v>328351.42</v>
      </c>
      <c r="O251" s="2">
        <f>SUM(Levy!F251:J251)</f>
        <v>657872</v>
      </c>
      <c r="P251" s="2">
        <f>SUM(Levy!U251:V251)</f>
        <v>0</v>
      </c>
      <c r="Q251" s="2">
        <f t="shared" si="24"/>
        <v>657872</v>
      </c>
    </row>
    <row r="252" spans="1:17" x14ac:dyDescent="0.2">
      <c r="A252" s="5">
        <v>829</v>
      </c>
      <c r="B252" s="5">
        <v>1</v>
      </c>
      <c r="C252" s="2" t="s">
        <v>249</v>
      </c>
      <c r="D252" s="3">
        <f>SUM(Shift11!D252:L252)</f>
        <v>474749.88</v>
      </c>
      <c r="E252" s="3">
        <f>ROUND(MAX(0,(Levy!Q252+Data!D252+Data!E252-Levy!U252)*0.5),2)</f>
        <v>351618</v>
      </c>
      <c r="F252" s="3">
        <f t="shared" si="19"/>
        <v>123131.88</v>
      </c>
      <c r="G252" s="3">
        <f t="shared" si="20"/>
        <v>351618</v>
      </c>
      <c r="I252" s="3">
        <f>SUM(Shift11!M252:N252)</f>
        <v>83924.91</v>
      </c>
      <c r="J252" s="3">
        <f>ROUND(MAX(0,(Levy!R252-Levy!V252)*0.5),2)</f>
        <v>86342.5</v>
      </c>
      <c r="K252" s="3">
        <f t="shared" si="21"/>
        <v>0</v>
      </c>
      <c r="L252" s="3">
        <f t="shared" si="22"/>
        <v>83924.91</v>
      </c>
      <c r="N252" s="3">
        <f t="shared" si="23"/>
        <v>435542.91000000003</v>
      </c>
      <c r="O252" s="2">
        <f>SUM(Levy!F252:J252)</f>
        <v>875921</v>
      </c>
      <c r="P252" s="2">
        <f>SUM(Levy!U252:V252)</f>
        <v>0</v>
      </c>
      <c r="Q252" s="2">
        <f t="shared" si="24"/>
        <v>875921</v>
      </c>
    </row>
    <row r="253" spans="1:17" x14ac:dyDescent="0.2">
      <c r="A253" s="5">
        <v>831</v>
      </c>
      <c r="B253" s="5">
        <v>1</v>
      </c>
      <c r="C253" s="2" t="s">
        <v>250</v>
      </c>
      <c r="D253" s="3">
        <f>SUM(Shift11!D253:L253)</f>
        <v>5185956.4000000004</v>
      </c>
      <c r="E253" s="3">
        <f>ROUND(MAX(0,(Levy!Q253+Data!D253+Data!E253-Levy!U253)*0.5),2)</f>
        <v>5194088.5</v>
      </c>
      <c r="F253" s="3">
        <f t="shared" si="19"/>
        <v>0</v>
      </c>
      <c r="G253" s="3">
        <f t="shared" si="20"/>
        <v>5185956.4000000004</v>
      </c>
      <c r="I253" s="3">
        <f>SUM(Shift11!M253:N253)</f>
        <v>424524.89</v>
      </c>
      <c r="J253" s="3">
        <f>ROUND(MAX(0,(Levy!R253-Levy!V253)*0.5),2)</f>
        <v>436754</v>
      </c>
      <c r="K253" s="3">
        <f t="shared" si="21"/>
        <v>0</v>
      </c>
      <c r="L253" s="3">
        <f t="shared" si="22"/>
        <v>424524.89</v>
      </c>
      <c r="N253" s="3">
        <f t="shared" si="23"/>
        <v>5610481.29</v>
      </c>
      <c r="O253" s="2">
        <f>SUM(Levy!F253:J253)</f>
        <v>11261685</v>
      </c>
      <c r="P253" s="2">
        <f>SUM(Levy!U253:V253)</f>
        <v>0</v>
      </c>
      <c r="Q253" s="2">
        <f t="shared" si="24"/>
        <v>11261685</v>
      </c>
    </row>
    <row r="254" spans="1:17" x14ac:dyDescent="0.2">
      <c r="A254" s="5">
        <v>832</v>
      </c>
      <c r="B254" s="5">
        <v>1</v>
      </c>
      <c r="C254" s="2" t="s">
        <v>251</v>
      </c>
      <c r="D254" s="3">
        <f>SUM(Shift11!D254:L254)</f>
        <v>3141652.61</v>
      </c>
      <c r="E254" s="3">
        <f>ROUND(MAX(0,(Levy!Q254+Data!D254+Data!E254-Levy!U254)*0.5),2)</f>
        <v>3153969</v>
      </c>
      <c r="F254" s="3">
        <f t="shared" si="19"/>
        <v>0</v>
      </c>
      <c r="G254" s="3">
        <f t="shared" si="20"/>
        <v>3141652.61</v>
      </c>
      <c r="I254" s="3">
        <f>SUM(Shift11!M254:N254)</f>
        <v>129293.5</v>
      </c>
      <c r="J254" s="3">
        <f>ROUND(MAX(0,(Levy!R254-Levy!V254)*0.5),2)</f>
        <v>133018</v>
      </c>
      <c r="K254" s="3">
        <f t="shared" si="21"/>
        <v>0</v>
      </c>
      <c r="L254" s="3">
        <f t="shared" si="22"/>
        <v>129293.5</v>
      </c>
      <c r="N254" s="3">
        <f t="shared" si="23"/>
        <v>3270946.11</v>
      </c>
      <c r="O254" s="2">
        <f>SUM(Levy!F254:J254)</f>
        <v>6573974</v>
      </c>
      <c r="P254" s="2">
        <f>SUM(Levy!U254:V254)</f>
        <v>0</v>
      </c>
      <c r="Q254" s="2">
        <f t="shared" si="24"/>
        <v>6573974</v>
      </c>
    </row>
    <row r="255" spans="1:17" x14ac:dyDescent="0.2">
      <c r="A255" s="5">
        <v>833</v>
      </c>
      <c r="B255" s="5">
        <v>1</v>
      </c>
      <c r="C255" s="2" t="s">
        <v>252</v>
      </c>
      <c r="D255" s="3">
        <f>SUM(Shift11!D255:L255)</f>
        <v>13671815.43</v>
      </c>
      <c r="E255" s="3">
        <f>ROUND(MAX(0,(Levy!Q255+Data!D255+Data!E255-Levy!U255)*0.5),2)</f>
        <v>13820496</v>
      </c>
      <c r="F255" s="3">
        <f t="shared" si="19"/>
        <v>0</v>
      </c>
      <c r="G255" s="3">
        <f t="shared" si="20"/>
        <v>13671815.43</v>
      </c>
      <c r="I255" s="3">
        <f>SUM(Shift11!M255:N255)</f>
        <v>665102.66</v>
      </c>
      <c r="J255" s="3">
        <f>ROUND(MAX(0,(Levy!R255-Levy!V255)*0.5),2)</f>
        <v>684262</v>
      </c>
      <c r="K255" s="3">
        <f t="shared" si="21"/>
        <v>0</v>
      </c>
      <c r="L255" s="3">
        <f t="shared" si="22"/>
        <v>665102.66</v>
      </c>
      <c r="N255" s="3">
        <f t="shared" si="23"/>
        <v>14336918.09</v>
      </c>
      <c r="O255" s="2">
        <f>SUM(Levy!F255:J255)</f>
        <v>29009516</v>
      </c>
      <c r="P255" s="2">
        <f>SUM(Levy!U255:V255)</f>
        <v>0</v>
      </c>
      <c r="Q255" s="2">
        <f t="shared" si="24"/>
        <v>29009516</v>
      </c>
    </row>
    <row r="256" spans="1:17" x14ac:dyDescent="0.2">
      <c r="A256" s="5">
        <v>834</v>
      </c>
      <c r="B256" s="5">
        <v>1</v>
      </c>
      <c r="C256" s="2" t="s">
        <v>253</v>
      </c>
      <c r="D256" s="3">
        <f>SUM(Shift11!D256:L256)</f>
        <v>9780044.8300000001</v>
      </c>
      <c r="E256" s="3">
        <f>ROUND(MAX(0,(Levy!Q256+Data!D256+Data!E256-Levy!U256)*0.5),2)</f>
        <v>9825155.5</v>
      </c>
      <c r="F256" s="3">
        <f t="shared" si="19"/>
        <v>0</v>
      </c>
      <c r="G256" s="3">
        <f t="shared" si="20"/>
        <v>9780044.8300000001</v>
      </c>
      <c r="I256" s="3">
        <f>SUM(Shift11!M256:N256)</f>
        <v>434839.27</v>
      </c>
      <c r="J256" s="3">
        <f>ROUND(MAX(0,(Levy!R256-Levy!V256)*0.5),2)</f>
        <v>447365.5</v>
      </c>
      <c r="K256" s="3">
        <f t="shared" si="21"/>
        <v>0</v>
      </c>
      <c r="L256" s="3">
        <f t="shared" si="22"/>
        <v>434839.27</v>
      </c>
      <c r="N256" s="3">
        <f t="shared" si="23"/>
        <v>10214884.1</v>
      </c>
      <c r="O256" s="2">
        <f>SUM(Levy!F256:J256)</f>
        <v>20545042</v>
      </c>
      <c r="P256" s="2">
        <f>SUM(Levy!U256:V256)</f>
        <v>0</v>
      </c>
      <c r="Q256" s="2">
        <f t="shared" si="24"/>
        <v>20545042</v>
      </c>
    </row>
    <row r="257" spans="1:17" x14ac:dyDescent="0.2">
      <c r="A257" s="5">
        <v>836</v>
      </c>
      <c r="B257" s="5">
        <v>1</v>
      </c>
      <c r="C257" s="2" t="s">
        <v>254</v>
      </c>
      <c r="D257" s="3">
        <f>SUM(Shift11!D257:L257)</f>
        <v>188381.91999999998</v>
      </c>
      <c r="E257" s="3">
        <f>ROUND(MAX(0,(Levy!Q257+Data!D257+Data!E257-Levy!U257)*0.5),2)</f>
        <v>183837.5</v>
      </c>
      <c r="F257" s="3">
        <f t="shared" si="19"/>
        <v>4544.4199999999837</v>
      </c>
      <c r="G257" s="3">
        <f t="shared" si="20"/>
        <v>183837.5</v>
      </c>
      <c r="I257" s="3">
        <f>SUM(Shift11!M257:N257)</f>
        <v>13509.34</v>
      </c>
      <c r="J257" s="3">
        <f>ROUND(MAX(0,(Levy!R257-Levy!V257)*0.5),2)</f>
        <v>13898.5</v>
      </c>
      <c r="K257" s="3">
        <f t="shared" si="21"/>
        <v>0</v>
      </c>
      <c r="L257" s="3">
        <f t="shared" si="22"/>
        <v>13509.34</v>
      </c>
      <c r="N257" s="3">
        <f t="shared" si="23"/>
        <v>197346.84</v>
      </c>
      <c r="O257" s="2">
        <f>SUM(Levy!F257:J257)</f>
        <v>395472</v>
      </c>
      <c r="P257" s="2">
        <f>SUM(Levy!U257:V257)</f>
        <v>0</v>
      </c>
      <c r="Q257" s="2">
        <f t="shared" si="24"/>
        <v>395472</v>
      </c>
    </row>
    <row r="258" spans="1:17" x14ac:dyDescent="0.2">
      <c r="A258" s="5">
        <v>837</v>
      </c>
      <c r="B258" s="5">
        <v>1</v>
      </c>
      <c r="C258" s="2" t="s">
        <v>255</v>
      </c>
      <c r="D258" s="3">
        <f>SUM(Shift11!D258:L258)</f>
        <v>202943.67</v>
      </c>
      <c r="E258" s="3">
        <f>ROUND(MAX(0,(Levy!Q258+Data!D258+Data!E258-Levy!U258)*0.5),2)</f>
        <v>190052.5</v>
      </c>
      <c r="F258" s="3">
        <f t="shared" si="19"/>
        <v>12891.170000000013</v>
      </c>
      <c r="G258" s="3">
        <f t="shared" si="20"/>
        <v>190052.5</v>
      </c>
      <c r="I258" s="3">
        <f>SUM(Shift11!M258:N258)</f>
        <v>23138.46</v>
      </c>
      <c r="J258" s="3">
        <f>ROUND(MAX(0,(Levy!R258-Levy!V258)*0.5),2)</f>
        <v>23805</v>
      </c>
      <c r="K258" s="3">
        <f t="shared" si="21"/>
        <v>0</v>
      </c>
      <c r="L258" s="3">
        <f t="shared" si="22"/>
        <v>23138.46</v>
      </c>
      <c r="N258" s="3">
        <f t="shared" si="23"/>
        <v>213190.96</v>
      </c>
      <c r="O258" s="2">
        <f>SUM(Levy!F258:J258)</f>
        <v>427715</v>
      </c>
      <c r="P258" s="2">
        <f>SUM(Levy!U258:V258)</f>
        <v>0</v>
      </c>
      <c r="Q258" s="2">
        <f t="shared" si="24"/>
        <v>427715</v>
      </c>
    </row>
    <row r="259" spans="1:17" x14ac:dyDescent="0.2">
      <c r="A259" s="5">
        <v>840</v>
      </c>
      <c r="B259" s="5">
        <v>1</v>
      </c>
      <c r="C259" s="2" t="s">
        <v>256</v>
      </c>
      <c r="D259" s="3">
        <f>SUM(Shift11!D259:L259)</f>
        <v>555700.03999999992</v>
      </c>
      <c r="E259" s="3">
        <f>ROUND(MAX(0,(Levy!Q259+Data!D259+Data!E259-Levy!U259)*0.5),2)</f>
        <v>552094.5</v>
      </c>
      <c r="F259" s="3">
        <f t="shared" si="19"/>
        <v>3605.5399999999208</v>
      </c>
      <c r="G259" s="3">
        <f t="shared" si="20"/>
        <v>552094.5</v>
      </c>
      <c r="I259" s="3">
        <f>SUM(Shift11!M259:N259)</f>
        <v>57540.94</v>
      </c>
      <c r="J259" s="3">
        <f>ROUND(MAX(0,(Levy!R259-Levy!V259)*0.5),2)</f>
        <v>59198.5</v>
      </c>
      <c r="K259" s="3">
        <f t="shared" si="21"/>
        <v>0</v>
      </c>
      <c r="L259" s="3">
        <f t="shared" si="22"/>
        <v>57540.94</v>
      </c>
      <c r="N259" s="3">
        <f t="shared" si="23"/>
        <v>609635.43999999994</v>
      </c>
      <c r="O259" s="2">
        <f>SUM(Levy!F259:J259)</f>
        <v>1222586</v>
      </c>
      <c r="P259" s="2">
        <f>SUM(Levy!U259:V259)</f>
        <v>0</v>
      </c>
      <c r="Q259" s="2">
        <f t="shared" si="24"/>
        <v>1222586</v>
      </c>
    </row>
    <row r="260" spans="1:17" x14ac:dyDescent="0.2">
      <c r="A260" s="5">
        <v>846</v>
      </c>
      <c r="B260" s="5">
        <v>1</v>
      </c>
      <c r="C260" s="2" t="s">
        <v>257</v>
      </c>
      <c r="D260" s="3">
        <f>SUM(Shift11!D260:L260)</f>
        <v>326681.48999999993</v>
      </c>
      <c r="E260" s="3">
        <f>ROUND(MAX(0,(Levy!Q260+Data!D260+Data!E260-Levy!U260)*0.5),2)</f>
        <v>330804.01</v>
      </c>
      <c r="F260" s="3">
        <f t="shared" si="19"/>
        <v>0</v>
      </c>
      <c r="G260" s="3">
        <f t="shared" si="20"/>
        <v>326681.48999999993</v>
      </c>
      <c r="I260" s="3">
        <f>SUM(Shift11!M260:N260)</f>
        <v>38125.46</v>
      </c>
      <c r="J260" s="3">
        <f>ROUND(MAX(0,(Levy!R260-Levy!V260)*0.5),2)</f>
        <v>39223.72</v>
      </c>
      <c r="K260" s="3">
        <f t="shared" si="21"/>
        <v>0</v>
      </c>
      <c r="L260" s="3">
        <f t="shared" si="22"/>
        <v>38125.46</v>
      </c>
      <c r="N260" s="3">
        <f t="shared" si="23"/>
        <v>364806.94999999995</v>
      </c>
      <c r="O260" s="2">
        <f>SUM(Levy!F260:J260)</f>
        <v>740055.46</v>
      </c>
      <c r="P260" s="2">
        <f>SUM(Levy!U260:V260)</f>
        <v>0</v>
      </c>
      <c r="Q260" s="2">
        <f t="shared" si="24"/>
        <v>740055.46</v>
      </c>
    </row>
    <row r="261" spans="1:17" x14ac:dyDescent="0.2">
      <c r="A261" s="5">
        <v>850</v>
      </c>
      <c r="B261" s="5">
        <v>1</v>
      </c>
      <c r="C261" s="2" t="s">
        <v>258</v>
      </c>
      <c r="D261" s="3">
        <f>SUM(Shift11!D261:L261)</f>
        <v>224365.90000000002</v>
      </c>
      <c r="E261" s="3">
        <f>ROUND(MAX(0,(Levy!Q261+Data!D261+Data!E261-Levy!U261)*0.5),2)</f>
        <v>231292.61</v>
      </c>
      <c r="F261" s="3">
        <f t="shared" ref="F261:F324" si="25">IF(D261&gt;E261,D261-E261,0)</f>
        <v>0</v>
      </c>
      <c r="G261" s="3">
        <f t="shared" ref="G261:G324" si="26">MAX(0,MIN(D261,E261))</f>
        <v>224365.90000000002</v>
      </c>
      <c r="I261" s="3">
        <f>SUM(Shift11!M261:N261)</f>
        <v>9645.83</v>
      </c>
      <c r="J261" s="3">
        <f>ROUND(MAX(0,(Levy!R261-Levy!V261)*0.5),2)</f>
        <v>9923.7000000000007</v>
      </c>
      <c r="K261" s="3">
        <f t="shared" ref="K261:K324" si="27">IF(I261&gt;J261,I261-J261,0)</f>
        <v>0</v>
      </c>
      <c r="L261" s="3">
        <f t="shared" ref="L261:L324" si="28">MAX(0,MIN(I261,J261))</f>
        <v>9645.83</v>
      </c>
      <c r="N261" s="3">
        <f t="shared" si="23"/>
        <v>234011.73</v>
      </c>
      <c r="O261" s="2">
        <f>SUM(Levy!F261:J261)</f>
        <v>482432.61</v>
      </c>
      <c r="P261" s="2">
        <f>SUM(Levy!U261:V261)</f>
        <v>0</v>
      </c>
      <c r="Q261" s="2">
        <f t="shared" si="24"/>
        <v>482432.61</v>
      </c>
    </row>
    <row r="262" spans="1:17" x14ac:dyDescent="0.2">
      <c r="A262" s="5">
        <v>852</v>
      </c>
      <c r="B262" s="5">
        <v>1</v>
      </c>
      <c r="C262" s="2" t="s">
        <v>259</v>
      </c>
      <c r="D262" s="3">
        <f>SUM(Shift11!D262:L262)</f>
        <v>211047.39</v>
      </c>
      <c r="E262" s="3">
        <f>ROUND(MAX(0,(Levy!Q262+Data!D262+Data!E262-Levy!U262)*0.5),2)</f>
        <v>208099.66</v>
      </c>
      <c r="F262" s="3">
        <f t="shared" si="25"/>
        <v>2947.7300000000105</v>
      </c>
      <c r="G262" s="3">
        <f t="shared" si="26"/>
        <v>208099.66</v>
      </c>
      <c r="I262" s="3">
        <f>SUM(Shift11!M262:N262)</f>
        <v>11541.35</v>
      </c>
      <c r="J262" s="3">
        <f>ROUND(MAX(0,(Levy!R262-Levy!V262)*0.5),2)</f>
        <v>11873.82</v>
      </c>
      <c r="K262" s="3">
        <f t="shared" si="27"/>
        <v>0</v>
      </c>
      <c r="L262" s="3">
        <f t="shared" si="28"/>
        <v>11541.35</v>
      </c>
      <c r="N262" s="3">
        <f t="shared" si="23"/>
        <v>219641.01</v>
      </c>
      <c r="O262" s="2">
        <f>SUM(Levy!F262:J262)</f>
        <v>439946.95</v>
      </c>
      <c r="P262" s="2">
        <f>SUM(Levy!U262:V262)</f>
        <v>0</v>
      </c>
      <c r="Q262" s="2">
        <f t="shared" si="24"/>
        <v>439946.95</v>
      </c>
    </row>
    <row r="263" spans="1:17" x14ac:dyDescent="0.2">
      <c r="A263" s="5">
        <v>857</v>
      </c>
      <c r="B263" s="5">
        <v>1</v>
      </c>
      <c r="C263" s="2" t="s">
        <v>260</v>
      </c>
      <c r="D263" s="3">
        <f>SUM(Shift11!D263:L263)</f>
        <v>407969.25</v>
      </c>
      <c r="E263" s="3">
        <f>ROUND(MAX(0,(Levy!Q263+Data!D263+Data!E263-Levy!U263)*0.5),2)</f>
        <v>407940.5</v>
      </c>
      <c r="F263" s="3">
        <f t="shared" si="25"/>
        <v>28.75</v>
      </c>
      <c r="G263" s="3">
        <f t="shared" si="26"/>
        <v>407940.5</v>
      </c>
      <c r="I263" s="3">
        <f>SUM(Shift11!M263:N263)</f>
        <v>24057</v>
      </c>
      <c r="J263" s="3">
        <f>ROUND(MAX(0,(Levy!R263-Levy!V263)*0.5),2)</f>
        <v>24750</v>
      </c>
      <c r="K263" s="3">
        <f t="shared" si="27"/>
        <v>0</v>
      </c>
      <c r="L263" s="3">
        <f t="shared" si="28"/>
        <v>24057</v>
      </c>
      <c r="N263" s="3">
        <f t="shared" si="23"/>
        <v>431997.5</v>
      </c>
      <c r="O263" s="2">
        <f>SUM(Levy!F263:J263)</f>
        <v>865381</v>
      </c>
      <c r="P263" s="2">
        <f>SUM(Levy!U263:V263)</f>
        <v>0</v>
      </c>
      <c r="Q263" s="2">
        <f t="shared" si="24"/>
        <v>865381</v>
      </c>
    </row>
    <row r="264" spans="1:17" x14ac:dyDescent="0.2">
      <c r="A264" s="5">
        <v>858</v>
      </c>
      <c r="B264" s="5">
        <v>1</v>
      </c>
      <c r="C264" s="2" t="s">
        <v>261</v>
      </c>
      <c r="D264" s="3">
        <f>SUM(Shift11!D264:L264)</f>
        <v>160960.01</v>
      </c>
      <c r="E264" s="3">
        <f>ROUND(MAX(0,(Levy!Q264+Data!D264+Data!E264-Levy!U264)*0.5),2)</f>
        <v>152997</v>
      </c>
      <c r="F264" s="3">
        <f t="shared" si="25"/>
        <v>7963.0100000000093</v>
      </c>
      <c r="G264" s="3">
        <f t="shared" si="26"/>
        <v>152997</v>
      </c>
      <c r="I264" s="3">
        <f>SUM(Shift11!M264:N264)</f>
        <v>27716.09</v>
      </c>
      <c r="J264" s="3">
        <f>ROUND(MAX(0,(Levy!R264-Levy!V264)*0.5),2)</f>
        <v>28514.5</v>
      </c>
      <c r="K264" s="3">
        <f t="shared" si="27"/>
        <v>0</v>
      </c>
      <c r="L264" s="3">
        <f t="shared" si="28"/>
        <v>27716.09</v>
      </c>
      <c r="N264" s="3">
        <f t="shared" si="23"/>
        <v>180713.09</v>
      </c>
      <c r="O264" s="2">
        <f>SUM(Levy!F264:J264)</f>
        <v>363023</v>
      </c>
      <c r="P264" s="2">
        <f>SUM(Levy!U264:V264)</f>
        <v>0</v>
      </c>
      <c r="Q264" s="2">
        <f t="shared" si="24"/>
        <v>363023</v>
      </c>
    </row>
    <row r="265" spans="1:17" x14ac:dyDescent="0.2">
      <c r="A265" s="5">
        <v>861</v>
      </c>
      <c r="B265" s="5">
        <v>1</v>
      </c>
      <c r="C265" s="2" t="s">
        <v>262</v>
      </c>
      <c r="D265" s="3">
        <f>SUM(Shift11!D265:L265)</f>
        <v>4403320.04</v>
      </c>
      <c r="E265" s="3">
        <f>ROUND(MAX(0,(Levy!Q265+Data!D265+Data!E265-Levy!U265)*0.5),2)</f>
        <v>4465614</v>
      </c>
      <c r="F265" s="3">
        <f t="shared" si="25"/>
        <v>0</v>
      </c>
      <c r="G265" s="3">
        <f t="shared" si="26"/>
        <v>4403320.04</v>
      </c>
      <c r="I265" s="3">
        <f>SUM(Shift11!M265:N265)</f>
        <v>231938.64</v>
      </c>
      <c r="J265" s="3">
        <f>ROUND(MAX(0,(Levy!R265-Levy!V265)*0.5),2)</f>
        <v>238620</v>
      </c>
      <c r="K265" s="3">
        <f t="shared" si="27"/>
        <v>0</v>
      </c>
      <c r="L265" s="3">
        <f t="shared" si="28"/>
        <v>231938.64</v>
      </c>
      <c r="N265" s="3">
        <f t="shared" ref="N265:N328" si="29">G265+L265</f>
        <v>4635258.68</v>
      </c>
      <c r="O265" s="2">
        <f>SUM(Levy!F265:J265)</f>
        <v>9408468</v>
      </c>
      <c r="P265" s="2">
        <f>SUM(Levy!U265:V265)</f>
        <v>0</v>
      </c>
      <c r="Q265" s="2">
        <f t="shared" ref="Q265:Q328" si="30">O265-P265</f>
        <v>9408468</v>
      </c>
    </row>
    <row r="266" spans="1:17" x14ac:dyDescent="0.2">
      <c r="A266" s="5">
        <v>876</v>
      </c>
      <c r="B266" s="5">
        <v>1</v>
      </c>
      <c r="C266" s="2" t="s">
        <v>263</v>
      </c>
      <c r="D266" s="3">
        <f>SUM(Shift11!D266:L266)</f>
        <v>1209936.27</v>
      </c>
      <c r="E266" s="3">
        <f>ROUND(MAX(0,(Levy!Q266+Data!D266+Data!E266-Levy!U266)*0.5),2)</f>
        <v>1188776.49</v>
      </c>
      <c r="F266" s="3">
        <f t="shared" si="25"/>
        <v>21159.780000000028</v>
      </c>
      <c r="G266" s="3">
        <f t="shared" si="26"/>
        <v>1188776.49</v>
      </c>
      <c r="I266" s="3">
        <f>SUM(Shift11!M266:N266)</f>
        <v>79373.429999999993</v>
      </c>
      <c r="J266" s="3">
        <f>ROUND(MAX(0,(Levy!R266-Levy!V266)*0.5),2)</f>
        <v>81659.91</v>
      </c>
      <c r="K266" s="3">
        <f t="shared" si="27"/>
        <v>0</v>
      </c>
      <c r="L266" s="3">
        <f t="shared" si="28"/>
        <v>79373.429999999993</v>
      </c>
      <c r="N266" s="3">
        <f t="shared" si="29"/>
        <v>1268149.92</v>
      </c>
      <c r="O266" s="2">
        <f>SUM(Levy!F266:J266)</f>
        <v>2540872.7999999998</v>
      </c>
      <c r="P266" s="2">
        <f>SUM(Levy!U266:V266)</f>
        <v>0</v>
      </c>
      <c r="Q266" s="2">
        <f t="shared" si="30"/>
        <v>2540872.7999999998</v>
      </c>
    </row>
    <row r="267" spans="1:17" x14ac:dyDescent="0.2">
      <c r="A267" s="5">
        <v>877</v>
      </c>
      <c r="B267" s="5">
        <v>1</v>
      </c>
      <c r="C267" s="2" t="s">
        <v>264</v>
      </c>
      <c r="D267" s="3">
        <f>SUM(Shift11!D267:L267)</f>
        <v>2830529.9699999997</v>
      </c>
      <c r="E267" s="3">
        <f>ROUND(MAX(0,(Levy!Q267+Data!D267+Data!E267-Levy!U267)*0.5),2)</f>
        <v>2790315.76</v>
      </c>
      <c r="F267" s="3">
        <f t="shared" si="25"/>
        <v>40214.209999999963</v>
      </c>
      <c r="G267" s="3">
        <f t="shared" si="26"/>
        <v>2790315.76</v>
      </c>
      <c r="I267" s="3">
        <f>SUM(Shift11!M267:N267)</f>
        <v>286942.83</v>
      </c>
      <c r="J267" s="3">
        <f>ROUND(MAX(0,(Levy!R267-Levy!V267)*0.5),2)</f>
        <v>295208.67</v>
      </c>
      <c r="K267" s="3">
        <f t="shared" si="27"/>
        <v>0</v>
      </c>
      <c r="L267" s="3">
        <f t="shared" si="28"/>
        <v>286942.83</v>
      </c>
      <c r="N267" s="3">
        <f t="shared" si="29"/>
        <v>3077258.59</v>
      </c>
      <c r="O267" s="2">
        <f>SUM(Levy!F267:J267)</f>
        <v>6171048.8599999994</v>
      </c>
      <c r="P267" s="2">
        <f>SUM(Levy!U267:V267)</f>
        <v>0</v>
      </c>
      <c r="Q267" s="2">
        <f t="shared" si="30"/>
        <v>6171048.8599999994</v>
      </c>
    </row>
    <row r="268" spans="1:17" x14ac:dyDescent="0.2">
      <c r="A268" s="5">
        <v>879</v>
      </c>
      <c r="B268" s="5">
        <v>1</v>
      </c>
      <c r="C268" s="2" t="s">
        <v>265</v>
      </c>
      <c r="D268" s="3">
        <f>SUM(Shift11!D268:L268)</f>
        <v>1157886.3499999999</v>
      </c>
      <c r="E268" s="3">
        <f>ROUND(MAX(0,(Levy!Q268+Data!D268+Data!E268-Levy!U268)*0.5),2)</f>
        <v>1163143.52</v>
      </c>
      <c r="F268" s="3">
        <f t="shared" si="25"/>
        <v>0</v>
      </c>
      <c r="G268" s="3">
        <f t="shared" si="26"/>
        <v>1157886.3499999999</v>
      </c>
      <c r="I268" s="3">
        <f>SUM(Shift11!M268:N268)</f>
        <v>121621.66</v>
      </c>
      <c r="J268" s="3">
        <f>ROUND(MAX(0,(Levy!R268-Levy!V268)*0.5),2)</f>
        <v>125125.16</v>
      </c>
      <c r="K268" s="3">
        <f t="shared" si="27"/>
        <v>0</v>
      </c>
      <c r="L268" s="3">
        <f t="shared" si="28"/>
        <v>121621.66</v>
      </c>
      <c r="N268" s="3">
        <f t="shared" si="29"/>
        <v>1279508.0099999998</v>
      </c>
      <c r="O268" s="2">
        <f>SUM(Levy!F268:J268)</f>
        <v>2576537.36</v>
      </c>
      <c r="P268" s="2">
        <f>SUM(Levy!U268:V268)</f>
        <v>0</v>
      </c>
      <c r="Q268" s="2">
        <f t="shared" si="30"/>
        <v>2576537.36</v>
      </c>
    </row>
    <row r="269" spans="1:17" x14ac:dyDescent="0.2">
      <c r="A269" s="5">
        <v>881</v>
      </c>
      <c r="B269" s="5">
        <v>1</v>
      </c>
      <c r="C269" s="2" t="s">
        <v>266</v>
      </c>
      <c r="D269" s="3">
        <f>SUM(Shift11!D269:L269)</f>
        <v>516577.05999999994</v>
      </c>
      <c r="E269" s="3">
        <f>ROUND(MAX(0,(Levy!Q269+Data!D269+Data!E269-Levy!U269)*0.5),2)</f>
        <v>510321.04</v>
      </c>
      <c r="F269" s="3">
        <f t="shared" si="25"/>
        <v>6256.0199999999604</v>
      </c>
      <c r="G269" s="3">
        <f t="shared" si="26"/>
        <v>510321.04</v>
      </c>
      <c r="I269" s="3">
        <f>SUM(Shift11!M269:N269)</f>
        <v>34358.49</v>
      </c>
      <c r="J269" s="3">
        <f>ROUND(MAX(0,(Levy!R269-Levy!V269)*0.5),2)</f>
        <v>35348.239999999998</v>
      </c>
      <c r="K269" s="3">
        <f t="shared" si="27"/>
        <v>0</v>
      </c>
      <c r="L269" s="3">
        <f t="shared" si="28"/>
        <v>34358.49</v>
      </c>
      <c r="N269" s="3">
        <f t="shared" si="29"/>
        <v>544679.53</v>
      </c>
      <c r="O269" s="2">
        <f>SUM(Levy!F269:J269)</f>
        <v>1091338.55</v>
      </c>
      <c r="P269" s="2">
        <f>SUM(Levy!U269:V269)</f>
        <v>0</v>
      </c>
      <c r="Q269" s="2">
        <f t="shared" si="30"/>
        <v>1091338.55</v>
      </c>
    </row>
    <row r="270" spans="1:17" x14ac:dyDescent="0.2">
      <c r="A270" s="5">
        <v>882</v>
      </c>
      <c r="B270" s="5">
        <v>1</v>
      </c>
      <c r="C270" s="2" t="s">
        <v>267</v>
      </c>
      <c r="D270" s="3">
        <f>SUM(Shift11!D270:L270)</f>
        <v>2828949.09</v>
      </c>
      <c r="E270" s="3">
        <f>ROUND(MAX(0,(Levy!Q270+Data!D270+Data!E270-Levy!U270)*0.5),2)</f>
        <v>2788115.46</v>
      </c>
      <c r="F270" s="3">
        <f t="shared" si="25"/>
        <v>40833.629999999888</v>
      </c>
      <c r="G270" s="3">
        <f t="shared" si="26"/>
        <v>2788115.46</v>
      </c>
      <c r="I270" s="3">
        <f>SUM(Shift11!M270:N270)</f>
        <v>116316.66</v>
      </c>
      <c r="J270" s="3">
        <f>ROUND(MAX(0,(Levy!R270-Levy!V270)*0.5),2)</f>
        <v>119667.35</v>
      </c>
      <c r="K270" s="3">
        <f t="shared" si="27"/>
        <v>0</v>
      </c>
      <c r="L270" s="3">
        <f t="shared" si="28"/>
        <v>116316.66</v>
      </c>
      <c r="N270" s="3">
        <f t="shared" si="29"/>
        <v>2904432.12</v>
      </c>
      <c r="O270" s="2">
        <f>SUM(Levy!F270:J270)</f>
        <v>5815565.6200000001</v>
      </c>
      <c r="P270" s="2">
        <f>SUM(Levy!U270:V270)</f>
        <v>0</v>
      </c>
      <c r="Q270" s="2">
        <f t="shared" si="30"/>
        <v>5815565.6200000001</v>
      </c>
    </row>
    <row r="271" spans="1:17" x14ac:dyDescent="0.2">
      <c r="A271" s="5">
        <v>883</v>
      </c>
      <c r="B271" s="5">
        <v>1</v>
      </c>
      <c r="C271" s="2" t="s">
        <v>268</v>
      </c>
      <c r="D271" s="3">
        <f>SUM(Shift11!D271:L271)</f>
        <v>720082.68</v>
      </c>
      <c r="E271" s="3">
        <f>ROUND(MAX(0,(Levy!Q271+Data!D271+Data!E271-Levy!U271)*0.5),2)</f>
        <v>693125.92</v>
      </c>
      <c r="F271" s="3">
        <f t="shared" si="25"/>
        <v>26956.760000000009</v>
      </c>
      <c r="G271" s="3">
        <f t="shared" si="26"/>
        <v>693125.92</v>
      </c>
      <c r="I271" s="3">
        <f>SUM(Shift11!M271:N271)</f>
        <v>62795.09</v>
      </c>
      <c r="J271" s="3">
        <f>ROUND(MAX(0,(Levy!R271-Levy!V271)*0.5),2)</f>
        <v>64604</v>
      </c>
      <c r="K271" s="3">
        <f t="shared" si="27"/>
        <v>0</v>
      </c>
      <c r="L271" s="3">
        <f t="shared" si="28"/>
        <v>62795.09</v>
      </c>
      <c r="N271" s="3">
        <f t="shared" si="29"/>
        <v>755921.01</v>
      </c>
      <c r="O271" s="2">
        <f>SUM(Levy!F271:J271)</f>
        <v>1515459.8399999999</v>
      </c>
      <c r="P271" s="2">
        <f>SUM(Levy!U271:V271)</f>
        <v>0</v>
      </c>
      <c r="Q271" s="2">
        <f t="shared" si="30"/>
        <v>1515459.8399999999</v>
      </c>
    </row>
    <row r="272" spans="1:17" x14ac:dyDescent="0.2">
      <c r="A272" s="5">
        <v>885</v>
      </c>
      <c r="B272" s="5">
        <v>1</v>
      </c>
      <c r="C272" s="2" t="s">
        <v>269</v>
      </c>
      <c r="D272" s="3">
        <f>SUM(Shift11!D272:L272)</f>
        <v>1658816.88</v>
      </c>
      <c r="E272" s="3">
        <f>ROUND(MAX(0,(Levy!Q272+Data!D272+Data!E272-Levy!U272)*0.5),2)</f>
        <v>1673303.68</v>
      </c>
      <c r="F272" s="3">
        <f t="shared" si="25"/>
        <v>0</v>
      </c>
      <c r="G272" s="3">
        <f t="shared" si="26"/>
        <v>1658816.88</v>
      </c>
      <c r="I272" s="3">
        <f>SUM(Shift11!M272:N272)</f>
        <v>117130.8</v>
      </c>
      <c r="J272" s="3">
        <f>ROUND(MAX(0,(Levy!R272-Levy!V272)*0.5),2)</f>
        <v>120504.94</v>
      </c>
      <c r="K272" s="3">
        <f t="shared" si="27"/>
        <v>0</v>
      </c>
      <c r="L272" s="3">
        <f t="shared" si="28"/>
        <v>117130.8</v>
      </c>
      <c r="N272" s="3">
        <f t="shared" si="29"/>
        <v>1775947.68</v>
      </c>
      <c r="O272" s="2">
        <f>SUM(Levy!F272:J272)</f>
        <v>3587617.23</v>
      </c>
      <c r="P272" s="2">
        <f>SUM(Levy!U272:V272)</f>
        <v>0</v>
      </c>
      <c r="Q272" s="2">
        <f t="shared" si="30"/>
        <v>3587617.23</v>
      </c>
    </row>
    <row r="273" spans="1:17" x14ac:dyDescent="0.2">
      <c r="A273" s="5">
        <v>891</v>
      </c>
      <c r="B273" s="5">
        <v>1</v>
      </c>
      <c r="C273" s="2" t="s">
        <v>270</v>
      </c>
      <c r="D273" s="3">
        <f>SUM(Shift11!D273:L273)</f>
        <v>285173.02999999997</v>
      </c>
      <c r="E273" s="3">
        <f>ROUND(MAX(0,(Levy!Q273+Data!D273+Data!E273-Levy!U273)*0.5),2)</f>
        <v>267122.5</v>
      </c>
      <c r="F273" s="3">
        <f t="shared" si="25"/>
        <v>18050.52999999997</v>
      </c>
      <c r="G273" s="3">
        <f t="shared" si="26"/>
        <v>267122.5</v>
      </c>
      <c r="I273" s="3">
        <f>SUM(Shift11!M273:N273)</f>
        <v>25609.279999999999</v>
      </c>
      <c r="J273" s="3">
        <f>ROUND(MAX(0,(Levy!R273-Levy!V273)*0.5),2)</f>
        <v>26347</v>
      </c>
      <c r="K273" s="3">
        <f t="shared" si="27"/>
        <v>0</v>
      </c>
      <c r="L273" s="3">
        <f t="shared" si="28"/>
        <v>25609.279999999999</v>
      </c>
      <c r="N273" s="3">
        <f t="shared" si="29"/>
        <v>292731.78000000003</v>
      </c>
      <c r="O273" s="2">
        <f>SUM(Levy!F273:J273)</f>
        <v>586939</v>
      </c>
      <c r="P273" s="2">
        <f>SUM(Levy!U273:V273)</f>
        <v>0</v>
      </c>
      <c r="Q273" s="2">
        <f t="shared" si="30"/>
        <v>586939</v>
      </c>
    </row>
    <row r="274" spans="1:17" x14ac:dyDescent="0.2">
      <c r="A274" s="5">
        <v>911</v>
      </c>
      <c r="B274" s="5">
        <v>1</v>
      </c>
      <c r="C274" s="2" t="s">
        <v>271</v>
      </c>
      <c r="D274" s="3">
        <f>SUM(Shift11!D274:L274)</f>
        <v>1236490.71</v>
      </c>
      <c r="E274" s="3">
        <f>ROUND(MAX(0,(Levy!Q274+Data!D274+Data!E274-Levy!U274)*0.5),2)</f>
        <v>904724.54</v>
      </c>
      <c r="F274" s="3">
        <f t="shared" si="25"/>
        <v>331766.16999999993</v>
      </c>
      <c r="G274" s="3">
        <f t="shared" si="26"/>
        <v>904724.54</v>
      </c>
      <c r="I274" s="3">
        <f>SUM(Shift11!M274:N274)</f>
        <v>194525.13</v>
      </c>
      <c r="J274" s="3">
        <f>ROUND(MAX(0,(Levy!R274-Levy!V274)*0.5),2)</f>
        <v>200128.73</v>
      </c>
      <c r="K274" s="3">
        <f t="shared" si="27"/>
        <v>0</v>
      </c>
      <c r="L274" s="3">
        <f t="shared" si="28"/>
        <v>194525.13</v>
      </c>
      <c r="N274" s="3">
        <f t="shared" si="29"/>
        <v>1099249.67</v>
      </c>
      <c r="O274" s="2">
        <f>SUM(Levy!F274:J274)</f>
        <v>2209706.54</v>
      </c>
      <c r="P274" s="2">
        <f>SUM(Levy!U274:V274)</f>
        <v>0</v>
      </c>
      <c r="Q274" s="2">
        <f t="shared" si="30"/>
        <v>2209706.54</v>
      </c>
    </row>
    <row r="275" spans="1:17" x14ac:dyDescent="0.2">
      <c r="A275" s="5">
        <v>912</v>
      </c>
      <c r="B275" s="5">
        <v>1</v>
      </c>
      <c r="C275" s="2" t="s">
        <v>272</v>
      </c>
      <c r="D275" s="3">
        <f>SUM(Shift11!D275:L275)</f>
        <v>309616.48</v>
      </c>
      <c r="E275" s="3">
        <f>ROUND(MAX(0,(Levy!Q275+Data!D275+Data!E275-Levy!U275)*0.5),2)</f>
        <v>231283.78</v>
      </c>
      <c r="F275" s="3">
        <f t="shared" si="25"/>
        <v>78332.699999999983</v>
      </c>
      <c r="G275" s="3">
        <f t="shared" si="26"/>
        <v>231283.78</v>
      </c>
      <c r="I275" s="3">
        <f>SUM(Shift11!M275:N275)</f>
        <v>50150</v>
      </c>
      <c r="J275" s="3">
        <f>ROUND(MAX(0,(Levy!R275-Levy!V275)*0.5),2)</f>
        <v>51594.66</v>
      </c>
      <c r="K275" s="3">
        <f t="shared" si="27"/>
        <v>0</v>
      </c>
      <c r="L275" s="3">
        <f t="shared" si="28"/>
        <v>50150</v>
      </c>
      <c r="N275" s="3">
        <f t="shared" si="29"/>
        <v>281433.78000000003</v>
      </c>
      <c r="O275" s="2">
        <f>SUM(Levy!F275:J275)</f>
        <v>565756.87</v>
      </c>
      <c r="P275" s="2">
        <f>SUM(Levy!U275:V275)</f>
        <v>0</v>
      </c>
      <c r="Q275" s="2">
        <f t="shared" si="30"/>
        <v>565756.87</v>
      </c>
    </row>
    <row r="276" spans="1:17" x14ac:dyDescent="0.2">
      <c r="A276" s="5">
        <v>914</v>
      </c>
      <c r="B276" s="5">
        <v>1</v>
      </c>
      <c r="C276" s="2" t="s">
        <v>273</v>
      </c>
      <c r="D276" s="3">
        <f>SUM(Shift11!D276:L276)</f>
        <v>222758.46000000002</v>
      </c>
      <c r="E276" s="3">
        <f>ROUND(MAX(0,(Levy!Q276+Data!D276+Data!E276-Levy!U276)*0.5),2)</f>
        <v>224823.4</v>
      </c>
      <c r="F276" s="3">
        <f t="shared" si="25"/>
        <v>0</v>
      </c>
      <c r="G276" s="3">
        <f t="shared" si="26"/>
        <v>222758.46000000002</v>
      </c>
      <c r="I276" s="3">
        <f>SUM(Shift11!M276:N276)</f>
        <v>8100.09</v>
      </c>
      <c r="J276" s="3">
        <f>ROUND(MAX(0,(Levy!R276-Levy!V276)*0.5),2)</f>
        <v>8333.43</v>
      </c>
      <c r="K276" s="3">
        <f t="shared" si="27"/>
        <v>0</v>
      </c>
      <c r="L276" s="3">
        <f t="shared" si="28"/>
        <v>8100.09</v>
      </c>
      <c r="N276" s="3">
        <f t="shared" si="29"/>
        <v>230858.55000000002</v>
      </c>
      <c r="O276" s="2">
        <f>SUM(Levy!F276:J276)</f>
        <v>466313.64999999997</v>
      </c>
      <c r="P276" s="2">
        <f>SUM(Levy!U276:V276)</f>
        <v>0</v>
      </c>
      <c r="Q276" s="2">
        <f t="shared" si="30"/>
        <v>466313.64999999997</v>
      </c>
    </row>
    <row r="277" spans="1:17" x14ac:dyDescent="0.2">
      <c r="A277" s="5">
        <v>2071</v>
      </c>
      <c r="B277" s="5">
        <v>1</v>
      </c>
      <c r="C277" s="2" t="s">
        <v>274</v>
      </c>
      <c r="D277" s="3">
        <f>SUM(Shift11!D277:L277)</f>
        <v>525981.8899999999</v>
      </c>
      <c r="E277" s="3">
        <f>ROUND(MAX(0,(Levy!Q277+Data!D277+Data!E277-Levy!U277)*0.5),2)</f>
        <v>531996.66</v>
      </c>
      <c r="F277" s="3">
        <f t="shared" si="25"/>
        <v>0</v>
      </c>
      <c r="G277" s="3">
        <f t="shared" si="26"/>
        <v>525981.8899999999</v>
      </c>
      <c r="I277" s="3">
        <f>SUM(Shift11!M277:N277)</f>
        <v>39900.15</v>
      </c>
      <c r="J277" s="3">
        <f>ROUND(MAX(0,(Levy!R277-Levy!V277)*0.5),2)</f>
        <v>41049.54</v>
      </c>
      <c r="K277" s="3">
        <f t="shared" si="27"/>
        <v>0</v>
      </c>
      <c r="L277" s="3">
        <f t="shared" si="28"/>
        <v>39900.15</v>
      </c>
      <c r="N277" s="3">
        <f t="shared" si="29"/>
        <v>565882.03999999992</v>
      </c>
      <c r="O277" s="2">
        <f>SUM(Levy!F277:J277)</f>
        <v>1146092.3899999999</v>
      </c>
      <c r="P277" s="2">
        <f>SUM(Levy!U277:V277)</f>
        <v>0</v>
      </c>
      <c r="Q277" s="2">
        <f t="shared" si="30"/>
        <v>1146092.3899999999</v>
      </c>
    </row>
    <row r="278" spans="1:17" x14ac:dyDescent="0.2">
      <c r="A278" s="5">
        <v>2125</v>
      </c>
      <c r="B278" s="5">
        <v>1</v>
      </c>
      <c r="C278" s="2" t="s">
        <v>275</v>
      </c>
      <c r="D278" s="3">
        <f>SUM(Shift11!D278:L278)</f>
        <v>629974.24</v>
      </c>
      <c r="E278" s="3">
        <f>ROUND(MAX(0,(Levy!Q278+Data!D278+Data!E278-Levy!U278)*0.5),2)</f>
        <v>609255.31000000006</v>
      </c>
      <c r="F278" s="3">
        <f t="shared" si="25"/>
        <v>20718.929999999935</v>
      </c>
      <c r="G278" s="3">
        <f t="shared" si="26"/>
        <v>609255.31000000006</v>
      </c>
      <c r="I278" s="3">
        <f>SUM(Shift11!M278:N278)</f>
        <v>50155.34</v>
      </c>
      <c r="J278" s="3">
        <f>ROUND(MAX(0,(Levy!R278-Levy!V278)*0.5),2)</f>
        <v>51600.14</v>
      </c>
      <c r="K278" s="3">
        <f t="shared" si="27"/>
        <v>0</v>
      </c>
      <c r="L278" s="3">
        <f t="shared" si="28"/>
        <v>50155.34</v>
      </c>
      <c r="N278" s="3">
        <f t="shared" si="29"/>
        <v>659410.65</v>
      </c>
      <c r="O278" s="2">
        <f>SUM(Levy!F278:J278)</f>
        <v>1321710.9000000001</v>
      </c>
      <c r="P278" s="2">
        <f>SUM(Levy!U278:V278)</f>
        <v>0</v>
      </c>
      <c r="Q278" s="2">
        <f t="shared" si="30"/>
        <v>1321710.9000000001</v>
      </c>
    </row>
    <row r="279" spans="1:17" x14ac:dyDescent="0.2">
      <c r="A279" s="5">
        <v>2134</v>
      </c>
      <c r="B279" s="5">
        <v>1</v>
      </c>
      <c r="C279" s="2" t="s">
        <v>276</v>
      </c>
      <c r="D279" s="3">
        <f>SUM(Shift11!D279:L279)</f>
        <v>610048.04999999993</v>
      </c>
      <c r="E279" s="3">
        <f>ROUND(MAX(0,(Levy!Q279+Data!D279+Data!E279-Levy!U279)*0.5),2)</f>
        <v>608002.55000000005</v>
      </c>
      <c r="F279" s="3">
        <f t="shared" si="25"/>
        <v>2045.4999999998836</v>
      </c>
      <c r="G279" s="3">
        <f t="shared" si="26"/>
        <v>608002.55000000005</v>
      </c>
      <c r="I279" s="3">
        <f>SUM(Shift11!M279:N279)</f>
        <v>43980.58</v>
      </c>
      <c r="J279" s="3">
        <f>ROUND(MAX(0,(Levy!R279-Levy!V279)*0.5),2)</f>
        <v>45247.51</v>
      </c>
      <c r="K279" s="3">
        <f t="shared" si="27"/>
        <v>0</v>
      </c>
      <c r="L279" s="3">
        <f t="shared" si="28"/>
        <v>43980.58</v>
      </c>
      <c r="N279" s="3">
        <f t="shared" si="29"/>
        <v>651983.13</v>
      </c>
      <c r="O279" s="2">
        <f>SUM(Levy!F279:J279)</f>
        <v>1306500.1200000001</v>
      </c>
      <c r="P279" s="2">
        <f>SUM(Levy!U279:V279)</f>
        <v>0</v>
      </c>
      <c r="Q279" s="2">
        <f t="shared" si="30"/>
        <v>1306500.1200000001</v>
      </c>
    </row>
    <row r="280" spans="1:17" x14ac:dyDescent="0.2">
      <c r="A280" s="5">
        <v>2135</v>
      </c>
      <c r="B280" s="5">
        <v>1</v>
      </c>
      <c r="C280" s="2" t="s">
        <v>277</v>
      </c>
      <c r="D280" s="3">
        <f>SUM(Shift11!D280:L280)</f>
        <v>586818.17999999993</v>
      </c>
      <c r="E280" s="3">
        <f>ROUND(MAX(0,(Levy!Q280+Data!D280+Data!E280-Levy!U280)*0.5),2)</f>
        <v>594009.06000000006</v>
      </c>
      <c r="F280" s="3">
        <f t="shared" si="25"/>
        <v>0</v>
      </c>
      <c r="G280" s="3">
        <f t="shared" si="26"/>
        <v>586818.17999999993</v>
      </c>
      <c r="I280" s="3">
        <f>SUM(Shift11!M280:N280)</f>
        <v>41822.82</v>
      </c>
      <c r="J280" s="3">
        <f>ROUND(MAX(0,(Levy!R280-Levy!V280)*0.5),2)</f>
        <v>43027.59</v>
      </c>
      <c r="K280" s="3">
        <f t="shared" si="27"/>
        <v>0</v>
      </c>
      <c r="L280" s="3">
        <f t="shared" si="28"/>
        <v>41822.82</v>
      </c>
      <c r="N280" s="3">
        <f t="shared" si="29"/>
        <v>628640.99999999988</v>
      </c>
      <c r="O280" s="2">
        <f>SUM(Levy!F280:J280)</f>
        <v>1274073.2899999998</v>
      </c>
      <c r="P280" s="2">
        <f>SUM(Levy!U280:V280)</f>
        <v>0</v>
      </c>
      <c r="Q280" s="2">
        <f t="shared" si="30"/>
        <v>1274073.2899999998</v>
      </c>
    </row>
    <row r="281" spans="1:17" x14ac:dyDescent="0.2">
      <c r="A281" s="5">
        <v>2137</v>
      </c>
      <c r="B281" s="5">
        <v>1</v>
      </c>
      <c r="C281" s="2" t="s">
        <v>278</v>
      </c>
      <c r="D281" s="3">
        <f>SUM(Shift11!D281:L281)</f>
        <v>369697.32999999996</v>
      </c>
      <c r="E281" s="3">
        <f>ROUND(MAX(0,(Levy!Q281+Data!D281+Data!E281-Levy!U281)*0.5),2)</f>
        <v>373849.63</v>
      </c>
      <c r="F281" s="3">
        <f t="shared" si="25"/>
        <v>0</v>
      </c>
      <c r="G281" s="3">
        <f t="shared" si="26"/>
        <v>369697.32999999996</v>
      </c>
      <c r="I281" s="3">
        <f>SUM(Shift11!M281:N281)</f>
        <v>35835.050000000003</v>
      </c>
      <c r="J281" s="3">
        <f>ROUND(MAX(0,(Levy!R281-Levy!V281)*0.5),2)</f>
        <v>36867.339999999997</v>
      </c>
      <c r="K281" s="3">
        <f t="shared" si="27"/>
        <v>0</v>
      </c>
      <c r="L281" s="3">
        <f t="shared" si="28"/>
        <v>35835.050000000003</v>
      </c>
      <c r="N281" s="3">
        <f t="shared" si="29"/>
        <v>405532.37999999995</v>
      </c>
      <c r="O281" s="2">
        <f>SUM(Levy!F281:J281)</f>
        <v>821433.92</v>
      </c>
      <c r="P281" s="2">
        <f>SUM(Levy!U281:V281)</f>
        <v>0</v>
      </c>
      <c r="Q281" s="2">
        <f t="shared" si="30"/>
        <v>821433.92</v>
      </c>
    </row>
    <row r="282" spans="1:17" x14ac:dyDescent="0.2">
      <c r="A282" s="5">
        <v>2142</v>
      </c>
      <c r="B282" s="5">
        <v>1</v>
      </c>
      <c r="C282" s="2" t="s">
        <v>279</v>
      </c>
      <c r="D282" s="3">
        <f>SUM(Shift11!D282:L282)</f>
        <v>937302.84000000008</v>
      </c>
      <c r="E282" s="3">
        <f>ROUND(MAX(0,(Levy!Q282+Data!D282+Data!E282-Levy!U282)*0.5),2)</f>
        <v>827076.2</v>
      </c>
      <c r="F282" s="3">
        <f t="shared" si="25"/>
        <v>110226.64000000013</v>
      </c>
      <c r="G282" s="3">
        <f t="shared" si="26"/>
        <v>827076.2</v>
      </c>
      <c r="I282" s="3">
        <f>SUM(Shift11!M282:N282)</f>
        <v>0</v>
      </c>
      <c r="J282" s="3">
        <f>ROUND(MAX(0,(Levy!R282-Levy!V282)*0.5),2)</f>
        <v>0</v>
      </c>
      <c r="K282" s="3">
        <f t="shared" si="27"/>
        <v>0</v>
      </c>
      <c r="L282" s="3">
        <f t="shared" si="28"/>
        <v>0</v>
      </c>
      <c r="N282" s="3">
        <f t="shared" si="29"/>
        <v>827076.2</v>
      </c>
      <c r="O282" s="2">
        <f>SUM(Levy!F282:J282)</f>
        <v>1654152.3900000001</v>
      </c>
      <c r="P282" s="2">
        <f>SUM(Levy!U282:V282)</f>
        <v>0</v>
      </c>
      <c r="Q282" s="2">
        <f t="shared" si="30"/>
        <v>1654152.3900000001</v>
      </c>
    </row>
    <row r="283" spans="1:17" x14ac:dyDescent="0.2">
      <c r="A283" s="5">
        <v>2143</v>
      </c>
      <c r="B283" s="5">
        <v>1</v>
      </c>
      <c r="C283" s="2" t="s">
        <v>280</v>
      </c>
      <c r="D283" s="3">
        <f>SUM(Shift11!D283:L283)</f>
        <v>909166.38</v>
      </c>
      <c r="E283" s="3">
        <f>ROUND(MAX(0,(Levy!Q283+Data!D283+Data!E283-Levy!U283)*0.5),2)</f>
        <v>920891.52</v>
      </c>
      <c r="F283" s="3">
        <f t="shared" si="25"/>
        <v>0</v>
      </c>
      <c r="G283" s="3">
        <f t="shared" si="26"/>
        <v>909166.38</v>
      </c>
      <c r="I283" s="3">
        <f>SUM(Shift11!M283:N283)</f>
        <v>41857.22</v>
      </c>
      <c r="J283" s="3">
        <f>ROUND(MAX(0,(Levy!R283-Levy!V283)*0.5),2)</f>
        <v>43062.98</v>
      </c>
      <c r="K283" s="3">
        <f t="shared" si="27"/>
        <v>0</v>
      </c>
      <c r="L283" s="3">
        <f t="shared" si="28"/>
        <v>41857.22</v>
      </c>
      <c r="N283" s="3">
        <f t="shared" si="29"/>
        <v>951023.6</v>
      </c>
      <c r="O283" s="2">
        <f>SUM(Levy!F283:J283)</f>
        <v>1927909</v>
      </c>
      <c r="P283" s="2">
        <f>SUM(Levy!U283:V283)</f>
        <v>0</v>
      </c>
      <c r="Q283" s="2">
        <f t="shared" si="30"/>
        <v>1927909</v>
      </c>
    </row>
    <row r="284" spans="1:17" x14ac:dyDescent="0.2">
      <c r="A284" s="5">
        <v>2144</v>
      </c>
      <c r="B284" s="5">
        <v>1</v>
      </c>
      <c r="C284" s="2" t="s">
        <v>281</v>
      </c>
      <c r="D284" s="3">
        <f>SUM(Shift11!D284:L284)</f>
        <v>1732954.19</v>
      </c>
      <c r="E284" s="3">
        <f>ROUND(MAX(0,(Levy!Q284+Data!D284+Data!E284-Levy!U284)*0.5),2)</f>
        <v>1726149.06</v>
      </c>
      <c r="F284" s="3">
        <f t="shared" si="25"/>
        <v>6805.1299999998882</v>
      </c>
      <c r="G284" s="3">
        <f t="shared" si="26"/>
        <v>1726149.06</v>
      </c>
      <c r="I284" s="3">
        <f>SUM(Shift11!M284:N284)</f>
        <v>148896.17000000001</v>
      </c>
      <c r="J284" s="3">
        <f>ROUND(MAX(0,(Levy!R284-Levy!V284)*0.5),2)</f>
        <v>153185.35999999999</v>
      </c>
      <c r="K284" s="3">
        <f t="shared" si="27"/>
        <v>0</v>
      </c>
      <c r="L284" s="3">
        <f t="shared" si="28"/>
        <v>148896.17000000001</v>
      </c>
      <c r="N284" s="3">
        <f t="shared" si="29"/>
        <v>1875045.23</v>
      </c>
      <c r="O284" s="2">
        <f>SUM(Levy!F284:J284)</f>
        <v>3758668.83</v>
      </c>
      <c r="P284" s="2">
        <f>SUM(Levy!U284:V284)</f>
        <v>0</v>
      </c>
      <c r="Q284" s="2">
        <f t="shared" si="30"/>
        <v>3758668.83</v>
      </c>
    </row>
    <row r="285" spans="1:17" x14ac:dyDescent="0.2">
      <c r="A285" s="5">
        <v>2149</v>
      </c>
      <c r="B285" s="5">
        <v>1</v>
      </c>
      <c r="C285" s="2" t="s">
        <v>282</v>
      </c>
      <c r="D285" s="3">
        <f>SUM(Shift11!D285:L285)</f>
        <v>773323.08</v>
      </c>
      <c r="E285" s="3">
        <f>ROUND(MAX(0,(Levy!Q285+Data!D285+Data!E285-Levy!U285)*0.5),2)</f>
        <v>772031.5</v>
      </c>
      <c r="F285" s="3">
        <f t="shared" si="25"/>
        <v>1291.5799999999581</v>
      </c>
      <c r="G285" s="3">
        <f t="shared" si="26"/>
        <v>772031.5</v>
      </c>
      <c r="I285" s="3">
        <f>SUM(Shift11!M285:N285)</f>
        <v>69990.8</v>
      </c>
      <c r="J285" s="3">
        <f>ROUND(MAX(0,(Levy!R285-Levy!V285)*0.5),2)</f>
        <v>72007</v>
      </c>
      <c r="K285" s="3">
        <f t="shared" si="27"/>
        <v>0</v>
      </c>
      <c r="L285" s="3">
        <f t="shared" si="28"/>
        <v>69990.8</v>
      </c>
      <c r="N285" s="3">
        <f t="shared" si="29"/>
        <v>842022.3</v>
      </c>
      <c r="O285" s="2">
        <f>SUM(Levy!F285:J285)</f>
        <v>1688077</v>
      </c>
      <c r="P285" s="2">
        <f>SUM(Levy!U285:V285)</f>
        <v>0</v>
      </c>
      <c r="Q285" s="2">
        <f t="shared" si="30"/>
        <v>1688077</v>
      </c>
    </row>
    <row r="286" spans="1:17" x14ac:dyDescent="0.2">
      <c r="A286" s="5">
        <v>2154</v>
      </c>
      <c r="B286" s="5">
        <v>1</v>
      </c>
      <c r="C286" s="2" t="s">
        <v>283</v>
      </c>
      <c r="D286" s="3">
        <f>SUM(Shift11!D286:L286)</f>
        <v>301522.5</v>
      </c>
      <c r="E286" s="3">
        <f>ROUND(MAX(0,(Levy!Q286+Data!D286+Data!E286-Levy!U286)*0.5),2)</f>
        <v>182277</v>
      </c>
      <c r="F286" s="3">
        <f t="shared" si="25"/>
        <v>119245.5</v>
      </c>
      <c r="G286" s="3">
        <f t="shared" si="26"/>
        <v>182277</v>
      </c>
      <c r="I286" s="3">
        <f>SUM(Shift11!M286:N286)</f>
        <v>0</v>
      </c>
      <c r="J286" s="3">
        <f>ROUND(MAX(0,(Levy!R286-Levy!V286)*0.5),2)</f>
        <v>0</v>
      </c>
      <c r="K286" s="3">
        <f t="shared" si="27"/>
        <v>0</v>
      </c>
      <c r="L286" s="3">
        <f t="shared" si="28"/>
        <v>0</v>
      </c>
      <c r="N286" s="3">
        <f t="shared" si="29"/>
        <v>182277</v>
      </c>
      <c r="O286" s="2">
        <f>SUM(Levy!F286:J286)</f>
        <v>364554</v>
      </c>
      <c r="P286" s="2">
        <f>SUM(Levy!U286:V286)</f>
        <v>0</v>
      </c>
      <c r="Q286" s="2">
        <f t="shared" si="30"/>
        <v>364554</v>
      </c>
    </row>
    <row r="287" spans="1:17" x14ac:dyDescent="0.2">
      <c r="A287" s="5">
        <v>2155</v>
      </c>
      <c r="B287" s="5">
        <v>1</v>
      </c>
      <c r="C287" s="2" t="s">
        <v>284</v>
      </c>
      <c r="D287" s="3">
        <f>SUM(Shift11!D287:L287)</f>
        <v>478780.51999999996</v>
      </c>
      <c r="E287" s="3">
        <f>ROUND(MAX(0,(Levy!Q287+Data!D287+Data!E287-Levy!U287)*0.5),2)</f>
        <v>474245.5</v>
      </c>
      <c r="F287" s="3">
        <f t="shared" si="25"/>
        <v>4535.0199999999604</v>
      </c>
      <c r="G287" s="3">
        <f t="shared" si="26"/>
        <v>474245.5</v>
      </c>
      <c r="I287" s="3">
        <f>SUM(Shift11!M287:N287)</f>
        <v>37153.730000000003</v>
      </c>
      <c r="J287" s="3">
        <f>ROUND(MAX(0,(Levy!R287-Levy!V287)*0.5),2)</f>
        <v>38224</v>
      </c>
      <c r="K287" s="3">
        <f t="shared" si="27"/>
        <v>0</v>
      </c>
      <c r="L287" s="3">
        <f t="shared" si="28"/>
        <v>37153.730000000003</v>
      </c>
      <c r="N287" s="3">
        <f t="shared" si="29"/>
        <v>511399.23</v>
      </c>
      <c r="O287" s="2">
        <f>SUM(Levy!F287:J287)</f>
        <v>1024939</v>
      </c>
      <c r="P287" s="2">
        <f>SUM(Levy!U287:V287)</f>
        <v>0</v>
      </c>
      <c r="Q287" s="2">
        <f t="shared" si="30"/>
        <v>1024939</v>
      </c>
    </row>
    <row r="288" spans="1:17" x14ac:dyDescent="0.2">
      <c r="A288" s="5">
        <v>2159</v>
      </c>
      <c r="B288" s="5">
        <v>1</v>
      </c>
      <c r="C288" s="2" t="s">
        <v>285</v>
      </c>
      <c r="D288" s="3">
        <f>SUM(Shift11!D288:L288)</f>
        <v>392391.67</v>
      </c>
      <c r="E288" s="3">
        <f>ROUND(MAX(0,(Levy!Q288+Data!D288+Data!E288-Levy!U288)*0.5),2)</f>
        <v>379149.74</v>
      </c>
      <c r="F288" s="3">
        <f t="shared" si="25"/>
        <v>13241.929999999993</v>
      </c>
      <c r="G288" s="3">
        <f t="shared" si="26"/>
        <v>379149.74</v>
      </c>
      <c r="I288" s="3">
        <f>SUM(Shift11!M288:N288)</f>
        <v>27316.07</v>
      </c>
      <c r="J288" s="3">
        <f>ROUND(MAX(0,(Levy!R288-Levy!V288)*0.5),2)</f>
        <v>28102.959999999999</v>
      </c>
      <c r="K288" s="3">
        <f t="shared" si="27"/>
        <v>0</v>
      </c>
      <c r="L288" s="3">
        <f t="shared" si="28"/>
        <v>27316.07</v>
      </c>
      <c r="N288" s="3">
        <f t="shared" si="29"/>
        <v>406465.81</v>
      </c>
      <c r="O288" s="2">
        <f>SUM(Levy!F288:J288)</f>
        <v>814505.39</v>
      </c>
      <c r="P288" s="2">
        <f>SUM(Levy!U288:V288)</f>
        <v>0</v>
      </c>
      <c r="Q288" s="2">
        <f t="shared" si="30"/>
        <v>814505.39</v>
      </c>
    </row>
    <row r="289" spans="1:17" x14ac:dyDescent="0.2">
      <c r="A289" s="5">
        <v>2164</v>
      </c>
      <c r="B289" s="5">
        <v>1</v>
      </c>
      <c r="C289" s="2" t="s">
        <v>286</v>
      </c>
      <c r="D289" s="3">
        <f>SUM(Shift11!D289:L289)</f>
        <v>342072.96</v>
      </c>
      <c r="E289" s="3">
        <f>ROUND(MAX(0,(Levy!Q289+Data!D289+Data!E289-Levy!U289)*0.5),2)</f>
        <v>345356.34</v>
      </c>
      <c r="F289" s="3">
        <f t="shared" si="25"/>
        <v>0</v>
      </c>
      <c r="G289" s="3">
        <f t="shared" si="26"/>
        <v>342072.96</v>
      </c>
      <c r="I289" s="3">
        <f>SUM(Shift11!M289:N289)</f>
        <v>35107.68</v>
      </c>
      <c r="J289" s="3">
        <f>ROUND(MAX(0,(Levy!R289-Levy!V289)*0.5),2)</f>
        <v>36119.019999999997</v>
      </c>
      <c r="K289" s="3">
        <f t="shared" si="27"/>
        <v>0</v>
      </c>
      <c r="L289" s="3">
        <f t="shared" si="28"/>
        <v>35107.68</v>
      </c>
      <c r="N289" s="3">
        <f t="shared" si="29"/>
        <v>377180.64</v>
      </c>
      <c r="O289" s="2">
        <f>SUM(Levy!F289:J289)</f>
        <v>762950.7</v>
      </c>
      <c r="P289" s="2">
        <f>SUM(Levy!U289:V289)</f>
        <v>0</v>
      </c>
      <c r="Q289" s="2">
        <f t="shared" si="30"/>
        <v>762950.7</v>
      </c>
    </row>
    <row r="290" spans="1:17" x14ac:dyDescent="0.2">
      <c r="A290" s="5">
        <v>2165</v>
      </c>
      <c r="B290" s="5">
        <v>1</v>
      </c>
      <c r="C290" s="2" t="s">
        <v>287</v>
      </c>
      <c r="D290" s="3">
        <f>SUM(Shift11!D290:L290)</f>
        <v>352832.54000000004</v>
      </c>
      <c r="E290" s="3">
        <f>ROUND(MAX(0,(Levy!Q290+Data!D290+Data!E290-Levy!U290)*0.5),2)</f>
        <v>362330.08</v>
      </c>
      <c r="F290" s="3">
        <f t="shared" si="25"/>
        <v>0</v>
      </c>
      <c r="G290" s="3">
        <f t="shared" si="26"/>
        <v>352832.54000000004</v>
      </c>
      <c r="I290" s="3">
        <f>SUM(Shift11!M290:N290)</f>
        <v>39858.78</v>
      </c>
      <c r="J290" s="3">
        <f>ROUND(MAX(0,(Levy!R290-Levy!V290)*0.5),2)</f>
        <v>41006.980000000003</v>
      </c>
      <c r="K290" s="3">
        <f t="shared" si="27"/>
        <v>0</v>
      </c>
      <c r="L290" s="3">
        <f t="shared" si="28"/>
        <v>39858.78</v>
      </c>
      <c r="N290" s="3">
        <f t="shared" si="29"/>
        <v>392691.32000000007</v>
      </c>
      <c r="O290" s="2">
        <f>SUM(Levy!F290:J290)</f>
        <v>806674.11</v>
      </c>
      <c r="P290" s="2">
        <f>SUM(Levy!U290:V290)</f>
        <v>0</v>
      </c>
      <c r="Q290" s="2">
        <f t="shared" si="30"/>
        <v>806674.11</v>
      </c>
    </row>
    <row r="291" spans="1:17" x14ac:dyDescent="0.2">
      <c r="A291" s="5">
        <v>2167</v>
      </c>
      <c r="B291" s="5">
        <v>1</v>
      </c>
      <c r="C291" s="2" t="s">
        <v>288</v>
      </c>
      <c r="D291" s="3">
        <f>SUM(Shift11!D291:L291)</f>
        <v>279204.05999999994</v>
      </c>
      <c r="E291" s="3">
        <f>ROUND(MAX(0,(Levy!Q291+Data!D291+Data!E291-Levy!U291)*0.5),2)</f>
        <v>283754.5</v>
      </c>
      <c r="F291" s="3">
        <f t="shared" si="25"/>
        <v>0</v>
      </c>
      <c r="G291" s="3">
        <f t="shared" si="26"/>
        <v>279204.05999999994</v>
      </c>
      <c r="I291" s="3">
        <f>SUM(Shift11!M291:N291)</f>
        <v>16133.26</v>
      </c>
      <c r="J291" s="3">
        <f>ROUND(MAX(0,(Levy!R291-Levy!V291)*0.5),2)</f>
        <v>16598</v>
      </c>
      <c r="K291" s="3">
        <f t="shared" si="27"/>
        <v>0</v>
      </c>
      <c r="L291" s="3">
        <f t="shared" si="28"/>
        <v>16133.26</v>
      </c>
      <c r="N291" s="3">
        <f t="shared" si="29"/>
        <v>295337.31999999995</v>
      </c>
      <c r="O291" s="2">
        <f>SUM(Levy!F291:J291)</f>
        <v>600705</v>
      </c>
      <c r="P291" s="2">
        <f>SUM(Levy!U291:V291)</f>
        <v>0</v>
      </c>
      <c r="Q291" s="2">
        <f t="shared" si="30"/>
        <v>600705</v>
      </c>
    </row>
    <row r="292" spans="1:17" x14ac:dyDescent="0.2">
      <c r="A292" s="5">
        <v>2168</v>
      </c>
      <c r="B292" s="5">
        <v>1</v>
      </c>
      <c r="C292" s="2" t="s">
        <v>289</v>
      </c>
      <c r="D292" s="3">
        <f>SUM(Shift11!D292:L292)</f>
        <v>322657.61</v>
      </c>
      <c r="E292" s="3">
        <f>ROUND(MAX(0,(Levy!Q292+Data!D292+Data!E292-Levy!U292)*0.5),2)</f>
        <v>314888.28000000003</v>
      </c>
      <c r="F292" s="3">
        <f t="shared" si="25"/>
        <v>7769.3299999999581</v>
      </c>
      <c r="G292" s="3">
        <f t="shared" si="26"/>
        <v>314888.28000000003</v>
      </c>
      <c r="I292" s="3">
        <f>SUM(Shift11!M292:N292)</f>
        <v>36126.85</v>
      </c>
      <c r="J292" s="3">
        <f>ROUND(MAX(0,(Levy!R292-Levy!V292)*0.5),2)</f>
        <v>37167.550000000003</v>
      </c>
      <c r="K292" s="3">
        <f t="shared" si="27"/>
        <v>0</v>
      </c>
      <c r="L292" s="3">
        <f t="shared" si="28"/>
        <v>36126.85</v>
      </c>
      <c r="N292" s="3">
        <f t="shared" si="29"/>
        <v>351015.13</v>
      </c>
      <c r="O292" s="2">
        <f>SUM(Levy!F292:J292)</f>
        <v>704111.65</v>
      </c>
      <c r="P292" s="2">
        <f>SUM(Levy!U292:V292)</f>
        <v>0</v>
      </c>
      <c r="Q292" s="2">
        <f t="shared" si="30"/>
        <v>704111.65</v>
      </c>
    </row>
    <row r="293" spans="1:17" x14ac:dyDescent="0.2">
      <c r="A293" s="5">
        <v>2169</v>
      </c>
      <c r="B293" s="5">
        <v>1</v>
      </c>
      <c r="C293" s="2" t="s">
        <v>290</v>
      </c>
      <c r="D293" s="3">
        <f>SUM(Shift11!D293:L293)</f>
        <v>586577.63</v>
      </c>
      <c r="E293" s="3">
        <f>ROUND(MAX(0,(Levy!Q293+Data!D293+Data!E293-Levy!U293)*0.5),2)</f>
        <v>577053</v>
      </c>
      <c r="F293" s="3">
        <f t="shared" si="25"/>
        <v>9524.6300000000047</v>
      </c>
      <c r="G293" s="3">
        <f t="shared" si="26"/>
        <v>577053</v>
      </c>
      <c r="I293" s="3">
        <f>SUM(Shift11!M293:N293)</f>
        <v>35673.86</v>
      </c>
      <c r="J293" s="3">
        <f>ROUND(MAX(0,(Levy!R293-Levy!V293)*0.5),2)</f>
        <v>36701.5</v>
      </c>
      <c r="K293" s="3">
        <f t="shared" si="27"/>
        <v>0</v>
      </c>
      <c r="L293" s="3">
        <f t="shared" si="28"/>
        <v>35673.86</v>
      </c>
      <c r="N293" s="3">
        <f t="shared" si="29"/>
        <v>612726.86</v>
      </c>
      <c r="O293" s="2">
        <f>SUM(Levy!F293:J293)</f>
        <v>1227509</v>
      </c>
      <c r="P293" s="2">
        <f>SUM(Levy!U293:V293)</f>
        <v>0</v>
      </c>
      <c r="Q293" s="2">
        <f t="shared" si="30"/>
        <v>1227509</v>
      </c>
    </row>
    <row r="294" spans="1:17" x14ac:dyDescent="0.2">
      <c r="A294" s="5">
        <v>2170</v>
      </c>
      <c r="B294" s="5">
        <v>1</v>
      </c>
      <c r="C294" s="2" t="s">
        <v>291</v>
      </c>
      <c r="D294" s="3">
        <f>SUM(Shift11!D294:L294)</f>
        <v>584957.19999999995</v>
      </c>
      <c r="E294" s="3">
        <f>ROUND(MAX(0,(Levy!Q294+Data!D294+Data!E294-Levy!U294)*0.5),2)</f>
        <v>571800.81999999995</v>
      </c>
      <c r="F294" s="3">
        <f t="shared" si="25"/>
        <v>13156.380000000005</v>
      </c>
      <c r="G294" s="3">
        <f t="shared" si="26"/>
        <v>571800.81999999995</v>
      </c>
      <c r="I294" s="3">
        <f>SUM(Shift11!M294:N294)</f>
        <v>53672.53</v>
      </c>
      <c r="J294" s="3">
        <f>ROUND(MAX(0,(Levy!R294-Levy!V294)*0.5),2)</f>
        <v>55218.66</v>
      </c>
      <c r="K294" s="3">
        <f t="shared" si="27"/>
        <v>0</v>
      </c>
      <c r="L294" s="3">
        <f t="shared" si="28"/>
        <v>53672.53</v>
      </c>
      <c r="N294" s="3">
        <f t="shared" si="29"/>
        <v>625473.35</v>
      </c>
      <c r="O294" s="2">
        <f>SUM(Levy!F294:J294)</f>
        <v>1254038.94</v>
      </c>
      <c r="P294" s="2">
        <f>SUM(Levy!U294:V294)</f>
        <v>0</v>
      </c>
      <c r="Q294" s="2">
        <f t="shared" si="30"/>
        <v>1254038.94</v>
      </c>
    </row>
    <row r="295" spans="1:17" x14ac:dyDescent="0.2">
      <c r="A295" s="5">
        <v>2171</v>
      </c>
      <c r="B295" s="5">
        <v>1</v>
      </c>
      <c r="C295" s="2" t="s">
        <v>292</v>
      </c>
      <c r="D295" s="3">
        <f>SUM(Shift11!D295:L295)</f>
        <v>399722.18</v>
      </c>
      <c r="E295" s="3">
        <f>ROUND(MAX(0,(Levy!Q295+Data!D295+Data!E295-Levy!U295)*0.5),2)</f>
        <v>288017.84000000003</v>
      </c>
      <c r="F295" s="3">
        <f t="shared" si="25"/>
        <v>111704.33999999997</v>
      </c>
      <c r="G295" s="3">
        <f t="shared" si="26"/>
        <v>288017.84000000003</v>
      </c>
      <c r="I295" s="3">
        <f>SUM(Shift11!M295:N295)</f>
        <v>15428.13</v>
      </c>
      <c r="J295" s="3">
        <f>ROUND(MAX(0,(Levy!R295-Levy!V295)*0.5),2)</f>
        <v>15872.56</v>
      </c>
      <c r="K295" s="3">
        <f t="shared" si="27"/>
        <v>0</v>
      </c>
      <c r="L295" s="3">
        <f t="shared" si="28"/>
        <v>15428.13</v>
      </c>
      <c r="N295" s="3">
        <f t="shared" si="29"/>
        <v>303445.97000000003</v>
      </c>
      <c r="O295" s="2">
        <f>SUM(Levy!F295:J295)</f>
        <v>607780.79999999993</v>
      </c>
      <c r="P295" s="2">
        <f>SUM(Levy!U295:V295)</f>
        <v>0</v>
      </c>
      <c r="Q295" s="2">
        <f t="shared" si="30"/>
        <v>607780.79999999993</v>
      </c>
    </row>
    <row r="296" spans="1:17" x14ac:dyDescent="0.2">
      <c r="A296" s="5">
        <v>2172</v>
      </c>
      <c r="B296" s="5">
        <v>1</v>
      </c>
      <c r="C296" s="2" t="s">
        <v>293</v>
      </c>
      <c r="D296" s="3">
        <f>SUM(Shift11!D296:L296)</f>
        <v>532207.49</v>
      </c>
      <c r="E296" s="3">
        <f>ROUND(MAX(0,(Levy!Q296+Data!D296+Data!E296-Levy!U296)*0.5),2)</f>
        <v>514429</v>
      </c>
      <c r="F296" s="3">
        <f t="shared" si="25"/>
        <v>17778.489999999991</v>
      </c>
      <c r="G296" s="3">
        <f t="shared" si="26"/>
        <v>514429</v>
      </c>
      <c r="I296" s="3">
        <f>SUM(Shift11!M296:N296)</f>
        <v>55661.09</v>
      </c>
      <c r="J296" s="3">
        <f>ROUND(MAX(0,(Levy!R296-Levy!V296)*0.5),2)</f>
        <v>57264.5</v>
      </c>
      <c r="K296" s="3">
        <f t="shared" si="27"/>
        <v>0</v>
      </c>
      <c r="L296" s="3">
        <f t="shared" si="28"/>
        <v>55661.09</v>
      </c>
      <c r="N296" s="3">
        <f t="shared" si="29"/>
        <v>570090.09</v>
      </c>
      <c r="O296" s="2">
        <f>SUM(Levy!F296:J296)</f>
        <v>1143387</v>
      </c>
      <c r="P296" s="2">
        <f>SUM(Levy!U296:V296)</f>
        <v>0</v>
      </c>
      <c r="Q296" s="2">
        <f t="shared" si="30"/>
        <v>1143387</v>
      </c>
    </row>
    <row r="297" spans="1:17" x14ac:dyDescent="0.2">
      <c r="A297" s="5">
        <v>2174</v>
      </c>
      <c r="B297" s="5">
        <v>1</v>
      </c>
      <c r="C297" s="2" t="s">
        <v>294</v>
      </c>
      <c r="D297" s="3">
        <f>SUM(Shift11!D297:L297)</f>
        <v>201377.06</v>
      </c>
      <c r="E297" s="3">
        <f>ROUND(MAX(0,(Levy!Q297+Data!D297+Data!E297-Levy!U297)*0.5),2)</f>
        <v>194952.93</v>
      </c>
      <c r="F297" s="3">
        <f t="shared" si="25"/>
        <v>6424.1300000000047</v>
      </c>
      <c r="G297" s="3">
        <f t="shared" si="26"/>
        <v>194952.93</v>
      </c>
      <c r="I297" s="3">
        <f>SUM(Shift11!M297:N297)</f>
        <v>53058.559999999998</v>
      </c>
      <c r="J297" s="3">
        <f>ROUND(MAX(0,(Levy!R297-Levy!V297)*0.5),2)</f>
        <v>54587</v>
      </c>
      <c r="K297" s="3">
        <f t="shared" si="27"/>
        <v>0</v>
      </c>
      <c r="L297" s="3">
        <f t="shared" si="28"/>
        <v>53058.559999999998</v>
      </c>
      <c r="N297" s="3">
        <f t="shared" si="29"/>
        <v>248011.49</v>
      </c>
      <c r="O297" s="2">
        <f>SUM(Levy!F297:J297)</f>
        <v>499079.85</v>
      </c>
      <c r="P297" s="2">
        <f>SUM(Levy!U297:V297)</f>
        <v>0</v>
      </c>
      <c r="Q297" s="2">
        <f t="shared" si="30"/>
        <v>499079.85</v>
      </c>
    </row>
    <row r="298" spans="1:17" x14ac:dyDescent="0.2">
      <c r="A298" s="5">
        <v>2176</v>
      </c>
      <c r="B298" s="5">
        <v>1</v>
      </c>
      <c r="C298" s="2" t="s">
        <v>295</v>
      </c>
      <c r="D298" s="3">
        <f>SUM(Shift11!D298:L298)</f>
        <v>396515.7</v>
      </c>
      <c r="E298" s="3">
        <f>ROUND(MAX(0,(Levy!Q298+Data!D298+Data!E298-Levy!U298)*0.5),2)</f>
        <v>388554</v>
      </c>
      <c r="F298" s="3">
        <f t="shared" si="25"/>
        <v>7961.7000000000116</v>
      </c>
      <c r="G298" s="3">
        <f t="shared" si="26"/>
        <v>388554</v>
      </c>
      <c r="I298" s="3">
        <f>SUM(Shift11!M298:N298)</f>
        <v>25942.68</v>
      </c>
      <c r="J298" s="3">
        <f>ROUND(MAX(0,(Levy!R298-Levy!V298)*0.5),2)</f>
        <v>26690</v>
      </c>
      <c r="K298" s="3">
        <f t="shared" si="27"/>
        <v>0</v>
      </c>
      <c r="L298" s="3">
        <f t="shared" si="28"/>
        <v>25942.68</v>
      </c>
      <c r="N298" s="3">
        <f t="shared" si="29"/>
        <v>414496.68</v>
      </c>
      <c r="O298" s="2">
        <f>SUM(Levy!F298:J298)</f>
        <v>830488</v>
      </c>
      <c r="P298" s="2">
        <f>SUM(Levy!U298:V298)</f>
        <v>0</v>
      </c>
      <c r="Q298" s="2">
        <f t="shared" si="30"/>
        <v>830488</v>
      </c>
    </row>
    <row r="299" spans="1:17" x14ac:dyDescent="0.2">
      <c r="A299" s="5">
        <v>2180</v>
      </c>
      <c r="B299" s="5">
        <v>1</v>
      </c>
      <c r="C299" s="2" t="s">
        <v>296</v>
      </c>
      <c r="D299" s="3">
        <f>SUM(Shift11!D299:L299)</f>
        <v>677112.56</v>
      </c>
      <c r="E299" s="3">
        <f>ROUND(MAX(0,(Levy!Q299+Data!D299+Data!E299-Levy!U299)*0.5),2)</f>
        <v>690272.19</v>
      </c>
      <c r="F299" s="3">
        <f t="shared" si="25"/>
        <v>0</v>
      </c>
      <c r="G299" s="3">
        <f t="shared" si="26"/>
        <v>677112.56</v>
      </c>
      <c r="I299" s="3">
        <f>SUM(Shift11!M299:N299)</f>
        <v>30751.51</v>
      </c>
      <c r="J299" s="3">
        <f>ROUND(MAX(0,(Levy!R299-Levy!V299)*0.5),2)</f>
        <v>31637.360000000001</v>
      </c>
      <c r="K299" s="3">
        <f t="shared" si="27"/>
        <v>0</v>
      </c>
      <c r="L299" s="3">
        <f t="shared" si="28"/>
        <v>30751.51</v>
      </c>
      <c r="N299" s="3">
        <f t="shared" si="29"/>
        <v>707864.07000000007</v>
      </c>
      <c r="O299" s="2">
        <f>SUM(Levy!F299:J299)</f>
        <v>1443819.09</v>
      </c>
      <c r="P299" s="2">
        <f>SUM(Levy!U299:V299)</f>
        <v>0</v>
      </c>
      <c r="Q299" s="2">
        <f t="shared" si="30"/>
        <v>1443819.09</v>
      </c>
    </row>
    <row r="300" spans="1:17" x14ac:dyDescent="0.2">
      <c r="A300" s="5">
        <v>2184</v>
      </c>
      <c r="B300" s="5">
        <v>1</v>
      </c>
      <c r="C300" s="2" t="s">
        <v>297</v>
      </c>
      <c r="D300" s="3">
        <f>SUM(Shift11!D300:L300)</f>
        <v>701749.28000000014</v>
      </c>
      <c r="E300" s="3">
        <f>ROUND(MAX(0,(Levy!Q300+Data!D300+Data!E300-Levy!U300)*0.5),2)</f>
        <v>707088.24</v>
      </c>
      <c r="F300" s="3">
        <f t="shared" si="25"/>
        <v>0</v>
      </c>
      <c r="G300" s="3">
        <f t="shared" si="26"/>
        <v>701749.28000000014</v>
      </c>
      <c r="I300" s="3">
        <f>SUM(Shift11!M300:N300)</f>
        <v>40475.49</v>
      </c>
      <c r="J300" s="3">
        <f>ROUND(MAX(0,(Levy!R300-Levy!V300)*0.5),2)</f>
        <v>41641.46</v>
      </c>
      <c r="K300" s="3">
        <f t="shared" si="27"/>
        <v>0</v>
      </c>
      <c r="L300" s="3">
        <f t="shared" si="28"/>
        <v>40475.49</v>
      </c>
      <c r="N300" s="3">
        <f t="shared" si="29"/>
        <v>742224.77000000014</v>
      </c>
      <c r="O300" s="2">
        <f>SUM(Levy!F300:J300)</f>
        <v>1497459.39</v>
      </c>
      <c r="P300" s="2">
        <f>SUM(Levy!U300:V300)</f>
        <v>0</v>
      </c>
      <c r="Q300" s="2">
        <f t="shared" si="30"/>
        <v>1497459.39</v>
      </c>
    </row>
    <row r="301" spans="1:17" x14ac:dyDescent="0.2">
      <c r="A301" s="5">
        <v>2190</v>
      </c>
      <c r="B301" s="5">
        <v>1</v>
      </c>
      <c r="C301" s="2" t="s">
        <v>298</v>
      </c>
      <c r="D301" s="3">
        <f>SUM(Shift11!D301:L301)</f>
        <v>554342.88</v>
      </c>
      <c r="E301" s="3">
        <f>ROUND(MAX(0,(Levy!Q301+Data!D301+Data!E301-Levy!U301)*0.5),2)</f>
        <v>516862.5</v>
      </c>
      <c r="F301" s="3">
        <f t="shared" si="25"/>
        <v>37480.380000000005</v>
      </c>
      <c r="G301" s="3">
        <f t="shared" si="26"/>
        <v>516862.5</v>
      </c>
      <c r="I301" s="3">
        <f>SUM(Shift11!M301:N301)</f>
        <v>81976.539999999994</v>
      </c>
      <c r="J301" s="3">
        <f>ROUND(MAX(0,(Levy!R301-Levy!V301)*0.5),2)</f>
        <v>84338</v>
      </c>
      <c r="K301" s="3">
        <f t="shared" si="27"/>
        <v>0</v>
      </c>
      <c r="L301" s="3">
        <f t="shared" si="28"/>
        <v>81976.539999999994</v>
      </c>
      <c r="N301" s="3">
        <f t="shared" si="29"/>
        <v>598839.04000000004</v>
      </c>
      <c r="O301" s="2">
        <f>SUM(Levy!F301:J301)</f>
        <v>1202401</v>
      </c>
      <c r="P301" s="2">
        <f>SUM(Levy!U301:V301)</f>
        <v>0</v>
      </c>
      <c r="Q301" s="2">
        <f t="shared" si="30"/>
        <v>1202401</v>
      </c>
    </row>
    <row r="302" spans="1:17" x14ac:dyDescent="0.2">
      <c r="A302" s="5">
        <v>2198</v>
      </c>
      <c r="B302" s="5">
        <v>1</v>
      </c>
      <c r="C302" s="2" t="s">
        <v>299</v>
      </c>
      <c r="D302" s="3">
        <f>SUM(Shift11!D302:L302)</f>
        <v>410667.05000000005</v>
      </c>
      <c r="E302" s="3">
        <f>ROUND(MAX(0,(Levy!Q302+Data!D302+Data!E302-Levy!U302)*0.5),2)</f>
        <v>417937.42</v>
      </c>
      <c r="F302" s="3">
        <f t="shared" si="25"/>
        <v>0</v>
      </c>
      <c r="G302" s="3">
        <f t="shared" si="26"/>
        <v>410667.05000000005</v>
      </c>
      <c r="I302" s="3">
        <f>SUM(Shift11!M302:N302)</f>
        <v>35233.949999999997</v>
      </c>
      <c r="J302" s="3">
        <f>ROUND(MAX(0,(Levy!R302-Levy!V302)*0.5),2)</f>
        <v>36248.92</v>
      </c>
      <c r="K302" s="3">
        <f t="shared" si="27"/>
        <v>0</v>
      </c>
      <c r="L302" s="3">
        <f t="shared" si="28"/>
        <v>35233.949999999997</v>
      </c>
      <c r="N302" s="3">
        <f t="shared" si="29"/>
        <v>445901.00000000006</v>
      </c>
      <c r="O302" s="2">
        <f>SUM(Levy!F302:J302)</f>
        <v>908372.66999999993</v>
      </c>
      <c r="P302" s="2">
        <f>SUM(Levy!U302:V302)</f>
        <v>0</v>
      </c>
      <c r="Q302" s="2">
        <f t="shared" si="30"/>
        <v>908372.66999999993</v>
      </c>
    </row>
    <row r="303" spans="1:17" x14ac:dyDescent="0.2">
      <c r="A303" s="5">
        <v>2215</v>
      </c>
      <c r="B303" s="5">
        <v>1</v>
      </c>
      <c r="C303" s="2" t="s">
        <v>300</v>
      </c>
      <c r="D303" s="3">
        <f>SUM(Shift11!D303:L303)</f>
        <v>205562.18</v>
      </c>
      <c r="E303" s="3">
        <f>ROUND(MAX(0,(Levy!Q303+Data!D303+Data!E303-Levy!U303)*0.5),2)</f>
        <v>203437.28</v>
      </c>
      <c r="F303" s="3">
        <f t="shared" si="25"/>
        <v>2124.8999999999942</v>
      </c>
      <c r="G303" s="3">
        <f t="shared" si="26"/>
        <v>203437.28</v>
      </c>
      <c r="I303" s="3">
        <f>SUM(Shift11!M303:N303)</f>
        <v>10544.43</v>
      </c>
      <c r="J303" s="3">
        <f>ROUND(MAX(0,(Levy!R303-Levy!V303)*0.5),2)</f>
        <v>10848.18</v>
      </c>
      <c r="K303" s="3">
        <f t="shared" si="27"/>
        <v>0</v>
      </c>
      <c r="L303" s="3">
        <f t="shared" si="28"/>
        <v>10544.43</v>
      </c>
      <c r="N303" s="3">
        <f t="shared" si="29"/>
        <v>213981.71</v>
      </c>
      <c r="O303" s="2">
        <f>SUM(Levy!F303:J303)</f>
        <v>428570.92</v>
      </c>
      <c r="P303" s="2">
        <f>SUM(Levy!U303:V303)</f>
        <v>0</v>
      </c>
      <c r="Q303" s="2">
        <f t="shared" si="30"/>
        <v>428570.92</v>
      </c>
    </row>
    <row r="304" spans="1:17" x14ac:dyDescent="0.2">
      <c r="A304" s="5">
        <v>2310</v>
      </c>
      <c r="B304" s="5">
        <v>1</v>
      </c>
      <c r="C304" s="2" t="s">
        <v>301</v>
      </c>
      <c r="D304" s="3">
        <f>SUM(Shift11!D304:L304)</f>
        <v>599992.82999999996</v>
      </c>
      <c r="E304" s="3">
        <f>ROUND(MAX(0,(Levy!Q304+Data!D304+Data!E304-Levy!U304)*0.5),2)</f>
        <v>603959.06999999995</v>
      </c>
      <c r="F304" s="3">
        <f t="shared" si="25"/>
        <v>0</v>
      </c>
      <c r="G304" s="3">
        <f t="shared" si="26"/>
        <v>599992.82999999996</v>
      </c>
      <c r="I304" s="3">
        <f>SUM(Shift11!M304:N304)</f>
        <v>46812.7</v>
      </c>
      <c r="J304" s="3">
        <f>ROUND(MAX(0,(Levy!R304-Levy!V304)*0.5),2)</f>
        <v>48161.21</v>
      </c>
      <c r="K304" s="3">
        <f t="shared" si="27"/>
        <v>0</v>
      </c>
      <c r="L304" s="3">
        <f t="shared" si="28"/>
        <v>46812.7</v>
      </c>
      <c r="N304" s="3">
        <f t="shared" si="29"/>
        <v>646805.52999999991</v>
      </c>
      <c r="O304" s="2">
        <f>SUM(Levy!F304:J304)</f>
        <v>1304240.5499999998</v>
      </c>
      <c r="P304" s="2">
        <f>SUM(Levy!U304:V304)</f>
        <v>0</v>
      </c>
      <c r="Q304" s="2">
        <f t="shared" si="30"/>
        <v>1304240.5499999998</v>
      </c>
    </row>
    <row r="305" spans="1:17" x14ac:dyDescent="0.2">
      <c r="A305" s="5">
        <v>2311</v>
      </c>
      <c r="B305" s="5">
        <v>1</v>
      </c>
      <c r="C305" s="2" t="s">
        <v>302</v>
      </c>
      <c r="D305" s="3">
        <f>SUM(Shift11!D305:L305)</f>
        <v>200196.94</v>
      </c>
      <c r="E305" s="3">
        <f>ROUND(MAX(0,(Levy!Q305+Data!D305+Data!E305-Levy!U305)*0.5),2)</f>
        <v>192635</v>
      </c>
      <c r="F305" s="3">
        <f t="shared" si="25"/>
        <v>7561.9400000000023</v>
      </c>
      <c r="G305" s="3">
        <f t="shared" si="26"/>
        <v>192635</v>
      </c>
      <c r="I305" s="3">
        <f>SUM(Shift11!M305:N305)</f>
        <v>19735</v>
      </c>
      <c r="J305" s="3">
        <f>ROUND(MAX(0,(Levy!R305-Levy!V305)*0.5),2)</f>
        <v>20303.5</v>
      </c>
      <c r="K305" s="3">
        <f t="shared" si="27"/>
        <v>0</v>
      </c>
      <c r="L305" s="3">
        <f t="shared" si="28"/>
        <v>19735</v>
      </c>
      <c r="N305" s="3">
        <f t="shared" si="29"/>
        <v>212370</v>
      </c>
      <c r="O305" s="2">
        <f>SUM(Levy!F305:J305)</f>
        <v>425877</v>
      </c>
      <c r="P305" s="2">
        <f>SUM(Levy!U305:V305)</f>
        <v>0</v>
      </c>
      <c r="Q305" s="2">
        <f t="shared" si="30"/>
        <v>425877</v>
      </c>
    </row>
    <row r="306" spans="1:17" x14ac:dyDescent="0.2">
      <c r="A306" s="5">
        <v>2342</v>
      </c>
      <c r="B306" s="5">
        <v>1</v>
      </c>
      <c r="C306" s="2" t="s">
        <v>303</v>
      </c>
      <c r="D306" s="3">
        <f>SUM(Shift11!D306:L306)</f>
        <v>678570.62</v>
      </c>
      <c r="E306" s="3">
        <f>ROUND(MAX(0,(Levy!Q306+Data!D306+Data!E306-Levy!U306)*0.5),2)</f>
        <v>686271</v>
      </c>
      <c r="F306" s="3">
        <f t="shared" si="25"/>
        <v>0</v>
      </c>
      <c r="G306" s="3">
        <f t="shared" si="26"/>
        <v>678570.62</v>
      </c>
      <c r="I306" s="3">
        <f>SUM(Shift11!M306:N306)</f>
        <v>37199.410000000003</v>
      </c>
      <c r="J306" s="3">
        <f>ROUND(MAX(0,(Levy!R306-Levy!V306)*0.5),2)</f>
        <v>38271</v>
      </c>
      <c r="K306" s="3">
        <f t="shared" si="27"/>
        <v>0</v>
      </c>
      <c r="L306" s="3">
        <f t="shared" si="28"/>
        <v>37199.410000000003</v>
      </c>
      <c r="N306" s="3">
        <f t="shared" si="29"/>
        <v>715770.03</v>
      </c>
      <c r="O306" s="2">
        <f>SUM(Levy!F306:J306)</f>
        <v>1449084</v>
      </c>
      <c r="P306" s="2">
        <f>SUM(Levy!U306:V306)</f>
        <v>0</v>
      </c>
      <c r="Q306" s="2">
        <f t="shared" si="30"/>
        <v>1449084</v>
      </c>
    </row>
    <row r="307" spans="1:17" x14ac:dyDescent="0.2">
      <c r="A307" s="5">
        <v>2358</v>
      </c>
      <c r="B307" s="5">
        <v>1</v>
      </c>
      <c r="C307" s="2" t="s">
        <v>304</v>
      </c>
      <c r="D307" s="3">
        <f>SUM(Shift11!D307:L307)</f>
        <v>116308.90000000001</v>
      </c>
      <c r="E307" s="3">
        <f>ROUND(MAX(0,(Levy!Q307+Data!D307+Data!E307-Levy!U307)*0.5),2)</f>
        <v>113402.92</v>
      </c>
      <c r="F307" s="3">
        <f t="shared" si="25"/>
        <v>2905.9800000000105</v>
      </c>
      <c r="G307" s="3">
        <f t="shared" si="26"/>
        <v>113402.92</v>
      </c>
      <c r="I307" s="3">
        <f>SUM(Shift11!M307:N307)</f>
        <v>9610.7000000000007</v>
      </c>
      <c r="J307" s="3">
        <f>ROUND(MAX(0,(Levy!R307-Levy!V307)*0.5),2)</f>
        <v>9887.5499999999993</v>
      </c>
      <c r="K307" s="3">
        <f t="shared" si="27"/>
        <v>0</v>
      </c>
      <c r="L307" s="3">
        <f t="shared" si="28"/>
        <v>9610.7000000000007</v>
      </c>
      <c r="N307" s="3">
        <f t="shared" si="29"/>
        <v>123013.62</v>
      </c>
      <c r="O307" s="2">
        <f>SUM(Levy!F307:J307)</f>
        <v>246580.93999999997</v>
      </c>
      <c r="P307" s="2">
        <f>SUM(Levy!U307:V307)</f>
        <v>0</v>
      </c>
      <c r="Q307" s="2">
        <f t="shared" si="30"/>
        <v>246580.93999999997</v>
      </c>
    </row>
    <row r="308" spans="1:17" x14ac:dyDescent="0.2">
      <c r="A308" s="5">
        <v>2364</v>
      </c>
      <c r="B308" s="5">
        <v>1</v>
      </c>
      <c r="C308" s="2" t="s">
        <v>305</v>
      </c>
      <c r="D308" s="3">
        <f>SUM(Shift11!D308:L308)</f>
        <v>311124.44</v>
      </c>
      <c r="E308" s="3">
        <f>ROUND(MAX(0,(Levy!Q308+Data!D308+Data!E308-Levy!U308)*0.5),2)</f>
        <v>309152.15999999997</v>
      </c>
      <c r="F308" s="3">
        <f t="shared" si="25"/>
        <v>1972.2800000000279</v>
      </c>
      <c r="G308" s="3">
        <f t="shared" si="26"/>
        <v>309152.15999999997</v>
      </c>
      <c r="I308" s="3">
        <f>SUM(Shift11!M308:N308)</f>
        <v>28346.65</v>
      </c>
      <c r="J308" s="3">
        <f>ROUND(MAX(0,(Levy!R308-Levy!V308)*0.5),2)</f>
        <v>29163.22</v>
      </c>
      <c r="K308" s="3">
        <f t="shared" si="27"/>
        <v>0</v>
      </c>
      <c r="L308" s="3">
        <f t="shared" si="28"/>
        <v>28346.65</v>
      </c>
      <c r="N308" s="3">
        <f t="shared" si="29"/>
        <v>337498.81</v>
      </c>
      <c r="O308" s="2">
        <f>SUM(Levy!F308:J308)</f>
        <v>676630.75</v>
      </c>
      <c r="P308" s="2">
        <f>SUM(Levy!U308:V308)</f>
        <v>0</v>
      </c>
      <c r="Q308" s="2">
        <f t="shared" si="30"/>
        <v>676630.75</v>
      </c>
    </row>
    <row r="309" spans="1:17" x14ac:dyDescent="0.2">
      <c r="A309" s="5">
        <v>2365</v>
      </c>
      <c r="B309" s="5">
        <v>1</v>
      </c>
      <c r="C309" s="2" t="s">
        <v>306</v>
      </c>
      <c r="D309" s="3">
        <f>SUM(Shift11!D309:L309)</f>
        <v>473020.78</v>
      </c>
      <c r="E309" s="3">
        <f>ROUND(MAX(0,(Levy!Q309+Data!D309+Data!E309-Levy!U309)*0.5),2)</f>
        <v>469065.53</v>
      </c>
      <c r="F309" s="3">
        <f t="shared" si="25"/>
        <v>3955.25</v>
      </c>
      <c r="G309" s="3">
        <f t="shared" si="26"/>
        <v>469065.53</v>
      </c>
      <c r="I309" s="3">
        <f>SUM(Shift11!M309:N309)</f>
        <v>49365.43</v>
      </c>
      <c r="J309" s="3">
        <f>ROUND(MAX(0,(Levy!R309-Levy!V309)*0.5),2)</f>
        <v>50787.48</v>
      </c>
      <c r="K309" s="3">
        <f t="shared" si="27"/>
        <v>0</v>
      </c>
      <c r="L309" s="3">
        <f t="shared" si="28"/>
        <v>49365.43</v>
      </c>
      <c r="N309" s="3">
        <f t="shared" si="29"/>
        <v>518430.96</v>
      </c>
      <c r="O309" s="2">
        <f>SUM(Levy!F309:J309)</f>
        <v>1039706.01</v>
      </c>
      <c r="P309" s="2">
        <f>SUM(Levy!U309:V309)</f>
        <v>0</v>
      </c>
      <c r="Q309" s="2">
        <f t="shared" si="30"/>
        <v>1039706.01</v>
      </c>
    </row>
    <row r="310" spans="1:17" x14ac:dyDescent="0.2">
      <c r="A310" s="5">
        <v>2396</v>
      </c>
      <c r="B310" s="5">
        <v>1</v>
      </c>
      <c r="C310" s="2" t="s">
        <v>307</v>
      </c>
      <c r="D310" s="3">
        <f>SUM(Shift11!D310:L310)</f>
        <v>708724.73</v>
      </c>
      <c r="E310" s="3">
        <f>ROUND(MAX(0,(Levy!Q310+Data!D310+Data!E310-Levy!U310)*0.5),2)</f>
        <v>715924</v>
      </c>
      <c r="F310" s="3">
        <f t="shared" si="25"/>
        <v>0</v>
      </c>
      <c r="G310" s="3">
        <f t="shared" si="26"/>
        <v>708724.73</v>
      </c>
      <c r="I310" s="3">
        <f>SUM(Shift11!M310:N310)</f>
        <v>67205.05</v>
      </c>
      <c r="J310" s="3">
        <f>ROUND(MAX(0,(Levy!R310-Levy!V310)*0.5),2)</f>
        <v>69141</v>
      </c>
      <c r="K310" s="3">
        <f t="shared" si="27"/>
        <v>0</v>
      </c>
      <c r="L310" s="3">
        <f t="shared" si="28"/>
        <v>67205.05</v>
      </c>
      <c r="N310" s="3">
        <f t="shared" si="29"/>
        <v>775929.78</v>
      </c>
      <c r="O310" s="2">
        <f>SUM(Levy!F310:J310)</f>
        <v>1570130</v>
      </c>
      <c r="P310" s="2">
        <f>SUM(Levy!U310:V310)</f>
        <v>0</v>
      </c>
      <c r="Q310" s="2">
        <f t="shared" si="30"/>
        <v>1570130</v>
      </c>
    </row>
    <row r="311" spans="1:17" x14ac:dyDescent="0.2">
      <c r="A311" s="5">
        <v>2397</v>
      </c>
      <c r="B311" s="5">
        <v>1</v>
      </c>
      <c r="C311" s="2" t="s">
        <v>308</v>
      </c>
      <c r="D311" s="3">
        <f>SUM(Shift11!D311:L311)</f>
        <v>529028.09</v>
      </c>
      <c r="E311" s="3">
        <f>ROUND(MAX(0,(Levy!Q311+Data!D311+Data!E311-Levy!U311)*0.5),2)</f>
        <v>523463.96</v>
      </c>
      <c r="F311" s="3">
        <f t="shared" si="25"/>
        <v>5564.1299999999464</v>
      </c>
      <c r="G311" s="3">
        <f t="shared" si="26"/>
        <v>523463.96</v>
      </c>
      <c r="I311" s="3">
        <f>SUM(Shift11!M311:N311)</f>
        <v>47241.55</v>
      </c>
      <c r="J311" s="3">
        <f>ROUND(MAX(0,(Levy!R311-Levy!V311)*0.5),2)</f>
        <v>48602.42</v>
      </c>
      <c r="K311" s="3">
        <f t="shared" si="27"/>
        <v>0</v>
      </c>
      <c r="L311" s="3">
        <f t="shared" si="28"/>
        <v>47241.55</v>
      </c>
      <c r="N311" s="3">
        <f t="shared" si="29"/>
        <v>570705.51</v>
      </c>
      <c r="O311" s="2">
        <f>SUM(Levy!F311:J311)</f>
        <v>1144132.76</v>
      </c>
      <c r="P311" s="2">
        <f>SUM(Levy!U311:V311)</f>
        <v>0</v>
      </c>
      <c r="Q311" s="2">
        <f t="shared" si="30"/>
        <v>1144132.76</v>
      </c>
    </row>
    <row r="312" spans="1:17" x14ac:dyDescent="0.2">
      <c r="A312" s="5">
        <v>2448</v>
      </c>
      <c r="B312" s="5">
        <v>1</v>
      </c>
      <c r="C312" s="2" t="s">
        <v>309</v>
      </c>
      <c r="D312" s="3">
        <f>SUM(Shift11!D312:L312)</f>
        <v>721314.65999999992</v>
      </c>
      <c r="E312" s="3">
        <f>ROUND(MAX(0,(Levy!Q312+Data!D312+Data!E312-Levy!U312)*0.5),2)</f>
        <v>722266.36</v>
      </c>
      <c r="F312" s="3">
        <f t="shared" si="25"/>
        <v>0</v>
      </c>
      <c r="G312" s="3">
        <f t="shared" si="26"/>
        <v>721314.65999999992</v>
      </c>
      <c r="I312" s="3">
        <f>SUM(Shift11!M312:N312)</f>
        <v>35504.93</v>
      </c>
      <c r="J312" s="3">
        <f>ROUND(MAX(0,(Levy!R312-Levy!V312)*0.5),2)</f>
        <v>36527.71</v>
      </c>
      <c r="K312" s="3">
        <f t="shared" si="27"/>
        <v>0</v>
      </c>
      <c r="L312" s="3">
        <f t="shared" si="28"/>
        <v>35504.93</v>
      </c>
      <c r="N312" s="3">
        <f t="shared" si="29"/>
        <v>756819.59</v>
      </c>
      <c r="O312" s="2">
        <f>SUM(Levy!F312:J312)</f>
        <v>1517588.14</v>
      </c>
      <c r="P312" s="2">
        <f>SUM(Levy!U312:V312)</f>
        <v>0</v>
      </c>
      <c r="Q312" s="2">
        <f t="shared" si="30"/>
        <v>1517588.14</v>
      </c>
    </row>
    <row r="313" spans="1:17" x14ac:dyDescent="0.2">
      <c r="A313" s="5">
        <v>2527</v>
      </c>
      <c r="B313" s="5">
        <v>1</v>
      </c>
      <c r="C313" s="2" t="s">
        <v>310</v>
      </c>
      <c r="D313" s="3">
        <f>SUM(Shift11!D313:L313)</f>
        <v>227918.62</v>
      </c>
      <c r="E313" s="3">
        <f>ROUND(MAX(0,(Levy!Q313+Data!D313+Data!E313-Levy!U313)*0.5),2)</f>
        <v>226775.96</v>
      </c>
      <c r="F313" s="3">
        <f t="shared" si="25"/>
        <v>1142.6600000000035</v>
      </c>
      <c r="G313" s="3">
        <f t="shared" si="26"/>
        <v>226775.96</v>
      </c>
      <c r="I313" s="3">
        <f>SUM(Shift11!M313:N313)</f>
        <v>9300.2099999999991</v>
      </c>
      <c r="J313" s="3">
        <f>ROUND(MAX(0,(Levy!R313-Levy!V313)*0.5),2)</f>
        <v>9568.1200000000008</v>
      </c>
      <c r="K313" s="3">
        <f t="shared" si="27"/>
        <v>0</v>
      </c>
      <c r="L313" s="3">
        <f t="shared" si="28"/>
        <v>9300.2099999999991</v>
      </c>
      <c r="N313" s="3">
        <f t="shared" si="29"/>
        <v>236076.16999999998</v>
      </c>
      <c r="O313" s="2">
        <f>SUM(Levy!F313:J313)</f>
        <v>472688.15</v>
      </c>
      <c r="P313" s="2">
        <f>SUM(Levy!U313:V313)</f>
        <v>0</v>
      </c>
      <c r="Q313" s="2">
        <f t="shared" si="30"/>
        <v>472688.15</v>
      </c>
    </row>
    <row r="314" spans="1:17" x14ac:dyDescent="0.2">
      <c r="A314" s="5">
        <v>2534</v>
      </c>
      <c r="B314" s="5">
        <v>1</v>
      </c>
      <c r="C314" s="2" t="s">
        <v>311</v>
      </c>
      <c r="D314" s="3">
        <f>SUM(Shift11!D314:L314)</f>
        <v>437663.74000000005</v>
      </c>
      <c r="E314" s="3">
        <f>ROUND(MAX(0,(Levy!Q314+Data!D314+Data!E314-Levy!U314)*0.5),2)</f>
        <v>429884.42</v>
      </c>
      <c r="F314" s="3">
        <f t="shared" si="25"/>
        <v>7779.3200000000652</v>
      </c>
      <c r="G314" s="3">
        <f t="shared" si="26"/>
        <v>429884.42</v>
      </c>
      <c r="I314" s="3">
        <f>SUM(Shift11!M314:N314)</f>
        <v>33123.769999999997</v>
      </c>
      <c r="J314" s="3">
        <f>ROUND(MAX(0,(Levy!R314-Levy!V314)*0.5),2)</f>
        <v>34077.96</v>
      </c>
      <c r="K314" s="3">
        <f t="shared" si="27"/>
        <v>0</v>
      </c>
      <c r="L314" s="3">
        <f t="shared" si="28"/>
        <v>33123.769999999997</v>
      </c>
      <c r="N314" s="3">
        <f t="shared" si="29"/>
        <v>463008.19</v>
      </c>
      <c r="O314" s="2">
        <f>SUM(Levy!F314:J314)</f>
        <v>927924.75</v>
      </c>
      <c r="P314" s="2">
        <f>SUM(Levy!U314:V314)</f>
        <v>0</v>
      </c>
      <c r="Q314" s="2">
        <f t="shared" si="30"/>
        <v>927924.75</v>
      </c>
    </row>
    <row r="315" spans="1:17" x14ac:dyDescent="0.2">
      <c r="A315" s="5">
        <v>2536</v>
      </c>
      <c r="B315" s="5">
        <v>1</v>
      </c>
      <c r="C315" s="2" t="s">
        <v>312</v>
      </c>
      <c r="D315" s="3">
        <f>SUM(Shift11!D315:L315)</f>
        <v>307222.56</v>
      </c>
      <c r="E315" s="3">
        <f>ROUND(MAX(0,(Levy!Q315+Data!D315+Data!E315-Levy!U315)*0.5),2)</f>
        <v>313422.06</v>
      </c>
      <c r="F315" s="3">
        <f t="shared" si="25"/>
        <v>0</v>
      </c>
      <c r="G315" s="3">
        <f t="shared" si="26"/>
        <v>307222.56</v>
      </c>
      <c r="I315" s="3">
        <f>SUM(Shift11!M315:N315)</f>
        <v>17219.78</v>
      </c>
      <c r="J315" s="3">
        <f>ROUND(MAX(0,(Levy!R315-Levy!V315)*0.5),2)</f>
        <v>17715.82</v>
      </c>
      <c r="K315" s="3">
        <f t="shared" si="27"/>
        <v>0</v>
      </c>
      <c r="L315" s="3">
        <f t="shared" si="28"/>
        <v>17219.78</v>
      </c>
      <c r="N315" s="3">
        <f t="shared" si="29"/>
        <v>324442.33999999997</v>
      </c>
      <c r="O315" s="2">
        <f>SUM(Levy!F315:J315)</f>
        <v>662275.76</v>
      </c>
      <c r="P315" s="2">
        <f>SUM(Levy!U315:V315)</f>
        <v>0</v>
      </c>
      <c r="Q315" s="2">
        <f t="shared" si="30"/>
        <v>662275.76</v>
      </c>
    </row>
    <row r="316" spans="1:17" x14ac:dyDescent="0.2">
      <c r="A316" s="5">
        <v>2580</v>
      </c>
      <c r="B316" s="5">
        <v>1</v>
      </c>
      <c r="C316" s="2" t="s">
        <v>313</v>
      </c>
      <c r="D316" s="3">
        <f>SUM(Shift11!D316:L316)</f>
        <v>229374.11000000002</v>
      </c>
      <c r="E316" s="3">
        <f>ROUND(MAX(0,(Levy!Q316+Data!D316+Data!E316-Levy!U316)*0.5),2)</f>
        <v>203474.37</v>
      </c>
      <c r="F316" s="3">
        <f t="shared" si="25"/>
        <v>25899.74000000002</v>
      </c>
      <c r="G316" s="3">
        <f t="shared" si="26"/>
        <v>203474.37</v>
      </c>
      <c r="I316" s="3">
        <f>SUM(Shift11!M316:N316)</f>
        <v>39868.35</v>
      </c>
      <c r="J316" s="3">
        <f>ROUND(MAX(0,(Levy!R316-Levy!V316)*0.5),2)</f>
        <v>41016.82</v>
      </c>
      <c r="K316" s="3">
        <f t="shared" si="27"/>
        <v>0</v>
      </c>
      <c r="L316" s="3">
        <f t="shared" si="28"/>
        <v>39868.35</v>
      </c>
      <c r="N316" s="3">
        <f t="shared" si="29"/>
        <v>243342.72</v>
      </c>
      <c r="O316" s="2">
        <f>SUM(Levy!F316:J316)</f>
        <v>488982.37</v>
      </c>
      <c r="P316" s="2">
        <f>SUM(Levy!U316:V316)</f>
        <v>0</v>
      </c>
      <c r="Q316" s="2">
        <f t="shared" si="30"/>
        <v>488982.37</v>
      </c>
    </row>
    <row r="317" spans="1:17" x14ac:dyDescent="0.2">
      <c r="A317" s="5">
        <v>2609</v>
      </c>
      <c r="B317" s="5">
        <v>1</v>
      </c>
      <c r="C317" s="2" t="s">
        <v>314</v>
      </c>
      <c r="D317" s="3">
        <f>SUM(Shift11!D317:L317)</f>
        <v>243829.61000000004</v>
      </c>
      <c r="E317" s="3">
        <f>ROUND(MAX(0,(Levy!Q317+Data!D317+Data!E317-Levy!U317)*0.5),2)</f>
        <v>243470.61</v>
      </c>
      <c r="F317" s="3">
        <f t="shared" si="25"/>
        <v>359.00000000005821</v>
      </c>
      <c r="G317" s="3">
        <f t="shared" si="26"/>
        <v>243470.61</v>
      </c>
      <c r="I317" s="3">
        <f>SUM(Shift11!M317:N317)</f>
        <v>962.8</v>
      </c>
      <c r="J317" s="3">
        <f>ROUND(MAX(0,(Levy!R317-Levy!V317)*0.5),2)</f>
        <v>990.54</v>
      </c>
      <c r="K317" s="3">
        <f t="shared" si="27"/>
        <v>0</v>
      </c>
      <c r="L317" s="3">
        <f t="shared" si="28"/>
        <v>962.8</v>
      </c>
      <c r="N317" s="3">
        <f t="shared" si="29"/>
        <v>244433.40999999997</v>
      </c>
      <c r="O317" s="2">
        <f>SUM(Levy!F317:J317)</f>
        <v>488922.29000000004</v>
      </c>
      <c r="P317" s="2">
        <f>SUM(Levy!U317:V317)</f>
        <v>0</v>
      </c>
      <c r="Q317" s="2">
        <f t="shared" si="30"/>
        <v>488922.29000000004</v>
      </c>
    </row>
    <row r="318" spans="1:17" x14ac:dyDescent="0.2">
      <c r="A318" s="5">
        <v>2683</v>
      </c>
      <c r="B318" s="5">
        <v>1</v>
      </c>
      <c r="C318" s="2" t="s">
        <v>315</v>
      </c>
      <c r="D318" s="3">
        <f>SUM(Shift11!D318:L318)</f>
        <v>146289.44</v>
      </c>
      <c r="E318" s="3">
        <f>ROUND(MAX(0,(Levy!Q318+Data!D318+Data!E318-Levy!U318)*0.5),2)</f>
        <v>137003.5</v>
      </c>
      <c r="F318" s="3">
        <f t="shared" si="25"/>
        <v>9285.9400000000023</v>
      </c>
      <c r="G318" s="3">
        <f t="shared" si="26"/>
        <v>137003.5</v>
      </c>
      <c r="I318" s="3">
        <f>SUM(Shift11!M318:N318)</f>
        <v>12315.24</v>
      </c>
      <c r="J318" s="3">
        <f>ROUND(MAX(0,(Levy!R318-Levy!V318)*0.5),2)</f>
        <v>12670</v>
      </c>
      <c r="K318" s="3">
        <f t="shared" si="27"/>
        <v>0</v>
      </c>
      <c r="L318" s="3">
        <f t="shared" si="28"/>
        <v>12315.24</v>
      </c>
      <c r="N318" s="3">
        <f t="shared" si="29"/>
        <v>149318.74</v>
      </c>
      <c r="O318" s="2">
        <f>SUM(Levy!F318:J318)</f>
        <v>299347</v>
      </c>
      <c r="P318" s="2">
        <f>SUM(Levy!U318:V318)</f>
        <v>0</v>
      </c>
      <c r="Q318" s="2">
        <f t="shared" si="30"/>
        <v>299347</v>
      </c>
    </row>
    <row r="319" spans="1:17" x14ac:dyDescent="0.2">
      <c r="A319" s="5">
        <v>2687</v>
      </c>
      <c r="B319" s="5">
        <v>1</v>
      </c>
      <c r="C319" s="2" t="s">
        <v>316</v>
      </c>
      <c r="D319" s="3">
        <f>SUM(Shift11!D319:L319)</f>
        <v>666401.17999999993</v>
      </c>
      <c r="E319" s="3">
        <f>ROUND(MAX(0,(Levy!Q319+Data!D319+Data!E319-Levy!U319)*0.5),2)</f>
        <v>668198.99</v>
      </c>
      <c r="F319" s="3">
        <f t="shared" si="25"/>
        <v>0</v>
      </c>
      <c r="G319" s="3">
        <f t="shared" si="26"/>
        <v>666401.17999999993</v>
      </c>
      <c r="I319" s="3">
        <f>SUM(Shift11!M319:N319)</f>
        <v>53404.76</v>
      </c>
      <c r="J319" s="3">
        <f>ROUND(MAX(0,(Levy!R319-Levy!V319)*0.5),2)</f>
        <v>54943.17</v>
      </c>
      <c r="K319" s="3">
        <f t="shared" si="27"/>
        <v>0</v>
      </c>
      <c r="L319" s="3">
        <f t="shared" si="28"/>
        <v>53404.76</v>
      </c>
      <c r="N319" s="3">
        <f t="shared" si="29"/>
        <v>719805.94</v>
      </c>
      <c r="O319" s="2">
        <f>SUM(Levy!F319:J319)</f>
        <v>1446284.3</v>
      </c>
      <c r="P319" s="2">
        <f>SUM(Levy!U319:V319)</f>
        <v>0</v>
      </c>
      <c r="Q319" s="2">
        <f t="shared" si="30"/>
        <v>1446284.3</v>
      </c>
    </row>
    <row r="320" spans="1:17" x14ac:dyDescent="0.2">
      <c r="A320" s="5">
        <v>2689</v>
      </c>
      <c r="B320" s="5">
        <v>1</v>
      </c>
      <c r="C320" s="2" t="s">
        <v>317</v>
      </c>
      <c r="D320" s="3">
        <f>SUM(Shift11!D320:L320)</f>
        <v>610890.83000000007</v>
      </c>
      <c r="E320" s="3">
        <f>ROUND(MAX(0,(Levy!Q320+Data!D320+Data!E320-Levy!U320)*0.5),2)</f>
        <v>618585.97</v>
      </c>
      <c r="F320" s="3">
        <f t="shared" si="25"/>
        <v>0</v>
      </c>
      <c r="G320" s="3">
        <f t="shared" si="26"/>
        <v>610890.83000000007</v>
      </c>
      <c r="I320" s="3">
        <f>SUM(Shift11!M320:N320)</f>
        <v>44364.97</v>
      </c>
      <c r="J320" s="3">
        <f>ROUND(MAX(0,(Levy!R320-Levy!V320)*0.5),2)</f>
        <v>45642.98</v>
      </c>
      <c r="K320" s="3">
        <f t="shared" si="27"/>
        <v>0</v>
      </c>
      <c r="L320" s="3">
        <f t="shared" si="28"/>
        <v>44364.97</v>
      </c>
      <c r="N320" s="3">
        <f t="shared" si="29"/>
        <v>655255.80000000005</v>
      </c>
      <c r="O320" s="2">
        <f>SUM(Levy!F320:J320)</f>
        <v>1328457.8899999999</v>
      </c>
      <c r="P320" s="2">
        <f>SUM(Levy!U320:V320)</f>
        <v>0</v>
      </c>
      <c r="Q320" s="2">
        <f t="shared" si="30"/>
        <v>1328457.8899999999</v>
      </c>
    </row>
    <row r="321" spans="1:17" x14ac:dyDescent="0.2">
      <c r="A321" s="5">
        <v>2711</v>
      </c>
      <c r="B321" s="5">
        <v>1</v>
      </c>
      <c r="C321" s="2" t="s">
        <v>318</v>
      </c>
      <c r="D321" s="3">
        <f>SUM(Shift11!D321:L321)</f>
        <v>913017.62000000011</v>
      </c>
      <c r="E321" s="3">
        <f>ROUND(MAX(0,(Levy!Q321+Data!D321+Data!E321-Levy!U321)*0.5),2)</f>
        <v>307699.40000000002</v>
      </c>
      <c r="F321" s="3">
        <f t="shared" si="25"/>
        <v>605318.22000000009</v>
      </c>
      <c r="G321" s="3">
        <f t="shared" si="26"/>
        <v>307699.40000000002</v>
      </c>
      <c r="I321" s="3">
        <f>SUM(Shift11!M321:N321)</f>
        <v>0</v>
      </c>
      <c r="J321" s="3">
        <f>ROUND(MAX(0,(Levy!R321-Levy!V321)*0.5),2)</f>
        <v>0</v>
      </c>
      <c r="K321" s="3">
        <f t="shared" si="27"/>
        <v>0</v>
      </c>
      <c r="L321" s="3">
        <f t="shared" si="28"/>
        <v>0</v>
      </c>
      <c r="N321" s="3">
        <f t="shared" si="29"/>
        <v>307699.40000000002</v>
      </c>
      <c r="O321" s="2">
        <f>SUM(Levy!F321:J321)</f>
        <v>615398.80000000005</v>
      </c>
      <c r="P321" s="2">
        <f>SUM(Levy!U321:V321)</f>
        <v>0</v>
      </c>
      <c r="Q321" s="2">
        <f t="shared" si="30"/>
        <v>615398.80000000005</v>
      </c>
    </row>
    <row r="322" spans="1:17" x14ac:dyDescent="0.2">
      <c r="A322" s="5">
        <v>2752</v>
      </c>
      <c r="B322" s="5">
        <v>1</v>
      </c>
      <c r="C322" s="2" t="s">
        <v>319</v>
      </c>
      <c r="D322" s="3">
        <f>SUM(Shift11!D322:L322)</f>
        <v>1095895.1200000001</v>
      </c>
      <c r="E322" s="3">
        <f>ROUND(MAX(0,(Levy!Q322+Data!D322+Data!E322-Levy!U322)*0.5),2)</f>
        <v>1098354.4099999999</v>
      </c>
      <c r="F322" s="3">
        <f t="shared" si="25"/>
        <v>0</v>
      </c>
      <c r="G322" s="3">
        <f t="shared" si="26"/>
        <v>1095895.1200000001</v>
      </c>
      <c r="I322" s="3">
        <f>SUM(Shift11!M322:N322)</f>
        <v>70534.91</v>
      </c>
      <c r="J322" s="3">
        <f>ROUND(MAX(0,(Levy!R322-Levy!V322)*0.5),2)</f>
        <v>72566.78</v>
      </c>
      <c r="K322" s="3">
        <f t="shared" si="27"/>
        <v>0</v>
      </c>
      <c r="L322" s="3">
        <f t="shared" si="28"/>
        <v>70534.91</v>
      </c>
      <c r="N322" s="3">
        <f t="shared" si="29"/>
        <v>1166430.03</v>
      </c>
      <c r="O322" s="2">
        <f>SUM(Levy!F322:J322)</f>
        <v>2341842.36</v>
      </c>
      <c r="P322" s="2">
        <f>SUM(Levy!U322:V322)</f>
        <v>0</v>
      </c>
      <c r="Q322" s="2">
        <f t="shared" si="30"/>
        <v>2341842.36</v>
      </c>
    </row>
    <row r="323" spans="1:17" x14ac:dyDescent="0.2">
      <c r="A323" s="5">
        <v>2753</v>
      </c>
      <c r="B323" s="5">
        <v>1</v>
      </c>
      <c r="C323" s="2" t="s">
        <v>320</v>
      </c>
      <c r="D323" s="3">
        <f>SUM(Shift11!D323:L323)</f>
        <v>639652.18999999994</v>
      </c>
      <c r="E323" s="3">
        <f>ROUND(MAX(0,(Levy!Q323+Data!D323+Data!E323-Levy!U323)*0.5),2)</f>
        <v>595849.42000000004</v>
      </c>
      <c r="F323" s="3">
        <f t="shared" si="25"/>
        <v>43802.769999999902</v>
      </c>
      <c r="G323" s="3">
        <f t="shared" si="26"/>
        <v>595849.42000000004</v>
      </c>
      <c r="I323" s="3">
        <f>SUM(Shift11!M323:N323)</f>
        <v>39612.57</v>
      </c>
      <c r="J323" s="3">
        <f>ROUND(MAX(0,(Levy!R323-Levy!V323)*0.5),2)</f>
        <v>40753.67</v>
      </c>
      <c r="K323" s="3">
        <f t="shared" si="27"/>
        <v>0</v>
      </c>
      <c r="L323" s="3">
        <f t="shared" si="28"/>
        <v>39612.57</v>
      </c>
      <c r="N323" s="3">
        <f t="shared" si="29"/>
        <v>635461.99</v>
      </c>
      <c r="O323" s="2">
        <f>SUM(Levy!F323:J323)</f>
        <v>1273206.1700000002</v>
      </c>
      <c r="P323" s="2">
        <f>SUM(Levy!U323:V323)</f>
        <v>0</v>
      </c>
      <c r="Q323" s="2">
        <f t="shared" si="30"/>
        <v>1273206.1700000002</v>
      </c>
    </row>
    <row r="324" spans="1:17" x14ac:dyDescent="0.2">
      <c r="A324" s="5">
        <v>2754</v>
      </c>
      <c r="B324" s="5">
        <v>1</v>
      </c>
      <c r="C324" s="2" t="s">
        <v>321</v>
      </c>
      <c r="D324" s="3">
        <f>SUM(Shift11!D324:L324)</f>
        <v>220170.02000000002</v>
      </c>
      <c r="E324" s="3">
        <f>ROUND(MAX(0,(Levy!Q324+Data!D324+Data!E324-Levy!U324)*0.5),2)</f>
        <v>184183.5</v>
      </c>
      <c r="F324" s="3">
        <f t="shared" si="25"/>
        <v>35986.520000000019</v>
      </c>
      <c r="G324" s="3">
        <f t="shared" si="26"/>
        <v>184183.5</v>
      </c>
      <c r="I324" s="3">
        <f>SUM(Shift11!M324:N324)</f>
        <v>20860.580000000002</v>
      </c>
      <c r="J324" s="3">
        <f>ROUND(MAX(0,(Levy!R324-Levy!V324)*0.5),2)</f>
        <v>21461.5</v>
      </c>
      <c r="K324" s="3">
        <f t="shared" si="27"/>
        <v>0</v>
      </c>
      <c r="L324" s="3">
        <f t="shared" si="28"/>
        <v>20860.580000000002</v>
      </c>
      <c r="N324" s="3">
        <f t="shared" si="29"/>
        <v>205044.08000000002</v>
      </c>
      <c r="O324" s="2">
        <f>SUM(Levy!F324:J324)</f>
        <v>411290</v>
      </c>
      <c r="P324" s="2">
        <f>SUM(Levy!U324:V324)</f>
        <v>0</v>
      </c>
      <c r="Q324" s="2">
        <f t="shared" si="30"/>
        <v>411290</v>
      </c>
    </row>
    <row r="325" spans="1:17" x14ac:dyDescent="0.2">
      <c r="A325" s="5">
        <v>2759</v>
      </c>
      <c r="B325" s="5">
        <v>1</v>
      </c>
      <c r="C325" s="2" t="s">
        <v>322</v>
      </c>
      <c r="D325" s="3">
        <f>SUM(Shift11!D325:L325)</f>
        <v>178057.52000000002</v>
      </c>
      <c r="E325" s="3">
        <f>ROUND(MAX(0,(Levy!Q325+Data!D325+Data!E325-Levy!U325)*0.5),2)</f>
        <v>165597</v>
      </c>
      <c r="F325" s="3">
        <f t="shared" ref="F325:F342" si="31">IF(D325&gt;E325,D325-E325,0)</f>
        <v>12460.520000000019</v>
      </c>
      <c r="G325" s="3">
        <f t="shared" ref="G325:G342" si="32">MAX(0,MIN(D325,E325))</f>
        <v>165597</v>
      </c>
      <c r="I325" s="3">
        <f>SUM(Shift11!M325:N325)</f>
        <v>11185.29</v>
      </c>
      <c r="J325" s="3">
        <f>ROUND(MAX(0,(Levy!R325-Levy!V325)*0.5),2)</f>
        <v>11507.5</v>
      </c>
      <c r="K325" s="3">
        <f t="shared" ref="K325:K342" si="33">IF(I325&gt;J325,I325-J325,0)</f>
        <v>0</v>
      </c>
      <c r="L325" s="3">
        <f t="shared" ref="L325:L342" si="34">MAX(0,MIN(I325,J325))</f>
        <v>11185.29</v>
      </c>
      <c r="N325" s="3">
        <f t="shared" si="29"/>
        <v>176782.29</v>
      </c>
      <c r="O325" s="2">
        <f>SUM(Levy!F325:J325)</f>
        <v>354209</v>
      </c>
      <c r="P325" s="2">
        <f>SUM(Levy!U325:V325)</f>
        <v>0</v>
      </c>
      <c r="Q325" s="2">
        <f t="shared" si="30"/>
        <v>354209</v>
      </c>
    </row>
    <row r="326" spans="1:17" x14ac:dyDescent="0.2">
      <c r="A326" s="5">
        <v>2805</v>
      </c>
      <c r="B326" s="5">
        <v>1</v>
      </c>
      <c r="C326" s="2" t="s">
        <v>323</v>
      </c>
      <c r="D326" s="3">
        <f>SUM(Shift11!D326:L326)</f>
        <v>803275.12000000011</v>
      </c>
      <c r="E326" s="3">
        <f>ROUND(MAX(0,(Levy!Q326+Data!D326+Data!E326-Levy!U326)*0.5),2)</f>
        <v>797571</v>
      </c>
      <c r="F326" s="3">
        <f t="shared" si="31"/>
        <v>5704.1200000001118</v>
      </c>
      <c r="G326" s="3">
        <f t="shared" si="32"/>
        <v>797571</v>
      </c>
      <c r="I326" s="3">
        <f>SUM(Shift11!M326:N326)</f>
        <v>63359.33</v>
      </c>
      <c r="J326" s="3">
        <f>ROUND(MAX(0,(Levy!R326-Levy!V326)*0.5),2)</f>
        <v>65184.5</v>
      </c>
      <c r="K326" s="3">
        <f t="shared" si="33"/>
        <v>0</v>
      </c>
      <c r="L326" s="3">
        <f t="shared" si="34"/>
        <v>63359.33</v>
      </c>
      <c r="N326" s="3">
        <f t="shared" si="29"/>
        <v>860930.33</v>
      </c>
      <c r="O326" s="2">
        <f>SUM(Levy!F326:J326)</f>
        <v>1725511</v>
      </c>
      <c r="P326" s="2">
        <f>SUM(Levy!U326:V326)</f>
        <v>0</v>
      </c>
      <c r="Q326" s="2">
        <f t="shared" si="30"/>
        <v>1725511</v>
      </c>
    </row>
    <row r="327" spans="1:17" x14ac:dyDescent="0.2">
      <c r="A327" s="5">
        <v>2835</v>
      </c>
      <c r="B327" s="5">
        <v>1</v>
      </c>
      <c r="C327" s="2" t="s">
        <v>324</v>
      </c>
      <c r="D327" s="3">
        <f>SUM(Shift11!D327:L327)</f>
        <v>291117.75999999995</v>
      </c>
      <c r="E327" s="3">
        <f>ROUND(MAX(0,(Levy!Q327+Data!D327+Data!E327-Levy!U327)*0.5),2)</f>
        <v>271465</v>
      </c>
      <c r="F327" s="3">
        <f t="shared" si="31"/>
        <v>19652.759999999951</v>
      </c>
      <c r="G327" s="3">
        <f t="shared" si="32"/>
        <v>271465</v>
      </c>
      <c r="I327" s="3">
        <f>SUM(Shift11!M327:N327)</f>
        <v>29594.97</v>
      </c>
      <c r="J327" s="3">
        <f>ROUND(MAX(0,(Levy!R327-Levy!V327)*0.5),2)</f>
        <v>30447.5</v>
      </c>
      <c r="K327" s="3">
        <f t="shared" si="33"/>
        <v>0</v>
      </c>
      <c r="L327" s="3">
        <f t="shared" si="34"/>
        <v>29594.97</v>
      </c>
      <c r="N327" s="3">
        <f t="shared" si="29"/>
        <v>301059.96999999997</v>
      </c>
      <c r="O327" s="2">
        <f>SUM(Levy!F327:J327)</f>
        <v>603825</v>
      </c>
      <c r="P327" s="2">
        <f>SUM(Levy!U327:V327)</f>
        <v>0</v>
      </c>
      <c r="Q327" s="2">
        <f t="shared" si="30"/>
        <v>603825</v>
      </c>
    </row>
    <row r="328" spans="1:17" x14ac:dyDescent="0.2">
      <c r="A328" s="5">
        <v>2853</v>
      </c>
      <c r="B328" s="5">
        <v>1</v>
      </c>
      <c r="C328" s="2" t="s">
        <v>325</v>
      </c>
      <c r="D328" s="3">
        <f>SUM(Shift11!D328:L328)</f>
        <v>631143.16999999993</v>
      </c>
      <c r="E328" s="3">
        <f>ROUND(MAX(0,(Levy!Q328+Data!D328+Data!E328-Levy!U328)*0.5),2)</f>
        <v>635763.04</v>
      </c>
      <c r="F328" s="3">
        <f t="shared" si="31"/>
        <v>0</v>
      </c>
      <c r="G328" s="3">
        <f t="shared" si="32"/>
        <v>631143.16999999993</v>
      </c>
      <c r="I328" s="3">
        <f>SUM(Shift11!M328:N328)</f>
        <v>59970.55</v>
      </c>
      <c r="J328" s="3">
        <f>ROUND(MAX(0,(Levy!R328-Levy!V328)*0.5),2)</f>
        <v>61698.1</v>
      </c>
      <c r="K328" s="3">
        <f t="shared" si="33"/>
        <v>0</v>
      </c>
      <c r="L328" s="3">
        <f t="shared" si="34"/>
        <v>59970.55</v>
      </c>
      <c r="N328" s="3">
        <f t="shared" si="29"/>
        <v>691113.72</v>
      </c>
      <c r="O328" s="2">
        <f>SUM(Levy!F328:J328)</f>
        <v>1394922.27</v>
      </c>
      <c r="P328" s="2">
        <f>SUM(Levy!U328:V328)</f>
        <v>0</v>
      </c>
      <c r="Q328" s="2">
        <f t="shared" si="30"/>
        <v>1394922.27</v>
      </c>
    </row>
    <row r="329" spans="1:17" x14ac:dyDescent="0.2">
      <c r="A329" s="5">
        <v>2854</v>
      </c>
      <c r="B329" s="5">
        <v>1</v>
      </c>
      <c r="C329" s="2" t="s">
        <v>326</v>
      </c>
      <c r="D329" s="3">
        <f>SUM(Shift11!D329:L329)</f>
        <v>163660.97</v>
      </c>
      <c r="E329" s="3">
        <f>ROUND(MAX(0,(Levy!Q329+Data!D329+Data!E329-Levy!U329)*0.5),2)</f>
        <v>169433.1</v>
      </c>
      <c r="F329" s="3">
        <f t="shared" si="31"/>
        <v>0</v>
      </c>
      <c r="G329" s="3">
        <f t="shared" si="32"/>
        <v>163660.97</v>
      </c>
      <c r="I329" s="3">
        <f>SUM(Shift11!M329:N329)</f>
        <v>15944</v>
      </c>
      <c r="J329" s="3">
        <f>ROUND(MAX(0,(Levy!R329-Levy!V329)*0.5),2)</f>
        <v>16403.29</v>
      </c>
      <c r="K329" s="3">
        <f t="shared" si="33"/>
        <v>0</v>
      </c>
      <c r="L329" s="3">
        <f t="shared" si="34"/>
        <v>15944</v>
      </c>
      <c r="N329" s="3">
        <f t="shared" ref="N329:N344" si="35">G329+L329</f>
        <v>179604.97</v>
      </c>
      <c r="O329" s="2">
        <f>SUM(Levy!F329:J329)</f>
        <v>371672.77</v>
      </c>
      <c r="P329" s="2">
        <f>SUM(Levy!U329:V329)</f>
        <v>0</v>
      </c>
      <c r="Q329" s="2">
        <f t="shared" ref="Q329:Q344" si="36">O329-P329</f>
        <v>371672.77</v>
      </c>
    </row>
    <row r="330" spans="1:17" x14ac:dyDescent="0.2">
      <c r="A330" s="5">
        <v>2856</v>
      </c>
      <c r="B330" s="5">
        <v>1</v>
      </c>
      <c r="C330" s="2" t="s">
        <v>327</v>
      </c>
      <c r="D330" s="3">
        <f>SUM(Shift11!D330:L330)</f>
        <v>236925.37999999998</v>
      </c>
      <c r="E330" s="3">
        <f>ROUND(MAX(0,(Levy!Q330+Data!D330+Data!E330-Levy!U330)*0.5),2)</f>
        <v>221399.5</v>
      </c>
      <c r="F330" s="3">
        <f t="shared" si="31"/>
        <v>15525.879999999976</v>
      </c>
      <c r="G330" s="3">
        <f t="shared" si="32"/>
        <v>221399.5</v>
      </c>
      <c r="I330" s="3">
        <f>SUM(Shift11!M330:N330)</f>
        <v>22977.59</v>
      </c>
      <c r="J330" s="3">
        <f>ROUND(MAX(0,(Levy!R330-Levy!V330)*0.5),2)</f>
        <v>23639.5</v>
      </c>
      <c r="K330" s="3">
        <f t="shared" si="33"/>
        <v>0</v>
      </c>
      <c r="L330" s="3">
        <f t="shared" si="34"/>
        <v>22977.59</v>
      </c>
      <c r="N330" s="3">
        <f t="shared" si="35"/>
        <v>244377.09</v>
      </c>
      <c r="O330" s="2">
        <f>SUM(Levy!F330:J330)</f>
        <v>490078</v>
      </c>
      <c r="P330" s="2">
        <f>SUM(Levy!U330:V330)</f>
        <v>0</v>
      </c>
      <c r="Q330" s="2">
        <f t="shared" si="36"/>
        <v>490078</v>
      </c>
    </row>
    <row r="331" spans="1:17" x14ac:dyDescent="0.2">
      <c r="A331" s="5">
        <v>2859</v>
      </c>
      <c r="B331" s="5">
        <v>1</v>
      </c>
      <c r="C331" s="2" t="s">
        <v>328</v>
      </c>
      <c r="D331" s="3">
        <f>SUM(Shift11!D331:L331)</f>
        <v>961746.99</v>
      </c>
      <c r="E331" s="3">
        <f>ROUND(MAX(0,(Levy!Q331+Data!D331+Data!E331-Levy!U331)*0.5),2)</f>
        <v>976099.94</v>
      </c>
      <c r="F331" s="3">
        <f t="shared" si="31"/>
        <v>0</v>
      </c>
      <c r="G331" s="3">
        <f t="shared" si="32"/>
        <v>961746.99</v>
      </c>
      <c r="I331" s="3">
        <f>SUM(Shift11!M331:N331)</f>
        <v>81906.59</v>
      </c>
      <c r="J331" s="3">
        <f>ROUND(MAX(0,(Levy!R331-Levy!V331)*0.5),2)</f>
        <v>84266.04</v>
      </c>
      <c r="K331" s="3">
        <f t="shared" si="33"/>
        <v>0</v>
      </c>
      <c r="L331" s="3">
        <f t="shared" si="34"/>
        <v>81906.59</v>
      </c>
      <c r="N331" s="3">
        <f t="shared" si="35"/>
        <v>1043653.58</v>
      </c>
      <c r="O331" s="2">
        <f>SUM(Levy!F331:J331)</f>
        <v>2120731.9500000002</v>
      </c>
      <c r="P331" s="2">
        <f>SUM(Levy!U331:V331)</f>
        <v>0</v>
      </c>
      <c r="Q331" s="2">
        <f t="shared" si="36"/>
        <v>2120731.9500000002</v>
      </c>
    </row>
    <row r="332" spans="1:17" x14ac:dyDescent="0.2">
      <c r="A332" s="5">
        <v>2860</v>
      </c>
      <c r="B332" s="5">
        <v>1</v>
      </c>
      <c r="C332" s="2" t="s">
        <v>329</v>
      </c>
      <c r="D332" s="3">
        <f>SUM(Shift11!D332:L332)</f>
        <v>496490.86</v>
      </c>
      <c r="E332" s="3">
        <f>ROUND(MAX(0,(Levy!Q332+Data!D332+Data!E332-Levy!U332)*0.5),2)</f>
        <v>510793.07</v>
      </c>
      <c r="F332" s="3">
        <f t="shared" si="31"/>
        <v>0</v>
      </c>
      <c r="G332" s="3">
        <f t="shared" si="32"/>
        <v>496490.86</v>
      </c>
      <c r="I332" s="3">
        <f>SUM(Shift11!M332:N332)</f>
        <v>62328.45</v>
      </c>
      <c r="J332" s="3">
        <f>ROUND(MAX(0,(Levy!R332-Levy!V332)*0.5),2)</f>
        <v>64123.92</v>
      </c>
      <c r="K332" s="3">
        <f t="shared" si="33"/>
        <v>0</v>
      </c>
      <c r="L332" s="3">
        <f t="shared" si="34"/>
        <v>62328.45</v>
      </c>
      <c r="N332" s="3">
        <f t="shared" si="35"/>
        <v>558819.30999999994</v>
      </c>
      <c r="O332" s="2">
        <f>SUM(Levy!F332:J332)</f>
        <v>1149833.98</v>
      </c>
      <c r="P332" s="2">
        <f>SUM(Levy!U332:V332)</f>
        <v>0</v>
      </c>
      <c r="Q332" s="2">
        <f t="shared" si="36"/>
        <v>1149833.98</v>
      </c>
    </row>
    <row r="333" spans="1:17" x14ac:dyDescent="0.2">
      <c r="A333" s="5">
        <v>2884</v>
      </c>
      <c r="B333" s="5">
        <v>1</v>
      </c>
      <c r="C333" s="2" t="s">
        <v>330</v>
      </c>
      <c r="D333" s="3">
        <f>SUM(Shift11!D333:L333)</f>
        <v>412651.43</v>
      </c>
      <c r="E333" s="3">
        <f>ROUND(MAX(0,(Levy!Q333+Data!D333+Data!E333-Levy!U333)*0.5),2)</f>
        <v>415912</v>
      </c>
      <c r="F333" s="3">
        <f t="shared" si="31"/>
        <v>0</v>
      </c>
      <c r="G333" s="3">
        <f t="shared" si="32"/>
        <v>412651.43</v>
      </c>
      <c r="I333" s="3">
        <f>SUM(Shift11!M333:N333)</f>
        <v>10012.09</v>
      </c>
      <c r="J333" s="3">
        <f>ROUND(MAX(0,(Levy!R333-Levy!V333)*0.5),2)</f>
        <v>10300.5</v>
      </c>
      <c r="K333" s="3">
        <f t="shared" si="33"/>
        <v>0</v>
      </c>
      <c r="L333" s="3">
        <f t="shared" si="34"/>
        <v>10012.09</v>
      </c>
      <c r="N333" s="3">
        <f t="shared" si="35"/>
        <v>422663.52</v>
      </c>
      <c r="O333" s="2">
        <f>SUM(Levy!F333:J333)</f>
        <v>852425</v>
      </c>
      <c r="P333" s="2">
        <f>SUM(Levy!U333:V333)</f>
        <v>0</v>
      </c>
      <c r="Q333" s="2">
        <f t="shared" si="36"/>
        <v>852425</v>
      </c>
    </row>
    <row r="334" spans="1:17" x14ac:dyDescent="0.2">
      <c r="A334" s="5">
        <v>2886</v>
      </c>
      <c r="B334" s="5">
        <v>1</v>
      </c>
      <c r="C334" s="2" t="s">
        <v>331</v>
      </c>
      <c r="D334" s="3">
        <f>SUM(Shift11!D334:L334)</f>
        <v>217771.35999999996</v>
      </c>
      <c r="E334" s="3">
        <f>ROUND(MAX(0,(Levy!Q334+Data!D334+Data!E334-Levy!U334)*0.5),2)</f>
        <v>212429.94</v>
      </c>
      <c r="F334" s="3">
        <f t="shared" si="31"/>
        <v>5341.4199999999546</v>
      </c>
      <c r="G334" s="3">
        <f t="shared" si="32"/>
        <v>212429.94</v>
      </c>
      <c r="I334" s="3">
        <f>SUM(Shift11!M334:N334)</f>
        <v>11368.9</v>
      </c>
      <c r="J334" s="3">
        <f>ROUND(MAX(0,(Levy!R334-Levy!V334)*0.5),2)</f>
        <v>11696.4</v>
      </c>
      <c r="K334" s="3">
        <f t="shared" si="33"/>
        <v>0</v>
      </c>
      <c r="L334" s="3">
        <f t="shared" si="34"/>
        <v>11368.9</v>
      </c>
      <c r="N334" s="3">
        <f t="shared" si="35"/>
        <v>223798.84</v>
      </c>
      <c r="O334" s="2">
        <f>SUM(Levy!F334:J334)</f>
        <v>448252.66</v>
      </c>
      <c r="P334" s="2">
        <f>SUM(Levy!U334:V334)</f>
        <v>0</v>
      </c>
      <c r="Q334" s="2">
        <f t="shared" si="36"/>
        <v>448252.66</v>
      </c>
    </row>
    <row r="335" spans="1:17" x14ac:dyDescent="0.2">
      <c r="A335" s="5">
        <v>2888</v>
      </c>
      <c r="B335" s="5">
        <v>1</v>
      </c>
      <c r="C335" s="2" t="s">
        <v>332</v>
      </c>
      <c r="D335" s="3">
        <f>SUM(Shift11!D335:L335)</f>
        <v>194835.18</v>
      </c>
      <c r="E335" s="3">
        <f>ROUND(MAX(0,(Levy!Q335+Data!D335+Data!E335-Levy!U335)*0.5),2)</f>
        <v>197164.53</v>
      </c>
      <c r="F335" s="3">
        <f t="shared" si="31"/>
        <v>0</v>
      </c>
      <c r="G335" s="3">
        <f t="shared" si="32"/>
        <v>194835.18</v>
      </c>
      <c r="I335" s="3">
        <f>SUM(Shift11!M335:N335)</f>
        <v>16532.71</v>
      </c>
      <c r="J335" s="3">
        <f>ROUND(MAX(0,(Levy!R335-Levy!V335)*0.5),2)</f>
        <v>17008.96</v>
      </c>
      <c r="K335" s="3">
        <f t="shared" si="33"/>
        <v>0</v>
      </c>
      <c r="L335" s="3">
        <f t="shared" si="34"/>
        <v>16532.71</v>
      </c>
      <c r="N335" s="3">
        <f t="shared" si="35"/>
        <v>211367.88999999998</v>
      </c>
      <c r="O335" s="2">
        <f>SUM(Levy!F335:J335)</f>
        <v>428346.98</v>
      </c>
      <c r="P335" s="2">
        <f>SUM(Levy!U335:V335)</f>
        <v>0</v>
      </c>
      <c r="Q335" s="2">
        <f t="shared" si="36"/>
        <v>428346.98</v>
      </c>
    </row>
    <row r="336" spans="1:17" x14ac:dyDescent="0.2">
      <c r="A336" s="5">
        <v>2889</v>
      </c>
      <c r="B336" s="5">
        <v>1</v>
      </c>
      <c r="C336" s="2" t="s">
        <v>333</v>
      </c>
      <c r="D336" s="3">
        <f>SUM(Shift11!D336:L336)</f>
        <v>458354.87</v>
      </c>
      <c r="E336" s="3">
        <f>ROUND(MAX(0,(Levy!Q336+Data!D336+Data!E336-Levy!U336)*0.5),2)</f>
        <v>450626.41</v>
      </c>
      <c r="F336" s="3">
        <f t="shared" si="31"/>
        <v>7728.460000000021</v>
      </c>
      <c r="G336" s="3">
        <f t="shared" si="32"/>
        <v>450626.41</v>
      </c>
      <c r="I336" s="3">
        <f>SUM(Shift11!M336:N336)</f>
        <v>33842.11</v>
      </c>
      <c r="J336" s="3">
        <f>ROUND(MAX(0,(Levy!R336-Levy!V336)*0.5),2)</f>
        <v>34816.99</v>
      </c>
      <c r="K336" s="3">
        <f t="shared" si="33"/>
        <v>0</v>
      </c>
      <c r="L336" s="3">
        <f t="shared" si="34"/>
        <v>33842.11</v>
      </c>
      <c r="N336" s="3">
        <f t="shared" si="35"/>
        <v>484468.51999999996</v>
      </c>
      <c r="O336" s="2">
        <f>SUM(Levy!F336:J336)</f>
        <v>970886.79</v>
      </c>
      <c r="P336" s="2">
        <f>SUM(Levy!U336:V336)</f>
        <v>0</v>
      </c>
      <c r="Q336" s="2">
        <f t="shared" si="36"/>
        <v>970886.79</v>
      </c>
    </row>
    <row r="337" spans="1:17" x14ac:dyDescent="0.2">
      <c r="A337" s="5">
        <v>2890</v>
      </c>
      <c r="B337" s="5">
        <v>1</v>
      </c>
      <c r="C337" s="2" t="s">
        <v>334</v>
      </c>
      <c r="D337" s="3">
        <f>SUM(Shift11!D337:L337)</f>
        <v>649044.4</v>
      </c>
      <c r="E337" s="3">
        <f>ROUND(MAX(0,(Levy!Q337+Data!D337+Data!E337-Levy!U337)*0.5),2)</f>
        <v>659583.30000000005</v>
      </c>
      <c r="F337" s="3">
        <f t="shared" si="31"/>
        <v>0</v>
      </c>
      <c r="G337" s="3">
        <f t="shared" si="32"/>
        <v>649044.4</v>
      </c>
      <c r="I337" s="3">
        <f>SUM(Shift11!M337:N337)</f>
        <v>31495.97</v>
      </c>
      <c r="J337" s="3">
        <f>ROUND(MAX(0,(Levy!R337-Levy!V337)*0.5),2)</f>
        <v>32403.27</v>
      </c>
      <c r="K337" s="3">
        <f t="shared" si="33"/>
        <v>0</v>
      </c>
      <c r="L337" s="3">
        <f t="shared" si="34"/>
        <v>31495.97</v>
      </c>
      <c r="N337" s="3">
        <f t="shared" si="35"/>
        <v>680540.37</v>
      </c>
      <c r="O337" s="2">
        <f>SUM(Levy!F337:J337)</f>
        <v>1383973.1300000001</v>
      </c>
      <c r="P337" s="2">
        <f>SUM(Levy!U337:V337)</f>
        <v>0</v>
      </c>
      <c r="Q337" s="2">
        <f t="shared" si="36"/>
        <v>1383973.1300000001</v>
      </c>
    </row>
    <row r="338" spans="1:17" x14ac:dyDescent="0.2">
      <c r="A338" s="5">
        <v>2895</v>
      </c>
      <c r="B338" s="5">
        <v>1</v>
      </c>
      <c r="C338" s="2" t="s">
        <v>335</v>
      </c>
      <c r="D338" s="3">
        <f>SUM(Shift11!D338:L338)</f>
        <v>775079.85000000009</v>
      </c>
      <c r="E338" s="3">
        <f>ROUND(MAX(0,(Levy!Q338+Data!D338+Data!E338-Levy!U338)*0.5),2)</f>
        <v>773662</v>
      </c>
      <c r="F338" s="3">
        <f t="shared" si="31"/>
        <v>1417.8500000000931</v>
      </c>
      <c r="G338" s="3">
        <f t="shared" si="32"/>
        <v>773662</v>
      </c>
      <c r="I338" s="3">
        <f>SUM(Shift11!M338:N338)</f>
        <v>58524.61</v>
      </c>
      <c r="J338" s="3">
        <f>ROUND(MAX(0,(Levy!R338-Levy!V338)*0.5),2)</f>
        <v>60210.5</v>
      </c>
      <c r="K338" s="3">
        <f t="shared" si="33"/>
        <v>0</v>
      </c>
      <c r="L338" s="3">
        <f t="shared" si="34"/>
        <v>58524.61</v>
      </c>
      <c r="N338" s="3">
        <f t="shared" si="35"/>
        <v>832186.61</v>
      </c>
      <c r="O338" s="2">
        <f>SUM(Levy!F338:J338)</f>
        <v>1667745</v>
      </c>
      <c r="P338" s="2">
        <f>SUM(Levy!U338:V338)</f>
        <v>0</v>
      </c>
      <c r="Q338" s="2">
        <f t="shared" si="36"/>
        <v>1667745</v>
      </c>
    </row>
    <row r="339" spans="1:17" x14ac:dyDescent="0.2">
      <c r="A339" s="5">
        <v>2897</v>
      </c>
      <c r="B339" s="5">
        <v>1</v>
      </c>
      <c r="C339" s="2" t="s">
        <v>336</v>
      </c>
      <c r="D339" s="3">
        <f>SUM(Shift11!D339:L339)</f>
        <v>362303.54</v>
      </c>
      <c r="E339" s="3">
        <f>ROUND(MAX(0,(Levy!Q339+Data!D339+Data!E339-Levy!U339)*0.5),2)</f>
        <v>371425.5</v>
      </c>
      <c r="F339" s="3">
        <f t="shared" si="31"/>
        <v>0</v>
      </c>
      <c r="G339" s="3">
        <f t="shared" si="32"/>
        <v>362303.54</v>
      </c>
      <c r="I339" s="3">
        <f>SUM(Shift11!M339:N339)</f>
        <v>52856.39</v>
      </c>
      <c r="J339" s="3">
        <f>ROUND(MAX(0,(Levy!R339-Levy!V339)*0.5),2)</f>
        <v>54379</v>
      </c>
      <c r="K339" s="3">
        <f t="shared" si="33"/>
        <v>0</v>
      </c>
      <c r="L339" s="3">
        <f t="shared" si="34"/>
        <v>52856.39</v>
      </c>
      <c r="N339" s="3">
        <f t="shared" si="35"/>
        <v>415159.93</v>
      </c>
      <c r="O339" s="2">
        <f>SUM(Levy!F339:J339)</f>
        <v>851609</v>
      </c>
      <c r="P339" s="2">
        <f>SUM(Levy!U339:V339)</f>
        <v>0</v>
      </c>
      <c r="Q339" s="2">
        <f t="shared" si="36"/>
        <v>851609</v>
      </c>
    </row>
    <row r="340" spans="1:17" x14ac:dyDescent="0.2">
      <c r="A340" s="5">
        <v>2898</v>
      </c>
      <c r="B340" s="5">
        <v>1</v>
      </c>
      <c r="C340" s="2" t="s">
        <v>337</v>
      </c>
      <c r="D340" s="3">
        <f>SUM(Shift11!D340:L340)</f>
        <v>261138.68000000002</v>
      </c>
      <c r="E340" s="3">
        <f>ROUND(MAX(0,(Levy!Q340+Data!D340+Data!E340-Levy!U340)*0.5),2)</f>
        <v>205904</v>
      </c>
      <c r="F340" s="3">
        <f t="shared" si="31"/>
        <v>55234.680000000022</v>
      </c>
      <c r="G340" s="3">
        <f t="shared" si="32"/>
        <v>205904</v>
      </c>
      <c r="I340" s="3">
        <f>SUM(Shift11!M340:N340)</f>
        <v>18963.23</v>
      </c>
      <c r="J340" s="3">
        <f>ROUND(MAX(0,(Levy!R340-Levy!V340)*0.5),2)</f>
        <v>19509.5</v>
      </c>
      <c r="K340" s="3">
        <f t="shared" si="33"/>
        <v>0</v>
      </c>
      <c r="L340" s="3">
        <f t="shared" si="34"/>
        <v>18963.23</v>
      </c>
      <c r="N340" s="3">
        <f t="shared" si="35"/>
        <v>224867.23</v>
      </c>
      <c r="O340" s="2">
        <f>SUM(Levy!F340:J340)</f>
        <v>450827</v>
      </c>
      <c r="P340" s="2">
        <f>SUM(Levy!U340:V340)</f>
        <v>0</v>
      </c>
      <c r="Q340" s="2">
        <f t="shared" si="36"/>
        <v>450827</v>
      </c>
    </row>
    <row r="341" spans="1:17" x14ac:dyDescent="0.2">
      <c r="A341" s="5">
        <v>2899</v>
      </c>
      <c r="B341" s="5">
        <v>1</v>
      </c>
      <c r="C341" s="2" t="s">
        <v>503</v>
      </c>
      <c r="D341" s="3">
        <f>SUM(Shift11!D341:L341)</f>
        <v>439508.91</v>
      </c>
      <c r="E341" s="3">
        <f>ROUND(MAX(0,(Levy!Q341+Data!D341+Data!E341-Levy!U341)*0.5),2)</f>
        <v>434824.5</v>
      </c>
      <c r="F341" s="3">
        <f t="shared" si="31"/>
        <v>4684.4099999999744</v>
      </c>
      <c r="G341" s="3">
        <f t="shared" si="32"/>
        <v>434824.5</v>
      </c>
      <c r="I341" s="3">
        <f>SUM(Shift11!M341:N341)</f>
        <v>36888.86</v>
      </c>
      <c r="J341" s="3">
        <f>ROUND(MAX(0,(Levy!R341-Levy!V341)*0.5),2)</f>
        <v>37951.5</v>
      </c>
      <c r="K341" s="3">
        <f t="shared" si="33"/>
        <v>0</v>
      </c>
      <c r="L341" s="3">
        <f t="shared" si="34"/>
        <v>36888.86</v>
      </c>
      <c r="N341" s="3">
        <f t="shared" si="35"/>
        <v>471713.36</v>
      </c>
      <c r="O341" s="2">
        <f>SUM(Levy!F341:J341)</f>
        <v>945552</v>
      </c>
      <c r="P341" s="2">
        <f>SUM(Levy!U341:V341)</f>
        <v>0</v>
      </c>
      <c r="Q341" s="2">
        <f t="shared" si="36"/>
        <v>945552</v>
      </c>
    </row>
    <row r="342" spans="1:17" x14ac:dyDescent="0.2">
      <c r="A342" s="5">
        <v>2902</v>
      </c>
      <c r="B342" s="5">
        <v>1</v>
      </c>
      <c r="C342" s="2" t="s">
        <v>502</v>
      </c>
      <c r="D342" s="3">
        <f>SUM(Shift11!D342:L342)</f>
        <v>249580.28000000003</v>
      </c>
      <c r="E342" s="3">
        <f>ROUND(MAX(0,(Levy!Q342+Data!D342+Data!E342-Levy!U342)*0.5),2)</f>
        <v>241825</v>
      </c>
      <c r="F342" s="3">
        <f t="shared" si="31"/>
        <v>7755.2800000000279</v>
      </c>
      <c r="G342" s="3">
        <f t="shared" si="32"/>
        <v>241825</v>
      </c>
      <c r="I342" s="3">
        <f>SUM(Shift11!M342:N342)</f>
        <v>45451.69</v>
      </c>
      <c r="J342" s="3">
        <f>ROUND(MAX(0,(Levy!R342-Levy!V342)*0.5),2)</f>
        <v>46761</v>
      </c>
      <c r="K342" s="3">
        <f t="shared" si="33"/>
        <v>0</v>
      </c>
      <c r="L342" s="3">
        <f t="shared" si="34"/>
        <v>45451.69</v>
      </c>
      <c r="N342" s="3">
        <f t="shared" si="35"/>
        <v>287276.69</v>
      </c>
      <c r="O342" s="2">
        <f>SUM(Levy!F342:J342)</f>
        <v>577172</v>
      </c>
      <c r="P342" s="2">
        <f>SUM(Levy!U342:V342)</f>
        <v>0</v>
      </c>
      <c r="Q342" s="2">
        <f t="shared" si="36"/>
        <v>577172</v>
      </c>
    </row>
    <row r="343" spans="1:17" x14ac:dyDescent="0.2">
      <c r="A343" s="5">
        <v>2903</v>
      </c>
      <c r="B343" s="5">
        <v>1</v>
      </c>
      <c r="C343" s="2" t="s">
        <v>649</v>
      </c>
      <c r="D343" s="3">
        <f>SUM(Shift11!D343:L343)</f>
        <v>437826.01999999996</v>
      </c>
      <c r="E343" s="3">
        <f>ROUND(MAX(0,(Levy!Q343+Data!D343+Data!E343-Levy!U343)*0.5),2)</f>
        <v>441212.29</v>
      </c>
      <c r="F343" s="3">
        <f>IF(D343&gt;E343,D343-E343,0)</f>
        <v>0</v>
      </c>
      <c r="G343" s="3">
        <f>MAX(0,MIN(D343,E343))</f>
        <v>437826.01999999996</v>
      </c>
      <c r="I343" s="3">
        <f>SUM(Shift11!M343:N343)</f>
        <v>24320.31</v>
      </c>
      <c r="J343" s="3">
        <f>ROUND(MAX(0,(Levy!R343-Levy!V343)*0.5),2)</f>
        <v>25020.9</v>
      </c>
      <c r="K343" s="3">
        <f>IF(I343&gt;J343,I343-J343,0)</f>
        <v>0</v>
      </c>
      <c r="L343" s="3">
        <f>MAX(0,MIN(I343,J343))</f>
        <v>24320.31</v>
      </c>
      <c r="N343" s="3">
        <f t="shared" si="35"/>
        <v>462146.32999999996</v>
      </c>
      <c r="O343" s="2">
        <f>SUM(Levy!F343:J343)</f>
        <v>932466.37</v>
      </c>
      <c r="P343" s="2">
        <f>SUM(Levy!U343:V343)</f>
        <v>0</v>
      </c>
      <c r="Q343" s="2">
        <f t="shared" si="36"/>
        <v>932466.37</v>
      </c>
    </row>
    <row r="344" spans="1:17" x14ac:dyDescent="0.2">
      <c r="A344" s="5">
        <v>2904</v>
      </c>
      <c r="B344" s="5">
        <v>1</v>
      </c>
      <c r="C344" s="2" t="s">
        <v>650</v>
      </c>
      <c r="D344" s="3">
        <f>SUM(Shift11!D344:L344)</f>
        <v>507910.8</v>
      </c>
      <c r="E344" s="3">
        <f>ROUND(MAX(0,(Levy!Q344+Data!D344+Data!E344-Levy!U344)*0.5),2)</f>
        <v>498258.5</v>
      </c>
      <c r="F344" s="3">
        <f>IF(D344&gt;E344,D344-E344,0)</f>
        <v>9652.2999999999884</v>
      </c>
      <c r="G344" s="3">
        <f>MAX(0,MIN(D344,E344))</f>
        <v>498258.5</v>
      </c>
      <c r="I344" s="3">
        <f>SUM(Shift11!M344:N344)</f>
        <v>35965.46</v>
      </c>
      <c r="J344" s="3">
        <f>ROUND(MAX(0,(Levy!R344-Levy!V344)*0.5),2)</f>
        <v>37001.5</v>
      </c>
      <c r="K344" s="3">
        <f>IF(I344&gt;J344,I344-J344,0)</f>
        <v>0</v>
      </c>
      <c r="L344" s="3">
        <f>MAX(0,MIN(I344,J344))</f>
        <v>35965.46</v>
      </c>
      <c r="N344" s="3">
        <f t="shared" si="35"/>
        <v>534223.96</v>
      </c>
      <c r="O344" s="2">
        <f>SUM(Levy!F344:J344)</f>
        <v>1070520</v>
      </c>
      <c r="P344" s="2">
        <f>SUM(Levy!U344:V344)</f>
        <v>0</v>
      </c>
      <c r="Q344" s="2">
        <f t="shared" si="36"/>
        <v>1070520</v>
      </c>
    </row>
  </sheetData>
  <mergeCells count="4">
    <mergeCell ref="D3:G3"/>
    <mergeCell ref="I3:L3"/>
    <mergeCell ref="O3:Q3"/>
    <mergeCell ref="N3:N4"/>
  </mergeCells>
  <phoneticPr fontId="0" type="noConversion"/>
  <pageMargins left="0.75" right="0.75" top="1" bottom="1" header="0.5" footer="0.5"/>
  <pageSetup scale="67" fitToHeight="7" orientation="portrait" r:id="rId1"/>
  <headerFooter alignWithMargins="0">
    <oddFooter>&amp;C&amp;P of &amp;N</oddFooter>
  </headerFooter>
  <ignoredErrors>
    <ignoredError sqref="O8:O344" formulaRange="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4"/>
  <sheetViews>
    <sheetView workbookViewId="0">
      <selection activeCell="D8" sqref="D8:E344"/>
    </sheetView>
  </sheetViews>
  <sheetFormatPr defaultRowHeight="11.25" x14ac:dyDescent="0.2"/>
  <cols>
    <col min="1" max="1" width="7" style="5" customWidth="1"/>
    <col min="2" max="2" width="6.83203125" style="5" customWidth="1"/>
    <col min="3" max="3" width="18.33203125" style="2" customWidth="1"/>
    <col min="4" max="4" width="16.83203125" style="3" customWidth="1"/>
    <col min="5" max="5" width="15" style="3" bestFit="1" customWidth="1"/>
    <col min="6" max="6" width="15.5" style="3" customWidth="1"/>
    <col min="7" max="8" width="14.83203125" style="3" customWidth="1"/>
    <col min="9" max="16384" width="9.33203125" style="2"/>
  </cols>
  <sheetData>
    <row r="1" spans="1:8" x14ac:dyDescent="0.2">
      <c r="E1" s="3">
        <v>-1</v>
      </c>
    </row>
    <row r="2" spans="1:8" x14ac:dyDescent="0.2">
      <c r="H2" s="144">
        <f>Report!I1</f>
        <v>40795</v>
      </c>
    </row>
    <row r="3" spans="1:8" ht="22.5" customHeight="1" x14ac:dyDescent="0.2">
      <c r="D3" s="189" t="str">
        <f>"Est Aid Reductions (Payments) in "&amp;Instructions!R2&amp;" for Shift"</f>
        <v>Est Aid Reductions (Payments) in FY 2011 for Shift</v>
      </c>
      <c r="E3" s="190"/>
      <c r="G3" s="189" t="str">
        <f>"GNL 214 Account "&amp;Instructions!S3</f>
        <v>GNL 214 Account 06/30/10</v>
      </c>
      <c r="H3" s="189"/>
    </row>
    <row r="4" spans="1:8" s="8" customFormat="1" ht="11.25" customHeight="1" x14ac:dyDescent="0.2">
      <c r="A4" s="6"/>
      <c r="B4" s="6"/>
      <c r="D4" s="9" t="s">
        <v>466</v>
      </c>
      <c r="E4" s="150" t="s">
        <v>467</v>
      </c>
      <c r="F4" s="150"/>
      <c r="G4" s="9" t="s">
        <v>466</v>
      </c>
      <c r="H4" s="150" t="s">
        <v>467</v>
      </c>
    </row>
    <row r="6" spans="1:8" x14ac:dyDescent="0.2">
      <c r="C6" s="2" t="s">
        <v>347</v>
      </c>
      <c r="D6" s="2">
        <f>SUM(D8:D344)</f>
        <v>509333566.28000039</v>
      </c>
      <c r="E6" s="2">
        <f>SUM(E8:E344)</f>
        <v>6194378.4300000034</v>
      </c>
      <c r="F6" s="3">
        <f>E6+D6</f>
        <v>515527944.7100004</v>
      </c>
      <c r="G6" s="2">
        <f>SUM(G8:G344)</f>
        <v>-1030202.78</v>
      </c>
      <c r="H6" s="2">
        <f>SUM(H8:H344)</f>
        <v>0</v>
      </c>
    </row>
    <row r="8" spans="1:8" x14ac:dyDescent="0.2">
      <c r="A8" s="5">
        <v>1</v>
      </c>
      <c r="B8" s="5">
        <v>1</v>
      </c>
      <c r="C8" s="2" t="s">
        <v>6</v>
      </c>
      <c r="D8" s="2">
        <v>373981.78</v>
      </c>
      <c r="E8" s="2">
        <v>0</v>
      </c>
      <c r="G8" s="3">
        <f>SUMIF(Query1!$B$4:$B$14,A8,Query1!$F$4:$F$14)</f>
        <v>0</v>
      </c>
      <c r="H8" s="3">
        <f>SUMIF(Query4!$B$4:$B$5,A8,Query4!$F$4:$F$5)</f>
        <v>0</v>
      </c>
    </row>
    <row r="9" spans="1:8" x14ac:dyDescent="0.2">
      <c r="A9" s="5">
        <v>1.2</v>
      </c>
      <c r="B9" s="5">
        <v>3</v>
      </c>
      <c r="C9" s="2" t="s">
        <v>7</v>
      </c>
      <c r="D9" s="2">
        <v>37228300.510000005</v>
      </c>
      <c r="E9" s="2">
        <v>624540.41</v>
      </c>
      <c r="G9" s="3">
        <f>SUMIF(Query1!$B$4:$B$14,A9,Query1!$F$4:$F$14)</f>
        <v>0</v>
      </c>
      <c r="H9" s="3">
        <f>SUMIF(Query4!$B$4:$B$5,A9,Query4!$F$4:$F$5)</f>
        <v>0</v>
      </c>
    </row>
    <row r="10" spans="1:8" x14ac:dyDescent="0.2">
      <c r="A10" s="5">
        <v>2</v>
      </c>
      <c r="B10" s="5">
        <v>1</v>
      </c>
      <c r="C10" s="2" t="s">
        <v>8</v>
      </c>
      <c r="D10" s="2">
        <v>52024.43</v>
      </c>
      <c r="E10" s="2">
        <v>0</v>
      </c>
      <c r="G10" s="3">
        <f>SUMIF(Query1!$B$4:$B$14,A10,Query1!$F$4:$F$14)</f>
        <v>0</v>
      </c>
      <c r="H10" s="3">
        <f>SUMIF(Query4!$B$4:$B$5,A10,Query4!$F$4:$F$5)</f>
        <v>0</v>
      </c>
    </row>
    <row r="11" spans="1:8" x14ac:dyDescent="0.2">
      <c r="A11" s="5">
        <v>4</v>
      </c>
      <c r="B11" s="5">
        <v>1</v>
      </c>
      <c r="C11" s="2" t="s">
        <v>9</v>
      </c>
      <c r="D11" s="2">
        <v>181906.41</v>
      </c>
      <c r="E11" s="2">
        <v>5504.74</v>
      </c>
      <c r="G11" s="3">
        <f>SUMIF(Query1!$B$4:$B$14,A11,Query1!$F$4:$F$14)</f>
        <v>0</v>
      </c>
      <c r="H11" s="3">
        <f>SUMIF(Query4!$B$4:$B$5,A11,Query4!$F$4:$F$5)</f>
        <v>0</v>
      </c>
    </row>
    <row r="12" spans="1:8" x14ac:dyDescent="0.2">
      <c r="A12" s="5">
        <v>6</v>
      </c>
      <c r="B12" s="5">
        <v>3</v>
      </c>
      <c r="C12" s="2" t="s">
        <v>10</v>
      </c>
      <c r="D12" s="2">
        <v>2517337.6800000002</v>
      </c>
      <c r="E12" s="2">
        <v>46277.59</v>
      </c>
      <c r="G12" s="3">
        <f>SUMIF(Query1!$B$4:$B$14,A12,Query1!$F$4:$F$14)</f>
        <v>0</v>
      </c>
      <c r="H12" s="3">
        <f>SUMIF(Query4!$B$4:$B$5,A12,Query4!$F$4:$F$5)</f>
        <v>0</v>
      </c>
    </row>
    <row r="13" spans="1:8" x14ac:dyDescent="0.2">
      <c r="A13" s="5">
        <v>11</v>
      </c>
      <c r="B13" s="5">
        <v>1</v>
      </c>
      <c r="C13" s="2" t="s">
        <v>11</v>
      </c>
      <c r="D13" s="2">
        <v>33473828.699999999</v>
      </c>
      <c r="E13" s="2">
        <v>419996.02</v>
      </c>
      <c r="G13" s="3">
        <f>SUMIF(Query1!$B$4:$B$14,A13,Query1!$F$4:$F$14)</f>
        <v>0</v>
      </c>
      <c r="H13" s="3">
        <f>SUMIF(Query4!$B$4:$B$5,A13,Query4!$F$4:$F$5)</f>
        <v>0</v>
      </c>
    </row>
    <row r="14" spans="1:8" x14ac:dyDescent="0.2">
      <c r="A14" s="5">
        <v>12</v>
      </c>
      <c r="B14" s="5">
        <v>1</v>
      </c>
      <c r="C14" s="2" t="s">
        <v>12</v>
      </c>
      <c r="D14" s="2">
        <v>3442171.94</v>
      </c>
      <c r="E14" s="2">
        <v>47791.16</v>
      </c>
      <c r="G14" s="3">
        <f>SUMIF(Query1!$B$4:$B$14,A14,Query1!$F$4:$F$14)</f>
        <v>0</v>
      </c>
      <c r="H14" s="3">
        <f>SUMIF(Query4!$B$4:$B$5,A14,Query4!$F$4:$F$5)</f>
        <v>0</v>
      </c>
    </row>
    <row r="15" spans="1:8" x14ac:dyDescent="0.2">
      <c r="A15" s="5">
        <v>13</v>
      </c>
      <c r="B15" s="5">
        <v>1</v>
      </c>
      <c r="C15" s="2" t="s">
        <v>13</v>
      </c>
      <c r="D15" s="2">
        <v>1721987.2</v>
      </c>
      <c r="E15" s="2">
        <v>53399.06</v>
      </c>
      <c r="G15" s="3">
        <f>SUMIF(Query1!$B$4:$B$14,A15,Query1!$F$4:$F$14)</f>
        <v>0</v>
      </c>
      <c r="H15" s="3">
        <f>SUMIF(Query4!$B$4:$B$5,A15,Query4!$F$4:$F$5)</f>
        <v>0</v>
      </c>
    </row>
    <row r="16" spans="1:8" x14ac:dyDescent="0.2">
      <c r="A16" s="5">
        <v>14</v>
      </c>
      <c r="B16" s="5">
        <v>1</v>
      </c>
      <c r="C16" s="2" t="s">
        <v>14</v>
      </c>
      <c r="D16" s="2">
        <v>2269290.12</v>
      </c>
      <c r="E16" s="2">
        <v>39137.21</v>
      </c>
      <c r="G16" s="3">
        <f>SUMIF(Query1!$B$4:$B$14,A16,Query1!$F$4:$F$14)</f>
        <v>0</v>
      </c>
      <c r="H16" s="3">
        <f>SUMIF(Query4!$B$4:$B$5,A16,Query4!$F$4:$F$5)</f>
        <v>0</v>
      </c>
    </row>
    <row r="17" spans="1:8" x14ac:dyDescent="0.2">
      <c r="A17" s="5">
        <v>15</v>
      </c>
      <c r="B17" s="5">
        <v>1</v>
      </c>
      <c r="C17" s="2" t="s">
        <v>15</v>
      </c>
      <c r="D17" s="2">
        <v>2260273.9900000002</v>
      </c>
      <c r="E17" s="2">
        <v>0</v>
      </c>
      <c r="G17" s="3">
        <f>SUMIF(Query1!$B$4:$B$14,A17,Query1!$F$4:$F$14)</f>
        <v>0</v>
      </c>
      <c r="H17" s="3">
        <f>SUMIF(Query4!$B$4:$B$5,A17,Query4!$F$4:$F$5)</f>
        <v>0</v>
      </c>
    </row>
    <row r="18" spans="1:8" x14ac:dyDescent="0.2">
      <c r="A18" s="5">
        <v>16</v>
      </c>
      <c r="B18" s="5">
        <v>1</v>
      </c>
      <c r="C18" s="2" t="s">
        <v>16</v>
      </c>
      <c r="D18" s="2">
        <v>3445280.98</v>
      </c>
      <c r="E18" s="2">
        <v>43055.68</v>
      </c>
      <c r="G18" s="3">
        <f>SUMIF(Query1!$B$4:$B$14,A18,Query1!$F$4:$F$14)</f>
        <v>0</v>
      </c>
      <c r="H18" s="3">
        <f>SUMIF(Query4!$B$4:$B$5,A18,Query4!$F$4:$F$5)</f>
        <v>0</v>
      </c>
    </row>
    <row r="19" spans="1:8" x14ac:dyDescent="0.2">
      <c r="A19" s="5">
        <v>22</v>
      </c>
      <c r="B19" s="5">
        <v>1</v>
      </c>
      <c r="C19" s="2" t="s">
        <v>17</v>
      </c>
      <c r="D19" s="2">
        <v>1242324.33</v>
      </c>
      <c r="E19" s="2">
        <v>34899.279999999999</v>
      </c>
      <c r="G19" s="3">
        <f>SUMIF(Query1!$B$4:$B$14,A19,Query1!$F$4:$F$14)</f>
        <v>0</v>
      </c>
      <c r="H19" s="3">
        <f>SUMIF(Query4!$B$4:$B$5,A19,Query4!$F$4:$F$5)</f>
        <v>0</v>
      </c>
    </row>
    <row r="20" spans="1:8" x14ac:dyDescent="0.2">
      <c r="A20" s="5">
        <v>23</v>
      </c>
      <c r="B20" s="5">
        <v>1</v>
      </c>
      <c r="C20" s="2" t="s">
        <v>18</v>
      </c>
      <c r="D20" s="2">
        <v>656349.29</v>
      </c>
      <c r="E20" s="2">
        <v>16044.11</v>
      </c>
      <c r="G20" s="3">
        <f>SUMIF(Query1!$B$4:$B$14,A20,Query1!$F$4:$F$14)</f>
        <v>0</v>
      </c>
      <c r="H20" s="3">
        <f>SUMIF(Query4!$B$4:$B$5,A20,Query4!$F$4:$F$5)</f>
        <v>0</v>
      </c>
    </row>
    <row r="21" spans="1:8" x14ac:dyDescent="0.2">
      <c r="A21" s="5">
        <v>25</v>
      </c>
      <c r="B21" s="5">
        <v>1</v>
      </c>
      <c r="C21" s="2" t="s">
        <v>348</v>
      </c>
      <c r="D21" s="2">
        <v>0</v>
      </c>
      <c r="E21" s="2">
        <v>0</v>
      </c>
      <c r="G21" s="3">
        <f>SUMIF(Query1!$B$4:$B$14,A21,Query1!$F$4:$F$14)</f>
        <v>0</v>
      </c>
      <c r="H21" s="3">
        <f>SUMIF(Query4!$B$4:$B$5,A21,Query4!$F$4:$F$5)</f>
        <v>0</v>
      </c>
    </row>
    <row r="22" spans="1:8" x14ac:dyDescent="0.2">
      <c r="A22" s="5">
        <v>31</v>
      </c>
      <c r="B22" s="5">
        <v>1</v>
      </c>
      <c r="C22" s="2" t="s">
        <v>19</v>
      </c>
      <c r="D22" s="2">
        <v>1957376.33</v>
      </c>
      <c r="E22" s="2">
        <v>0</v>
      </c>
      <c r="G22" s="3">
        <f>SUMIF(Query1!$B$4:$B$14,A22,Query1!$F$4:$F$14)</f>
        <v>0</v>
      </c>
      <c r="H22" s="3">
        <f>SUMIF(Query4!$B$4:$B$5,A22,Query4!$F$4:$F$5)</f>
        <v>0</v>
      </c>
    </row>
    <row r="23" spans="1:8" x14ac:dyDescent="0.2">
      <c r="A23" s="5">
        <v>32</v>
      </c>
      <c r="B23" s="5">
        <v>1</v>
      </c>
      <c r="C23" s="2" t="s">
        <v>20</v>
      </c>
      <c r="D23" s="2">
        <v>145910.34</v>
      </c>
      <c r="E23" s="2">
        <v>0</v>
      </c>
      <c r="G23" s="3">
        <f>SUMIF(Query1!$B$4:$B$14,A23,Query1!$F$4:$F$14)</f>
        <v>0</v>
      </c>
      <c r="H23" s="3">
        <f>SUMIF(Query4!$B$4:$B$5,A23,Query4!$F$4:$F$5)</f>
        <v>0</v>
      </c>
    </row>
    <row r="24" spans="1:8" x14ac:dyDescent="0.2">
      <c r="A24" s="5">
        <v>36</v>
      </c>
      <c r="B24" s="5">
        <v>1</v>
      </c>
      <c r="C24" s="2" t="s">
        <v>21</v>
      </c>
      <c r="D24" s="2">
        <v>20217.5</v>
      </c>
      <c r="E24" s="2">
        <v>0</v>
      </c>
      <c r="G24" s="3">
        <f>SUMIF(Query1!$B$4:$B$14,A24,Query1!$F$4:$F$14)</f>
        <v>0</v>
      </c>
      <c r="H24" s="3">
        <f>SUMIF(Query4!$B$4:$B$5,A24,Query4!$F$4:$F$5)</f>
        <v>0</v>
      </c>
    </row>
    <row r="25" spans="1:8" x14ac:dyDescent="0.2">
      <c r="A25" s="5">
        <v>38</v>
      </c>
      <c r="B25" s="5">
        <v>1</v>
      </c>
      <c r="C25" s="2" t="s">
        <v>22</v>
      </c>
      <c r="D25" s="2">
        <v>2484.0700000000002</v>
      </c>
      <c r="E25" s="2">
        <v>0</v>
      </c>
      <c r="G25" s="3">
        <f>SUMIF(Query1!$B$4:$B$14,A25,Query1!$F$4:$F$14)</f>
        <v>0</v>
      </c>
      <c r="H25" s="3">
        <f>SUMIF(Query4!$B$4:$B$5,A25,Query4!$F$4:$F$5)</f>
        <v>0</v>
      </c>
    </row>
    <row r="26" spans="1:8" x14ac:dyDescent="0.2">
      <c r="A26" s="5">
        <v>47</v>
      </c>
      <c r="B26" s="5">
        <v>1</v>
      </c>
      <c r="C26" s="2" t="s">
        <v>23</v>
      </c>
      <c r="D26" s="2">
        <v>702747.59</v>
      </c>
      <c r="E26" s="2">
        <v>0</v>
      </c>
      <c r="G26" s="3">
        <f>SUMIF(Query1!$B$4:$B$14,A26,Query1!$F$4:$F$14)</f>
        <v>0</v>
      </c>
      <c r="H26" s="3">
        <f>SUMIF(Query4!$B$4:$B$5,A26,Query4!$F$4:$F$5)</f>
        <v>0</v>
      </c>
    </row>
    <row r="27" spans="1:8" x14ac:dyDescent="0.2">
      <c r="A27" s="5">
        <v>51</v>
      </c>
      <c r="B27" s="5">
        <v>1</v>
      </c>
      <c r="C27" s="2" t="s">
        <v>24</v>
      </c>
      <c r="D27" s="2">
        <v>359542</v>
      </c>
      <c r="E27" s="2">
        <v>0</v>
      </c>
      <c r="G27" s="3">
        <f>SUMIF(Query1!$B$4:$B$14,A27,Query1!$F$4:$F$14)</f>
        <v>0</v>
      </c>
      <c r="H27" s="3">
        <f>SUMIF(Query4!$B$4:$B$5,A27,Query4!$F$4:$F$5)</f>
        <v>0</v>
      </c>
    </row>
    <row r="28" spans="1:8" x14ac:dyDescent="0.2">
      <c r="A28" s="5">
        <v>75</v>
      </c>
      <c r="B28" s="5">
        <v>1</v>
      </c>
      <c r="C28" s="2" t="s">
        <v>25</v>
      </c>
      <c r="D28" s="2">
        <v>184244.32</v>
      </c>
      <c r="E28" s="2">
        <v>0</v>
      </c>
      <c r="G28" s="3">
        <f>SUMIF(Query1!$B$4:$B$14,A28,Query1!$F$4:$F$14)</f>
        <v>0</v>
      </c>
      <c r="H28" s="3">
        <f>SUMIF(Query4!$B$4:$B$5,A28,Query4!$F$4:$F$5)</f>
        <v>0</v>
      </c>
    </row>
    <row r="29" spans="1:8" x14ac:dyDescent="0.2">
      <c r="A29" s="5">
        <v>77</v>
      </c>
      <c r="B29" s="5">
        <v>1</v>
      </c>
      <c r="C29" s="2" t="s">
        <v>26</v>
      </c>
      <c r="D29" s="2">
        <v>4223813.54</v>
      </c>
      <c r="E29" s="2">
        <v>87488.37</v>
      </c>
      <c r="G29" s="3">
        <f>SUMIF(Query1!$B$4:$B$14,A29,Query1!$F$4:$F$14)</f>
        <v>0</v>
      </c>
      <c r="H29" s="3">
        <f>SUMIF(Query4!$B$4:$B$5,A29,Query4!$F$4:$F$5)</f>
        <v>0</v>
      </c>
    </row>
    <row r="30" spans="1:8" x14ac:dyDescent="0.2">
      <c r="A30" s="5">
        <v>81</v>
      </c>
      <c r="B30" s="5">
        <v>1</v>
      </c>
      <c r="C30" s="2" t="s">
        <v>27</v>
      </c>
      <c r="D30" s="2">
        <v>80650.28</v>
      </c>
      <c r="E30" s="2">
        <v>2199.56</v>
      </c>
      <c r="G30" s="3">
        <f>SUMIF(Query1!$B$4:$B$14,A30,Query1!$F$4:$F$14)</f>
        <v>0</v>
      </c>
      <c r="H30" s="3">
        <f>SUMIF(Query4!$B$4:$B$5,A30,Query4!$F$4:$F$5)</f>
        <v>0</v>
      </c>
    </row>
    <row r="31" spans="1:8" x14ac:dyDescent="0.2">
      <c r="A31" s="5">
        <v>84</v>
      </c>
      <c r="B31" s="5">
        <v>1</v>
      </c>
      <c r="C31" s="2" t="s">
        <v>28</v>
      </c>
      <c r="D31" s="2">
        <v>151446.57999999999</v>
      </c>
      <c r="E31" s="2">
        <v>13679.72</v>
      </c>
      <c r="G31" s="3">
        <f>SUMIF(Query1!$B$4:$B$14,A31,Query1!$F$4:$F$14)</f>
        <v>0</v>
      </c>
      <c r="H31" s="3">
        <f>SUMIF(Query4!$B$4:$B$5,A31,Query4!$F$4:$F$5)</f>
        <v>0</v>
      </c>
    </row>
    <row r="32" spans="1:8" x14ac:dyDescent="0.2">
      <c r="A32" s="5">
        <v>85</v>
      </c>
      <c r="B32" s="5">
        <v>1</v>
      </c>
      <c r="C32" s="2" t="s">
        <v>29</v>
      </c>
      <c r="D32" s="2">
        <v>190736.97</v>
      </c>
      <c r="E32" s="2">
        <v>0</v>
      </c>
      <c r="G32" s="3">
        <f>SUMIF(Query1!$B$4:$B$14,A32,Query1!$F$4:$F$14)</f>
        <v>0</v>
      </c>
      <c r="H32" s="3">
        <f>SUMIF(Query4!$B$4:$B$5,A32,Query4!$F$4:$F$5)</f>
        <v>0</v>
      </c>
    </row>
    <row r="33" spans="1:8" x14ac:dyDescent="0.2">
      <c r="A33" s="5">
        <v>88</v>
      </c>
      <c r="B33" s="5">
        <v>1</v>
      </c>
      <c r="C33" s="2" t="s">
        <v>30</v>
      </c>
      <c r="D33" s="2">
        <v>1350513.2</v>
      </c>
      <c r="E33" s="2">
        <v>30504.02</v>
      </c>
      <c r="G33" s="3">
        <f>SUMIF(Query1!$B$4:$B$14,A33,Query1!$F$4:$F$14)</f>
        <v>0</v>
      </c>
      <c r="H33" s="3">
        <f>SUMIF(Query4!$B$4:$B$5,A33,Query4!$F$4:$F$5)</f>
        <v>0</v>
      </c>
    </row>
    <row r="34" spans="1:8" x14ac:dyDescent="0.2">
      <c r="A34" s="5">
        <v>91</v>
      </c>
      <c r="B34" s="5">
        <v>1</v>
      </c>
      <c r="C34" s="2" t="s">
        <v>31</v>
      </c>
      <c r="D34" s="2">
        <v>159368.20000000001</v>
      </c>
      <c r="E34" s="2">
        <v>0</v>
      </c>
      <c r="G34" s="3">
        <f>SUMIF(Query1!$B$4:$B$14,A34,Query1!$F$4:$F$14)</f>
        <v>0</v>
      </c>
      <c r="H34" s="3">
        <f>SUMIF(Query4!$B$4:$B$5,A34,Query4!$F$4:$F$5)</f>
        <v>0</v>
      </c>
    </row>
    <row r="35" spans="1:8" x14ac:dyDescent="0.2">
      <c r="A35" s="5">
        <v>93</v>
      </c>
      <c r="B35" s="5">
        <v>1</v>
      </c>
      <c r="C35" s="2" t="s">
        <v>32</v>
      </c>
      <c r="D35" s="2">
        <v>431476.17</v>
      </c>
      <c r="E35" s="2">
        <v>8766.32</v>
      </c>
      <c r="G35" s="3">
        <f>SUMIF(Query1!$B$4:$B$14,A35,Query1!$F$4:$F$14)</f>
        <v>0</v>
      </c>
      <c r="H35" s="3">
        <f>SUMIF(Query4!$B$4:$B$5,A35,Query4!$F$4:$F$5)</f>
        <v>0</v>
      </c>
    </row>
    <row r="36" spans="1:8" x14ac:dyDescent="0.2">
      <c r="A36" s="5">
        <v>94</v>
      </c>
      <c r="B36" s="5">
        <v>1</v>
      </c>
      <c r="C36" s="2" t="s">
        <v>33</v>
      </c>
      <c r="D36" s="2">
        <v>389736.39</v>
      </c>
      <c r="E36" s="2">
        <v>0</v>
      </c>
      <c r="G36" s="3">
        <f>SUMIF(Query1!$B$4:$B$14,A36,Query1!$F$4:$F$14)</f>
        <v>0</v>
      </c>
      <c r="H36" s="3">
        <f>SUMIF(Query4!$B$4:$B$5,A36,Query4!$F$4:$F$5)</f>
        <v>0</v>
      </c>
    </row>
    <row r="37" spans="1:8" x14ac:dyDescent="0.2">
      <c r="A37" s="5">
        <v>95</v>
      </c>
      <c r="B37" s="5">
        <v>1</v>
      </c>
      <c r="C37" s="2" t="s">
        <v>34</v>
      </c>
      <c r="D37" s="2">
        <v>57511.32</v>
      </c>
      <c r="E37" s="2">
        <v>0</v>
      </c>
      <c r="G37" s="3">
        <f>SUMIF(Query1!$B$4:$B$14,A37,Query1!$F$4:$F$14)</f>
        <v>0</v>
      </c>
      <c r="H37" s="3">
        <f>SUMIF(Query4!$B$4:$B$5,A37,Query4!$F$4:$F$5)</f>
        <v>0</v>
      </c>
    </row>
    <row r="38" spans="1:8" x14ac:dyDescent="0.2">
      <c r="A38" s="5">
        <v>97</v>
      </c>
      <c r="B38" s="5">
        <v>1</v>
      </c>
      <c r="C38" s="2" t="s">
        <v>35</v>
      </c>
      <c r="D38" s="2">
        <v>225098.47</v>
      </c>
      <c r="E38" s="2">
        <v>0</v>
      </c>
      <c r="G38" s="3">
        <f>SUMIF(Query1!$B$4:$B$14,A38,Query1!$F$4:$F$14)</f>
        <v>0</v>
      </c>
      <c r="H38" s="3">
        <f>SUMIF(Query4!$B$4:$B$5,A38,Query4!$F$4:$F$5)</f>
        <v>0</v>
      </c>
    </row>
    <row r="39" spans="1:8" x14ac:dyDescent="0.2">
      <c r="A39" s="5">
        <v>99</v>
      </c>
      <c r="B39" s="5">
        <v>1</v>
      </c>
      <c r="C39" s="2" t="s">
        <v>36</v>
      </c>
      <c r="D39" s="2">
        <v>214675.13</v>
      </c>
      <c r="E39" s="2">
        <v>0</v>
      </c>
      <c r="G39" s="3">
        <f>SUMIF(Query1!$B$4:$B$14,A39,Query1!$F$4:$F$14)</f>
        <v>0</v>
      </c>
      <c r="H39" s="3">
        <f>SUMIF(Query4!$B$4:$B$5,A39,Query4!$F$4:$F$5)</f>
        <v>0</v>
      </c>
    </row>
    <row r="40" spans="1:8" x14ac:dyDescent="0.2">
      <c r="A40" s="5">
        <v>100</v>
      </c>
      <c r="B40" s="5">
        <v>1</v>
      </c>
      <c r="C40" s="2" t="s">
        <v>37</v>
      </c>
      <c r="D40" s="2">
        <v>151414.37</v>
      </c>
      <c r="E40" s="2">
        <v>0</v>
      </c>
      <c r="G40" s="3">
        <f>SUMIF(Query1!$B$4:$B$14,A40,Query1!$F$4:$F$14)</f>
        <v>0</v>
      </c>
      <c r="H40" s="3">
        <f>SUMIF(Query4!$B$4:$B$5,A40,Query4!$F$4:$F$5)</f>
        <v>0</v>
      </c>
    </row>
    <row r="41" spans="1:8" x14ac:dyDescent="0.2">
      <c r="A41" s="5">
        <v>108</v>
      </c>
      <c r="B41" s="5">
        <v>1</v>
      </c>
      <c r="C41" s="2" t="s">
        <v>38</v>
      </c>
      <c r="D41" s="2">
        <v>609415.62</v>
      </c>
      <c r="E41" s="2">
        <v>15425.61</v>
      </c>
      <c r="G41" s="3">
        <f>SUMIF(Query1!$B$4:$B$14,A41,Query1!$F$4:$F$14)</f>
        <v>0</v>
      </c>
      <c r="H41" s="3">
        <f>SUMIF(Query4!$B$4:$B$5,A41,Query4!$F$4:$F$5)</f>
        <v>0</v>
      </c>
    </row>
    <row r="42" spans="1:8" x14ac:dyDescent="0.2">
      <c r="A42" s="5">
        <v>110</v>
      </c>
      <c r="B42" s="5">
        <v>1</v>
      </c>
      <c r="C42" s="2" t="s">
        <v>39</v>
      </c>
      <c r="D42" s="2">
        <v>2135332.73</v>
      </c>
      <c r="E42" s="2">
        <v>26644.34</v>
      </c>
      <c r="G42" s="3">
        <f>SUMIF(Query1!$B$4:$B$14,A42,Query1!$F$4:$F$14)</f>
        <v>0</v>
      </c>
      <c r="H42" s="3">
        <f>SUMIF(Query4!$B$4:$B$5,A42,Query4!$F$4:$F$5)</f>
        <v>0</v>
      </c>
    </row>
    <row r="43" spans="1:8" x14ac:dyDescent="0.2">
      <c r="A43" s="5">
        <v>111</v>
      </c>
      <c r="B43" s="5">
        <v>1</v>
      </c>
      <c r="C43" s="2" t="s">
        <v>40</v>
      </c>
      <c r="D43" s="2">
        <v>637693.96</v>
      </c>
      <c r="E43" s="2">
        <v>15738.84</v>
      </c>
      <c r="G43" s="3">
        <f>SUMIF(Query1!$B$4:$B$14,A43,Query1!$F$4:$F$14)</f>
        <v>0</v>
      </c>
      <c r="H43" s="3">
        <f>SUMIF(Query4!$B$4:$B$5,A43,Query4!$F$4:$F$5)</f>
        <v>0</v>
      </c>
    </row>
    <row r="44" spans="1:8" x14ac:dyDescent="0.2">
      <c r="A44" s="5">
        <v>112</v>
      </c>
      <c r="B44" s="5">
        <v>1</v>
      </c>
      <c r="C44" s="2" t="s">
        <v>41</v>
      </c>
      <c r="D44" s="2">
        <v>6892583.7199999997</v>
      </c>
      <c r="E44" s="2">
        <v>76250.59</v>
      </c>
      <c r="G44" s="3">
        <f>SUMIF(Query1!$B$4:$B$14,A44,Query1!$F$4:$F$14)</f>
        <v>0</v>
      </c>
      <c r="H44" s="3">
        <f>SUMIF(Query4!$B$4:$B$5,A44,Query4!$F$4:$F$5)</f>
        <v>0</v>
      </c>
    </row>
    <row r="45" spans="1:8" x14ac:dyDescent="0.2">
      <c r="A45" s="5">
        <v>113</v>
      </c>
      <c r="B45" s="5">
        <v>1</v>
      </c>
      <c r="C45" s="2" t="s">
        <v>42</v>
      </c>
      <c r="D45" s="2">
        <v>304943.84999999998</v>
      </c>
      <c r="E45" s="2">
        <v>0</v>
      </c>
      <c r="G45" s="3">
        <f>SUMIF(Query1!$B$4:$B$14,A45,Query1!$F$4:$F$14)</f>
        <v>0</v>
      </c>
      <c r="H45" s="3">
        <f>SUMIF(Query4!$B$4:$B$5,A45,Query4!$F$4:$F$5)</f>
        <v>0</v>
      </c>
    </row>
    <row r="46" spans="1:8" x14ac:dyDescent="0.2">
      <c r="A46" s="5">
        <v>115</v>
      </c>
      <c r="B46" s="5">
        <v>1</v>
      </c>
      <c r="C46" s="2" t="s">
        <v>43</v>
      </c>
      <c r="D46" s="2">
        <v>220067.75</v>
      </c>
      <c r="E46" s="2">
        <v>0</v>
      </c>
      <c r="G46" s="3">
        <f>SUMIF(Query1!$B$4:$B$14,A46,Query1!$F$4:$F$14)</f>
        <v>0</v>
      </c>
      <c r="H46" s="3">
        <f>SUMIF(Query4!$B$4:$B$5,A46,Query4!$F$4:$F$5)</f>
        <v>0</v>
      </c>
    </row>
    <row r="47" spans="1:8" x14ac:dyDescent="0.2">
      <c r="A47" s="5">
        <v>116</v>
      </c>
      <c r="B47" s="5">
        <v>1</v>
      </c>
      <c r="C47" s="2" t="s">
        <v>44</v>
      </c>
      <c r="D47" s="2">
        <v>352466.84</v>
      </c>
      <c r="E47" s="2">
        <v>0</v>
      </c>
      <c r="G47" s="3">
        <f>SUMIF(Query1!$B$4:$B$14,A47,Query1!$F$4:$F$14)</f>
        <v>0</v>
      </c>
      <c r="H47" s="3">
        <f>SUMIF(Query4!$B$4:$B$5,A47,Query4!$F$4:$F$5)</f>
        <v>0</v>
      </c>
    </row>
    <row r="48" spans="1:8" x14ac:dyDescent="0.2">
      <c r="A48" s="5">
        <v>118</v>
      </c>
      <c r="B48" s="5">
        <v>1</v>
      </c>
      <c r="C48" s="2" t="s">
        <v>45</v>
      </c>
      <c r="D48" s="2">
        <v>205963.54</v>
      </c>
      <c r="E48" s="2">
        <v>0</v>
      </c>
      <c r="G48" s="3">
        <f>SUMIF(Query1!$B$4:$B$14,A48,Query1!$F$4:$F$14)</f>
        <v>0</v>
      </c>
      <c r="H48" s="3">
        <f>SUMIF(Query4!$B$4:$B$5,A48,Query4!$F$4:$F$5)</f>
        <v>0</v>
      </c>
    </row>
    <row r="49" spans="1:8" x14ac:dyDescent="0.2">
      <c r="A49" s="5">
        <v>129</v>
      </c>
      <c r="B49" s="5">
        <v>1</v>
      </c>
      <c r="C49" s="2" t="s">
        <v>46</v>
      </c>
      <c r="D49" s="2">
        <v>299404.15999999997</v>
      </c>
      <c r="E49" s="2">
        <v>0</v>
      </c>
      <c r="G49" s="3">
        <f>SUMIF(Query1!$B$4:$B$14,A49,Query1!$F$4:$F$14)</f>
        <v>0</v>
      </c>
      <c r="H49" s="3">
        <f>SUMIF(Query4!$B$4:$B$5,A49,Query4!$F$4:$F$5)</f>
        <v>0</v>
      </c>
    </row>
    <row r="50" spans="1:8" x14ac:dyDescent="0.2">
      <c r="A50" s="5">
        <v>138</v>
      </c>
      <c r="B50" s="5">
        <v>1</v>
      </c>
      <c r="C50" s="2" t="s">
        <v>47</v>
      </c>
      <c r="D50" s="2">
        <v>749806.34</v>
      </c>
      <c r="E50" s="2">
        <v>0</v>
      </c>
      <c r="G50" s="3">
        <f>SUMIF(Query1!$B$4:$B$14,A50,Query1!$F$4:$F$14)</f>
        <v>0</v>
      </c>
      <c r="H50" s="3">
        <f>SUMIF(Query4!$B$4:$B$5,A50,Query4!$F$4:$F$5)</f>
        <v>0</v>
      </c>
    </row>
    <row r="51" spans="1:8" x14ac:dyDescent="0.2">
      <c r="A51" s="5">
        <v>139</v>
      </c>
      <c r="B51" s="5">
        <v>1</v>
      </c>
      <c r="C51" s="2" t="s">
        <v>48</v>
      </c>
      <c r="D51" s="2">
        <v>251247.25</v>
      </c>
      <c r="E51" s="2">
        <v>10339.530000000001</v>
      </c>
      <c r="G51" s="3">
        <f>SUMIF(Query1!$B$4:$B$14,A51,Query1!$F$4:$F$14)</f>
        <v>0</v>
      </c>
      <c r="H51" s="3">
        <f>SUMIF(Query4!$B$4:$B$5,A51,Query4!$F$4:$F$5)</f>
        <v>0</v>
      </c>
    </row>
    <row r="52" spans="1:8" x14ac:dyDescent="0.2">
      <c r="A52" s="5">
        <v>146</v>
      </c>
      <c r="B52" s="5">
        <v>1</v>
      </c>
      <c r="C52" s="2" t="s">
        <v>49</v>
      </c>
      <c r="D52" s="2">
        <v>373074.69</v>
      </c>
      <c r="E52" s="2">
        <v>0</v>
      </c>
      <c r="G52" s="3">
        <f>SUMIF(Query1!$B$4:$B$14,A52,Query1!$F$4:$F$14)</f>
        <v>0</v>
      </c>
      <c r="H52" s="3">
        <f>SUMIF(Query4!$B$4:$B$5,A52,Query4!$F$4:$F$5)</f>
        <v>0</v>
      </c>
    </row>
    <row r="53" spans="1:8" x14ac:dyDescent="0.2">
      <c r="A53" s="5">
        <v>150</v>
      </c>
      <c r="B53" s="5">
        <v>1</v>
      </c>
      <c r="C53" s="2" t="s">
        <v>50</v>
      </c>
      <c r="D53" s="2">
        <v>203363.8</v>
      </c>
      <c r="E53" s="2">
        <v>0</v>
      </c>
      <c r="G53" s="3">
        <f>SUMIF(Query1!$B$4:$B$14,A53,Query1!$F$4:$F$14)</f>
        <v>0</v>
      </c>
      <c r="H53" s="3">
        <f>SUMIF(Query4!$B$4:$B$5,A53,Query4!$F$4:$F$5)</f>
        <v>0</v>
      </c>
    </row>
    <row r="54" spans="1:8" x14ac:dyDescent="0.2">
      <c r="A54" s="5">
        <v>152</v>
      </c>
      <c r="B54" s="5">
        <v>1</v>
      </c>
      <c r="C54" s="2" t="s">
        <v>51</v>
      </c>
      <c r="D54" s="2">
        <v>2798753.71</v>
      </c>
      <c r="E54" s="2">
        <v>0</v>
      </c>
      <c r="G54" s="3">
        <f>SUMIF(Query1!$B$4:$B$14,A54,Query1!$F$4:$F$14)</f>
        <v>0</v>
      </c>
      <c r="H54" s="3">
        <f>SUMIF(Query4!$B$4:$B$5,A54,Query4!$F$4:$F$5)</f>
        <v>0</v>
      </c>
    </row>
    <row r="55" spans="1:8" x14ac:dyDescent="0.2">
      <c r="A55" s="5">
        <v>162</v>
      </c>
      <c r="B55" s="5">
        <v>1</v>
      </c>
      <c r="C55" s="2" t="s">
        <v>52</v>
      </c>
      <c r="D55" s="2">
        <v>209853.94</v>
      </c>
      <c r="E55" s="2">
        <v>0</v>
      </c>
      <c r="G55" s="3">
        <f>SUMIF(Query1!$B$4:$B$14,A55,Query1!$F$4:$F$14)</f>
        <v>0</v>
      </c>
      <c r="H55" s="3">
        <f>SUMIF(Query4!$B$4:$B$5,A55,Query4!$F$4:$F$5)</f>
        <v>0</v>
      </c>
    </row>
    <row r="56" spans="1:8" x14ac:dyDescent="0.2">
      <c r="A56" s="5">
        <v>166</v>
      </c>
      <c r="B56" s="5">
        <v>1</v>
      </c>
      <c r="C56" s="2" t="s">
        <v>53</v>
      </c>
      <c r="D56" s="2">
        <v>188070.43</v>
      </c>
      <c r="E56" s="2">
        <v>0</v>
      </c>
      <c r="G56" s="3">
        <f>SUMIF(Query1!$B$4:$B$14,A56,Query1!$F$4:$F$14)</f>
        <v>0</v>
      </c>
      <c r="H56" s="3">
        <f>SUMIF(Query4!$B$4:$B$5,A56,Query4!$F$4:$F$5)</f>
        <v>0</v>
      </c>
    </row>
    <row r="57" spans="1:8" x14ac:dyDescent="0.2">
      <c r="A57" s="5">
        <v>173</v>
      </c>
      <c r="B57" s="5">
        <v>1</v>
      </c>
      <c r="C57" s="2" t="s">
        <v>54</v>
      </c>
      <c r="D57" s="2">
        <v>246156.05</v>
      </c>
      <c r="E57" s="2">
        <v>8124.89</v>
      </c>
      <c r="G57" s="3">
        <f>SUMIF(Query1!$B$4:$B$14,A57,Query1!$F$4:$F$14)</f>
        <v>0</v>
      </c>
      <c r="H57" s="3">
        <f>SUMIF(Query4!$B$4:$B$5,A57,Query4!$F$4:$F$5)</f>
        <v>0</v>
      </c>
    </row>
    <row r="58" spans="1:8" x14ac:dyDescent="0.2">
      <c r="A58" s="5">
        <v>177</v>
      </c>
      <c r="B58" s="5">
        <v>1</v>
      </c>
      <c r="C58" s="2" t="s">
        <v>55</v>
      </c>
      <c r="D58" s="2">
        <v>590912.25</v>
      </c>
      <c r="E58" s="2">
        <v>13616.47</v>
      </c>
      <c r="G58" s="3">
        <f>SUMIF(Query1!$B$4:$B$14,A58,Query1!$F$4:$F$14)</f>
        <v>0</v>
      </c>
      <c r="H58" s="3">
        <f>SUMIF(Query4!$B$4:$B$5,A58,Query4!$F$4:$F$5)</f>
        <v>0</v>
      </c>
    </row>
    <row r="59" spans="1:8" x14ac:dyDescent="0.2">
      <c r="A59" s="5">
        <v>181</v>
      </c>
      <c r="B59" s="5">
        <v>1</v>
      </c>
      <c r="C59" s="2" t="s">
        <v>56</v>
      </c>
      <c r="D59" s="2">
        <v>2674263.08</v>
      </c>
      <c r="E59" s="2">
        <v>0</v>
      </c>
      <c r="G59" s="3">
        <f>SUMIF(Query1!$B$4:$B$14,A59,Query1!$F$4:$F$14)</f>
        <v>0</v>
      </c>
      <c r="H59" s="3">
        <f>SUMIF(Query4!$B$4:$B$5,A59,Query4!$F$4:$F$5)</f>
        <v>0</v>
      </c>
    </row>
    <row r="60" spans="1:8" x14ac:dyDescent="0.2">
      <c r="A60" s="5">
        <v>182</v>
      </c>
      <c r="B60" s="5">
        <v>1</v>
      </c>
      <c r="C60" s="2" t="s">
        <v>57</v>
      </c>
      <c r="D60" s="2">
        <v>538258.03</v>
      </c>
      <c r="E60" s="2">
        <v>0</v>
      </c>
      <c r="G60" s="3">
        <f>SUMIF(Query1!$B$4:$B$14,A60,Query1!$F$4:$F$14)</f>
        <v>0</v>
      </c>
      <c r="H60" s="3">
        <f>SUMIF(Query4!$B$4:$B$5,A60,Query4!$F$4:$F$5)</f>
        <v>0</v>
      </c>
    </row>
    <row r="61" spans="1:8" x14ac:dyDescent="0.2">
      <c r="A61" s="5">
        <v>186</v>
      </c>
      <c r="B61" s="5">
        <v>1</v>
      </c>
      <c r="C61" s="2" t="s">
        <v>58</v>
      </c>
      <c r="D61" s="2">
        <v>641690.72</v>
      </c>
      <c r="E61" s="2">
        <v>0</v>
      </c>
      <c r="G61" s="3">
        <f>SUMIF(Query1!$B$4:$B$14,A61,Query1!$F$4:$F$14)</f>
        <v>0</v>
      </c>
      <c r="H61" s="3">
        <f>SUMIF(Query4!$B$4:$B$5,A61,Query4!$F$4:$F$5)</f>
        <v>0</v>
      </c>
    </row>
    <row r="62" spans="1:8" x14ac:dyDescent="0.2">
      <c r="A62" s="5">
        <v>191</v>
      </c>
      <c r="B62" s="5">
        <v>1</v>
      </c>
      <c r="C62" s="2" t="s">
        <v>59</v>
      </c>
      <c r="D62" s="2">
        <v>8357279.2600000007</v>
      </c>
      <c r="E62" s="2">
        <v>114935.32</v>
      </c>
      <c r="G62" s="3">
        <f>SUMIF(Query1!$B$4:$B$14,A62,Query1!$F$4:$F$14)</f>
        <v>0</v>
      </c>
      <c r="H62" s="3">
        <f>SUMIF(Query4!$B$4:$B$5,A62,Query4!$F$4:$F$5)</f>
        <v>0</v>
      </c>
    </row>
    <row r="63" spans="1:8" x14ac:dyDescent="0.2">
      <c r="A63" s="5">
        <v>192</v>
      </c>
      <c r="B63" s="5">
        <v>1</v>
      </c>
      <c r="C63" s="2" t="s">
        <v>60</v>
      </c>
      <c r="D63" s="2">
        <v>2545576.27</v>
      </c>
      <c r="E63" s="2">
        <v>0</v>
      </c>
      <c r="G63" s="3">
        <f>SUMIF(Query1!$B$4:$B$14,A63,Query1!$F$4:$F$14)</f>
        <v>0</v>
      </c>
      <c r="H63" s="3">
        <f>SUMIF(Query4!$B$4:$B$5,A63,Query4!$F$4:$F$5)</f>
        <v>0</v>
      </c>
    </row>
    <row r="64" spans="1:8" x14ac:dyDescent="0.2">
      <c r="A64" s="5">
        <v>194</v>
      </c>
      <c r="B64" s="5">
        <v>1</v>
      </c>
      <c r="C64" s="2" t="s">
        <v>61</v>
      </c>
      <c r="D64" s="2">
        <v>5722189.1300000008</v>
      </c>
      <c r="E64" s="2">
        <v>76987.77</v>
      </c>
      <c r="G64" s="3">
        <f>SUMIF(Query1!$B$4:$B$14,A64,Query1!$F$4:$F$14)</f>
        <v>0</v>
      </c>
      <c r="H64" s="3">
        <f>SUMIF(Query4!$B$4:$B$5,A64,Query4!$F$4:$F$5)</f>
        <v>0</v>
      </c>
    </row>
    <row r="65" spans="1:8" x14ac:dyDescent="0.2">
      <c r="A65" s="5">
        <v>195</v>
      </c>
      <c r="B65" s="5">
        <v>1</v>
      </c>
      <c r="C65" s="2" t="s">
        <v>62</v>
      </c>
      <c r="D65" s="2">
        <v>131569.32999999999</v>
      </c>
      <c r="E65" s="2">
        <v>0</v>
      </c>
      <c r="G65" s="3">
        <f>SUMIF(Query1!$B$4:$B$14,A65,Query1!$F$4:$F$14)</f>
        <v>0</v>
      </c>
      <c r="H65" s="3">
        <f>SUMIF(Query4!$B$4:$B$5,A65,Query4!$F$4:$F$5)</f>
        <v>0</v>
      </c>
    </row>
    <row r="66" spans="1:8" x14ac:dyDescent="0.2">
      <c r="A66" s="5">
        <v>196</v>
      </c>
      <c r="B66" s="5">
        <v>1</v>
      </c>
      <c r="C66" s="2" t="s">
        <v>63</v>
      </c>
      <c r="D66" s="2">
        <v>24649765.27</v>
      </c>
      <c r="E66" s="2">
        <v>216109.03</v>
      </c>
      <c r="G66" s="3">
        <f>SUMIF(Query1!$B$4:$B$14,A66,Query1!$F$4:$F$14)</f>
        <v>0</v>
      </c>
      <c r="H66" s="3">
        <f>SUMIF(Query4!$B$4:$B$5,A66,Query4!$F$4:$F$5)</f>
        <v>0</v>
      </c>
    </row>
    <row r="67" spans="1:8" x14ac:dyDescent="0.2">
      <c r="A67" s="5">
        <v>197</v>
      </c>
      <c r="B67" s="5">
        <v>1</v>
      </c>
      <c r="C67" s="2" t="s">
        <v>64</v>
      </c>
      <c r="D67" s="2">
        <v>3037970.43</v>
      </c>
      <c r="E67" s="2">
        <v>65552.210000000006</v>
      </c>
      <c r="G67" s="3">
        <f>SUMIF(Query1!$B$4:$B$14,A67,Query1!$F$4:$F$14)</f>
        <v>0</v>
      </c>
      <c r="H67" s="3">
        <f>SUMIF(Query4!$B$4:$B$5,A67,Query4!$F$4:$F$5)</f>
        <v>0</v>
      </c>
    </row>
    <row r="68" spans="1:8" x14ac:dyDescent="0.2">
      <c r="A68" s="5">
        <v>199</v>
      </c>
      <c r="B68" s="5">
        <v>1</v>
      </c>
      <c r="C68" s="2" t="s">
        <v>65</v>
      </c>
      <c r="D68" s="2">
        <v>2416511.54</v>
      </c>
      <c r="E68" s="2">
        <v>41711.17</v>
      </c>
      <c r="G68" s="3">
        <f>SUMIF(Query1!$B$4:$B$14,A68,Query1!$F$4:$F$14)</f>
        <v>0</v>
      </c>
      <c r="H68" s="3">
        <f>SUMIF(Query4!$B$4:$B$5,A68,Query4!$F$4:$F$5)</f>
        <v>0</v>
      </c>
    </row>
    <row r="69" spans="1:8" x14ac:dyDescent="0.2">
      <c r="A69" s="5">
        <v>200</v>
      </c>
      <c r="B69" s="5">
        <v>1</v>
      </c>
      <c r="C69" s="2" t="s">
        <v>66</v>
      </c>
      <c r="D69" s="2">
        <v>4518221.1399999997</v>
      </c>
      <c r="E69" s="2">
        <v>0</v>
      </c>
      <c r="G69" s="3">
        <f>SUMIF(Query1!$B$4:$B$14,A69,Query1!$F$4:$F$14)</f>
        <v>0</v>
      </c>
      <c r="H69" s="3">
        <f>SUMIF(Query4!$B$4:$B$5,A69,Query4!$F$4:$F$5)</f>
        <v>0</v>
      </c>
    </row>
    <row r="70" spans="1:8" x14ac:dyDescent="0.2">
      <c r="A70" s="5">
        <v>203</v>
      </c>
      <c r="B70" s="5">
        <v>1</v>
      </c>
      <c r="C70" s="2" t="s">
        <v>67</v>
      </c>
      <c r="D70" s="2">
        <v>374918.38</v>
      </c>
      <c r="E70" s="2">
        <v>0</v>
      </c>
      <c r="G70" s="3">
        <f>SUMIF(Query1!$B$4:$B$14,A70,Query1!$F$4:$F$14)</f>
        <v>0</v>
      </c>
      <c r="H70" s="3">
        <f>SUMIF(Query4!$B$4:$B$5,A70,Query4!$F$4:$F$5)</f>
        <v>0</v>
      </c>
    </row>
    <row r="71" spans="1:8" x14ac:dyDescent="0.2">
      <c r="A71" s="5">
        <v>204</v>
      </c>
      <c r="B71" s="5">
        <v>1</v>
      </c>
      <c r="C71" s="2" t="s">
        <v>68</v>
      </c>
      <c r="D71" s="2">
        <v>476972.87</v>
      </c>
      <c r="E71" s="2">
        <v>0</v>
      </c>
      <c r="G71" s="3">
        <f>SUMIF(Query1!$B$4:$B$14,A71,Query1!$F$4:$F$14)</f>
        <v>0</v>
      </c>
      <c r="H71" s="3">
        <f>SUMIF(Query4!$B$4:$B$5,A71,Query4!$F$4:$F$5)</f>
        <v>0</v>
      </c>
    </row>
    <row r="72" spans="1:8" x14ac:dyDescent="0.2">
      <c r="A72" s="5">
        <v>206</v>
      </c>
      <c r="B72" s="5">
        <v>1</v>
      </c>
      <c r="C72" s="2" t="s">
        <v>69</v>
      </c>
      <c r="D72" s="2">
        <v>1634980.57</v>
      </c>
      <c r="E72" s="2">
        <v>0</v>
      </c>
      <c r="G72" s="3">
        <f>SUMIF(Query1!$B$4:$B$14,A72,Query1!$F$4:$F$14)</f>
        <v>0</v>
      </c>
      <c r="H72" s="3">
        <f>SUMIF(Query4!$B$4:$B$5,A72,Query4!$F$4:$F$5)</f>
        <v>0</v>
      </c>
    </row>
    <row r="73" spans="1:8" x14ac:dyDescent="0.2">
      <c r="A73" s="5">
        <v>207</v>
      </c>
      <c r="B73" s="5">
        <v>1</v>
      </c>
      <c r="C73" s="2" t="s">
        <v>70</v>
      </c>
      <c r="D73" s="2">
        <v>186859.16</v>
      </c>
      <c r="E73" s="2">
        <v>2538.59</v>
      </c>
      <c r="G73" s="3">
        <f>SUMIF(Query1!$B$4:$B$14,A73,Query1!$F$4:$F$14)</f>
        <v>0</v>
      </c>
      <c r="H73" s="3">
        <f>SUMIF(Query4!$B$4:$B$5,A73,Query4!$F$4:$F$5)</f>
        <v>0</v>
      </c>
    </row>
    <row r="74" spans="1:8" x14ac:dyDescent="0.2">
      <c r="A74" s="5">
        <v>208</v>
      </c>
      <c r="B74" s="5">
        <v>1</v>
      </c>
      <c r="C74" s="2" t="s">
        <v>71</v>
      </c>
      <c r="D74" s="2">
        <v>194715.36</v>
      </c>
      <c r="E74" s="2">
        <v>0</v>
      </c>
      <c r="G74" s="3">
        <f>SUMIF(Query1!$B$4:$B$14,A74,Query1!$F$4:$F$14)</f>
        <v>0</v>
      </c>
      <c r="H74" s="3">
        <f>SUMIF(Query4!$B$4:$B$5,A74,Query4!$F$4:$F$5)</f>
        <v>0</v>
      </c>
    </row>
    <row r="75" spans="1:8" x14ac:dyDescent="0.2">
      <c r="A75" s="5">
        <v>213</v>
      </c>
      <c r="B75" s="5">
        <v>1</v>
      </c>
      <c r="C75" s="2" t="s">
        <v>72</v>
      </c>
      <c r="D75" s="2">
        <v>166082.60999999999</v>
      </c>
      <c r="E75" s="2">
        <v>10594.3</v>
      </c>
      <c r="G75" s="3">
        <f>SUMIF(Query1!$B$4:$B$14,A75,Query1!$F$4:$F$14)</f>
        <v>0</v>
      </c>
      <c r="H75" s="3">
        <f>SUMIF(Query4!$B$4:$B$5,A75,Query4!$F$4:$F$5)</f>
        <v>0</v>
      </c>
    </row>
    <row r="76" spans="1:8" x14ac:dyDescent="0.2">
      <c r="A76" s="5">
        <v>227</v>
      </c>
      <c r="B76" s="5">
        <v>1</v>
      </c>
      <c r="C76" s="2" t="s">
        <v>73</v>
      </c>
      <c r="D76" s="2">
        <v>256656.42</v>
      </c>
      <c r="E76" s="2">
        <v>0</v>
      </c>
      <c r="G76" s="3">
        <f>SUMIF(Query1!$B$4:$B$14,A76,Query1!$F$4:$F$14)</f>
        <v>0</v>
      </c>
      <c r="H76" s="3">
        <f>SUMIF(Query4!$B$4:$B$5,A76,Query4!$F$4:$F$5)</f>
        <v>0</v>
      </c>
    </row>
    <row r="77" spans="1:8" x14ac:dyDescent="0.2">
      <c r="A77" s="5">
        <v>229</v>
      </c>
      <c r="B77" s="5">
        <v>1</v>
      </c>
      <c r="C77" s="2" t="s">
        <v>74</v>
      </c>
      <c r="D77" s="2">
        <v>99003.95</v>
      </c>
      <c r="E77" s="2">
        <v>0</v>
      </c>
      <c r="G77" s="3">
        <f>SUMIF(Query1!$B$4:$B$14,A77,Query1!$F$4:$F$14)</f>
        <v>0</v>
      </c>
      <c r="H77" s="3">
        <f>SUMIF(Query4!$B$4:$B$5,A77,Query4!$F$4:$F$5)</f>
        <v>0</v>
      </c>
    </row>
    <row r="78" spans="1:8" x14ac:dyDescent="0.2">
      <c r="A78" s="5">
        <v>238</v>
      </c>
      <c r="B78" s="5">
        <v>1</v>
      </c>
      <c r="C78" s="2" t="s">
        <v>75</v>
      </c>
      <c r="D78" s="2">
        <v>150579.47</v>
      </c>
      <c r="E78" s="2">
        <v>0</v>
      </c>
      <c r="G78" s="3">
        <f>SUMIF(Query1!$B$4:$B$14,A78,Query1!$F$4:$F$14)</f>
        <v>0</v>
      </c>
      <c r="H78" s="3">
        <f>SUMIF(Query4!$B$4:$B$5,A78,Query4!$F$4:$F$5)</f>
        <v>0</v>
      </c>
    </row>
    <row r="79" spans="1:8" x14ac:dyDescent="0.2">
      <c r="A79" s="5">
        <v>239</v>
      </c>
      <c r="B79" s="5">
        <v>1</v>
      </c>
      <c r="C79" s="2" t="s">
        <v>76</v>
      </c>
      <c r="D79" s="2">
        <v>364711.97</v>
      </c>
      <c r="E79" s="2">
        <v>9589.5499999999993</v>
      </c>
      <c r="G79" s="3">
        <f>SUMIF(Query1!$B$4:$B$14,A79,Query1!$F$4:$F$14)</f>
        <v>0</v>
      </c>
      <c r="H79" s="3">
        <f>SUMIF(Query4!$B$4:$B$5,A79,Query4!$F$4:$F$5)</f>
        <v>0</v>
      </c>
    </row>
    <row r="80" spans="1:8" x14ac:dyDescent="0.2">
      <c r="A80" s="5">
        <v>241</v>
      </c>
      <c r="B80" s="5">
        <v>1</v>
      </c>
      <c r="C80" s="2" t="s">
        <v>77</v>
      </c>
      <c r="D80" s="2">
        <v>2074117.33</v>
      </c>
      <c r="E80" s="2">
        <v>50826.37</v>
      </c>
      <c r="G80" s="3">
        <f>SUMIF(Query1!$B$4:$B$14,A80,Query1!$F$4:$F$14)</f>
        <v>0</v>
      </c>
      <c r="H80" s="3">
        <f>SUMIF(Query4!$B$4:$B$5,A80,Query4!$F$4:$F$5)</f>
        <v>0</v>
      </c>
    </row>
    <row r="81" spans="1:8" x14ac:dyDescent="0.2">
      <c r="A81" s="5">
        <v>242</v>
      </c>
      <c r="B81" s="5">
        <v>1</v>
      </c>
      <c r="C81" s="2" t="s">
        <v>78</v>
      </c>
      <c r="D81" s="2">
        <v>81381.440000000002</v>
      </c>
      <c r="E81" s="2">
        <v>0</v>
      </c>
      <c r="G81" s="3">
        <f>SUMIF(Query1!$B$4:$B$14,A81,Query1!$F$4:$F$14)</f>
        <v>0</v>
      </c>
      <c r="H81" s="3">
        <f>SUMIF(Query4!$B$4:$B$5,A81,Query4!$F$4:$F$5)</f>
        <v>0</v>
      </c>
    </row>
    <row r="82" spans="1:8" x14ac:dyDescent="0.2">
      <c r="A82" s="5">
        <v>252</v>
      </c>
      <c r="B82" s="5">
        <v>1</v>
      </c>
      <c r="C82" s="2" t="s">
        <v>79</v>
      </c>
      <c r="D82" s="2">
        <v>565416.27</v>
      </c>
      <c r="E82" s="2">
        <v>9519.31</v>
      </c>
      <c r="G82" s="3">
        <f>SUMIF(Query1!$B$4:$B$14,A82,Query1!$F$4:$F$14)</f>
        <v>0</v>
      </c>
      <c r="H82" s="3">
        <f>SUMIF(Query4!$B$4:$B$5,A82,Query4!$F$4:$F$5)</f>
        <v>0</v>
      </c>
    </row>
    <row r="83" spans="1:8" x14ac:dyDescent="0.2">
      <c r="A83" s="5">
        <v>253</v>
      </c>
      <c r="B83" s="5">
        <v>1</v>
      </c>
      <c r="C83" s="2" t="s">
        <v>80</v>
      </c>
      <c r="D83" s="2">
        <v>126171.02</v>
      </c>
      <c r="E83" s="2">
        <v>0</v>
      </c>
      <c r="G83" s="3">
        <f>SUMIF(Query1!$B$4:$B$14,A83,Query1!$F$4:$F$14)</f>
        <v>0</v>
      </c>
      <c r="H83" s="3">
        <f>SUMIF(Query4!$B$4:$B$5,A83,Query4!$F$4:$F$5)</f>
        <v>0</v>
      </c>
    </row>
    <row r="84" spans="1:8" x14ac:dyDescent="0.2">
      <c r="A84" s="5">
        <v>255</v>
      </c>
      <c r="B84" s="5">
        <v>1</v>
      </c>
      <c r="C84" s="2" t="s">
        <v>81</v>
      </c>
      <c r="D84" s="2">
        <v>590590.92000000004</v>
      </c>
      <c r="E84" s="2">
        <v>0</v>
      </c>
      <c r="G84" s="3">
        <f>SUMIF(Query1!$B$4:$B$14,A84,Query1!$F$4:$F$14)</f>
        <v>0</v>
      </c>
      <c r="H84" s="3">
        <f>SUMIF(Query4!$B$4:$B$5,A84,Query4!$F$4:$F$5)</f>
        <v>0</v>
      </c>
    </row>
    <row r="85" spans="1:8" x14ac:dyDescent="0.2">
      <c r="A85" s="5">
        <v>256</v>
      </c>
      <c r="B85" s="5">
        <v>1</v>
      </c>
      <c r="C85" s="2" t="s">
        <v>82</v>
      </c>
      <c r="D85" s="2">
        <v>2025726.88</v>
      </c>
      <c r="E85" s="2">
        <v>32195.26</v>
      </c>
      <c r="G85" s="3">
        <f>SUMIF(Query1!$B$4:$B$14,A85,Query1!$F$4:$F$14)</f>
        <v>0</v>
      </c>
      <c r="H85" s="3">
        <f>SUMIF(Query4!$B$4:$B$5,A85,Query4!$F$4:$F$5)</f>
        <v>0</v>
      </c>
    </row>
    <row r="86" spans="1:8" x14ac:dyDescent="0.2">
      <c r="A86" s="5">
        <v>261</v>
      </c>
      <c r="B86" s="5">
        <v>1</v>
      </c>
      <c r="C86" s="2" t="s">
        <v>83</v>
      </c>
      <c r="D86" s="2">
        <v>173701.56</v>
      </c>
      <c r="E86" s="2">
        <v>0</v>
      </c>
      <c r="G86" s="3">
        <f>SUMIF(Query1!$B$4:$B$14,A86,Query1!$F$4:$F$14)</f>
        <v>0</v>
      </c>
      <c r="H86" s="3">
        <f>SUMIF(Query4!$B$4:$B$5,A86,Query4!$F$4:$F$5)</f>
        <v>0</v>
      </c>
    </row>
    <row r="87" spans="1:8" x14ac:dyDescent="0.2">
      <c r="A87" s="5">
        <v>264</v>
      </c>
      <c r="B87" s="5">
        <v>1</v>
      </c>
      <c r="C87" s="2" t="s">
        <v>84</v>
      </c>
      <c r="D87" s="2">
        <v>7939.71</v>
      </c>
      <c r="E87" s="2">
        <v>0</v>
      </c>
      <c r="G87" s="3">
        <f>SUMIF(Query1!$B$4:$B$14,A87,Query1!$F$4:$F$14)</f>
        <v>-96481</v>
      </c>
      <c r="H87" s="3">
        <f>SUMIF(Query4!$B$4:$B$5,A87,Query4!$F$4:$F$5)</f>
        <v>0</v>
      </c>
    </row>
    <row r="88" spans="1:8" x14ac:dyDescent="0.2">
      <c r="A88" s="5">
        <v>270</v>
      </c>
      <c r="B88" s="5">
        <v>1</v>
      </c>
      <c r="C88" s="2" t="s">
        <v>85</v>
      </c>
      <c r="D88" s="2">
        <v>8641071.4300000016</v>
      </c>
      <c r="E88" s="2">
        <v>75890.539999999994</v>
      </c>
      <c r="G88" s="3">
        <f>SUMIF(Query1!$B$4:$B$14,A88,Query1!$F$4:$F$14)</f>
        <v>0</v>
      </c>
      <c r="H88" s="3">
        <f>SUMIF(Query4!$B$4:$B$5,A88,Query4!$F$4:$F$5)</f>
        <v>0</v>
      </c>
    </row>
    <row r="89" spans="1:8" x14ac:dyDescent="0.2">
      <c r="A89" s="5">
        <v>271</v>
      </c>
      <c r="B89" s="5">
        <v>1</v>
      </c>
      <c r="C89" s="2" t="s">
        <v>86</v>
      </c>
      <c r="D89" s="2">
        <v>11470445.35</v>
      </c>
      <c r="E89" s="2">
        <v>128071.28</v>
      </c>
      <c r="G89" s="3">
        <f>SUMIF(Query1!$B$4:$B$14,A89,Query1!$F$4:$F$14)</f>
        <v>0</v>
      </c>
      <c r="H89" s="3">
        <f>SUMIF(Query4!$B$4:$B$5,A89,Query4!$F$4:$F$5)</f>
        <v>0</v>
      </c>
    </row>
    <row r="90" spans="1:8" x14ac:dyDescent="0.2">
      <c r="A90" s="5">
        <v>272</v>
      </c>
      <c r="B90" s="5">
        <v>1</v>
      </c>
      <c r="C90" s="2" t="s">
        <v>87</v>
      </c>
      <c r="D90" s="2">
        <v>9709147.870000001</v>
      </c>
      <c r="E90" s="2">
        <v>78332.990000000005</v>
      </c>
      <c r="G90" s="3">
        <f>SUMIF(Query1!$B$4:$B$14,A90,Query1!$F$4:$F$14)</f>
        <v>0</v>
      </c>
      <c r="H90" s="3">
        <f>SUMIF(Query4!$B$4:$B$5,A90,Query4!$F$4:$F$5)</f>
        <v>0</v>
      </c>
    </row>
    <row r="91" spans="1:8" x14ac:dyDescent="0.2">
      <c r="A91" s="5">
        <v>273</v>
      </c>
      <c r="B91" s="5">
        <v>1</v>
      </c>
      <c r="C91" s="2" t="s">
        <v>88</v>
      </c>
      <c r="D91" s="2">
        <v>7984051.9500000002</v>
      </c>
      <c r="E91" s="2">
        <v>41494.25</v>
      </c>
      <c r="G91" s="3">
        <f>SUMIF(Query1!$B$4:$B$14,A91,Query1!$F$4:$F$14)</f>
        <v>0</v>
      </c>
      <c r="H91" s="3">
        <f>SUMIF(Query4!$B$4:$B$5,A91,Query4!$F$4:$F$5)</f>
        <v>0</v>
      </c>
    </row>
    <row r="92" spans="1:8" x14ac:dyDescent="0.2">
      <c r="A92" s="5">
        <v>276</v>
      </c>
      <c r="B92" s="5">
        <v>1</v>
      </c>
      <c r="C92" s="2" t="s">
        <v>89</v>
      </c>
      <c r="D92" s="2">
        <v>9332931.3900000006</v>
      </c>
      <c r="E92" s="2">
        <v>40212.019999999997</v>
      </c>
      <c r="G92" s="3">
        <f>SUMIF(Query1!$B$4:$B$14,A92,Query1!$F$4:$F$14)</f>
        <v>0</v>
      </c>
      <c r="H92" s="3">
        <f>SUMIF(Query4!$B$4:$B$5,A92,Query4!$F$4:$F$5)</f>
        <v>0</v>
      </c>
    </row>
    <row r="93" spans="1:8" x14ac:dyDescent="0.2">
      <c r="A93" s="5">
        <v>277</v>
      </c>
      <c r="B93" s="5">
        <v>1</v>
      </c>
      <c r="C93" s="2" t="s">
        <v>90</v>
      </c>
      <c r="D93" s="2">
        <v>2477909.89</v>
      </c>
      <c r="E93" s="2">
        <v>24064.55</v>
      </c>
      <c r="G93" s="3">
        <f>SUMIF(Query1!$B$4:$B$14,A93,Query1!$F$4:$F$14)</f>
        <v>0</v>
      </c>
      <c r="H93" s="3">
        <f>SUMIF(Query4!$B$4:$B$5,A93,Query4!$F$4:$F$5)</f>
        <v>0</v>
      </c>
    </row>
    <row r="94" spans="1:8" x14ac:dyDescent="0.2">
      <c r="A94" s="5">
        <v>278</v>
      </c>
      <c r="B94" s="5">
        <v>1</v>
      </c>
      <c r="C94" s="2" t="s">
        <v>91</v>
      </c>
      <c r="D94" s="2">
        <v>2502151.0499999998</v>
      </c>
      <c r="E94" s="2">
        <v>12038.26</v>
      </c>
      <c r="G94" s="3">
        <f>SUMIF(Query1!$B$4:$B$14,A94,Query1!$F$4:$F$14)</f>
        <v>0</v>
      </c>
      <c r="H94" s="3">
        <f>SUMIF(Query4!$B$4:$B$5,A94,Query4!$F$4:$F$5)</f>
        <v>0</v>
      </c>
    </row>
    <row r="95" spans="1:8" x14ac:dyDescent="0.2">
      <c r="A95" s="5">
        <v>279</v>
      </c>
      <c r="B95" s="5">
        <v>1</v>
      </c>
      <c r="C95" s="2" t="s">
        <v>92</v>
      </c>
      <c r="D95" s="2">
        <v>19507450.530000001</v>
      </c>
      <c r="E95" s="2">
        <v>231045.96</v>
      </c>
      <c r="G95" s="3">
        <f>SUMIF(Query1!$B$4:$B$14,A95,Query1!$F$4:$F$14)</f>
        <v>0</v>
      </c>
      <c r="H95" s="3">
        <f>SUMIF(Query4!$B$4:$B$5,A95,Query4!$F$4:$F$5)</f>
        <v>0</v>
      </c>
    </row>
    <row r="96" spans="1:8" x14ac:dyDescent="0.2">
      <c r="A96" s="5">
        <v>280</v>
      </c>
      <c r="B96" s="5">
        <v>1</v>
      </c>
      <c r="C96" s="2" t="s">
        <v>93</v>
      </c>
      <c r="D96" s="2">
        <v>3893898.63</v>
      </c>
      <c r="E96" s="2">
        <v>67485.070000000007</v>
      </c>
      <c r="G96" s="3">
        <f>SUMIF(Query1!$B$4:$B$14,A96,Query1!$F$4:$F$14)</f>
        <v>0</v>
      </c>
      <c r="H96" s="3">
        <f>SUMIF(Query4!$B$4:$B$5,A96,Query4!$F$4:$F$5)</f>
        <v>0</v>
      </c>
    </row>
    <row r="97" spans="1:8" x14ac:dyDescent="0.2">
      <c r="A97" s="5">
        <v>281</v>
      </c>
      <c r="B97" s="5">
        <v>1</v>
      </c>
      <c r="C97" s="2" t="s">
        <v>94</v>
      </c>
      <c r="D97" s="2">
        <v>13203882.270000001</v>
      </c>
      <c r="E97" s="2">
        <v>168195.59</v>
      </c>
      <c r="G97" s="3">
        <f>SUMIF(Query1!$B$4:$B$14,A97,Query1!$F$4:$F$14)</f>
        <v>0</v>
      </c>
      <c r="H97" s="3">
        <f>SUMIF(Query4!$B$4:$B$5,A97,Query4!$F$4:$F$5)</f>
        <v>0</v>
      </c>
    </row>
    <row r="98" spans="1:8" x14ac:dyDescent="0.2">
      <c r="A98" s="5">
        <v>282</v>
      </c>
      <c r="B98" s="5">
        <v>1</v>
      </c>
      <c r="C98" s="2" t="s">
        <v>95</v>
      </c>
      <c r="D98" s="2">
        <v>1409512.49</v>
      </c>
      <c r="E98" s="2">
        <v>0</v>
      </c>
      <c r="G98" s="3">
        <f>SUMIF(Query1!$B$4:$B$14,A98,Query1!$F$4:$F$14)</f>
        <v>0</v>
      </c>
      <c r="H98" s="3">
        <f>SUMIF(Query4!$B$4:$B$5,A98,Query4!$F$4:$F$5)</f>
        <v>0</v>
      </c>
    </row>
    <row r="99" spans="1:8" x14ac:dyDescent="0.2">
      <c r="A99" s="5">
        <v>283</v>
      </c>
      <c r="B99" s="5">
        <v>1</v>
      </c>
      <c r="C99" s="2" t="s">
        <v>96</v>
      </c>
      <c r="D99" s="2">
        <v>4389906.9800000004</v>
      </c>
      <c r="E99" s="2">
        <v>68000.820000000007</v>
      </c>
      <c r="G99" s="3">
        <f>SUMIF(Query1!$B$4:$B$14,A99,Query1!$F$4:$F$14)</f>
        <v>0</v>
      </c>
      <c r="H99" s="3">
        <f>SUMIF(Query4!$B$4:$B$5,A99,Query4!$F$4:$F$5)</f>
        <v>0</v>
      </c>
    </row>
    <row r="100" spans="1:8" x14ac:dyDescent="0.2">
      <c r="A100" s="5">
        <v>284</v>
      </c>
      <c r="B100" s="5">
        <v>1</v>
      </c>
      <c r="C100" s="2" t="s">
        <v>97</v>
      </c>
      <c r="D100" s="2">
        <v>13379301.41</v>
      </c>
      <c r="E100" s="2">
        <v>63018.03</v>
      </c>
      <c r="G100" s="3">
        <f>SUMIF(Query1!$B$4:$B$14,A100,Query1!$F$4:$F$14)</f>
        <v>0</v>
      </c>
      <c r="H100" s="3">
        <f>SUMIF(Query4!$B$4:$B$5,A100,Query4!$F$4:$F$5)</f>
        <v>0</v>
      </c>
    </row>
    <row r="101" spans="1:8" x14ac:dyDescent="0.2">
      <c r="A101" s="5">
        <v>286</v>
      </c>
      <c r="B101" s="5">
        <v>1</v>
      </c>
      <c r="C101" s="2" t="s">
        <v>98</v>
      </c>
      <c r="D101" s="2">
        <v>567621.77</v>
      </c>
      <c r="E101" s="2">
        <v>0</v>
      </c>
      <c r="G101" s="3">
        <f>SUMIF(Query1!$B$4:$B$14,A101,Query1!$F$4:$F$14)</f>
        <v>0</v>
      </c>
      <c r="H101" s="3">
        <f>SUMIF(Query4!$B$4:$B$5,A101,Query4!$F$4:$F$5)</f>
        <v>0</v>
      </c>
    </row>
    <row r="102" spans="1:8" x14ac:dyDescent="0.2">
      <c r="A102" s="5">
        <v>294</v>
      </c>
      <c r="B102" s="5">
        <v>1</v>
      </c>
      <c r="C102" s="2" t="s">
        <v>99</v>
      </c>
      <c r="D102" s="2">
        <v>258516.77</v>
      </c>
      <c r="E102" s="2">
        <v>0</v>
      </c>
      <c r="G102" s="3">
        <f>SUMIF(Query1!$B$4:$B$14,A102,Query1!$F$4:$F$14)</f>
        <v>0</v>
      </c>
      <c r="H102" s="3">
        <f>SUMIF(Query4!$B$4:$B$5,A102,Query4!$F$4:$F$5)</f>
        <v>0</v>
      </c>
    </row>
    <row r="103" spans="1:8" x14ac:dyDescent="0.2">
      <c r="A103" s="5">
        <v>297</v>
      </c>
      <c r="B103" s="5">
        <v>1</v>
      </c>
      <c r="C103" s="2" t="s">
        <v>100</v>
      </c>
      <c r="D103" s="2">
        <v>190030.95</v>
      </c>
      <c r="E103" s="2">
        <v>4511.76</v>
      </c>
      <c r="G103" s="3">
        <f>SUMIF(Query1!$B$4:$B$14,A103,Query1!$F$4:$F$14)</f>
        <v>0</v>
      </c>
      <c r="H103" s="3">
        <f>SUMIF(Query4!$B$4:$B$5,A103,Query4!$F$4:$F$5)</f>
        <v>0</v>
      </c>
    </row>
    <row r="104" spans="1:8" x14ac:dyDescent="0.2">
      <c r="A104" s="5">
        <v>299</v>
      </c>
      <c r="B104" s="5">
        <v>1</v>
      </c>
      <c r="C104" s="2" t="s">
        <v>101</v>
      </c>
      <c r="D104" s="2">
        <v>369273.07</v>
      </c>
      <c r="E104" s="2">
        <v>0</v>
      </c>
      <c r="G104" s="3">
        <f>SUMIF(Query1!$B$4:$B$14,A104,Query1!$F$4:$F$14)</f>
        <v>0</v>
      </c>
      <c r="H104" s="3">
        <f>SUMIF(Query4!$B$4:$B$5,A104,Query4!$F$4:$F$5)</f>
        <v>0</v>
      </c>
    </row>
    <row r="105" spans="1:8" x14ac:dyDescent="0.2">
      <c r="A105" s="5">
        <v>300</v>
      </c>
      <c r="B105" s="5">
        <v>1</v>
      </c>
      <c r="C105" s="2" t="s">
        <v>102</v>
      </c>
      <c r="D105" s="2">
        <v>622887.16</v>
      </c>
      <c r="E105" s="2">
        <v>0</v>
      </c>
      <c r="G105" s="3">
        <f>SUMIF(Query1!$B$4:$B$14,A105,Query1!$F$4:$F$14)</f>
        <v>0</v>
      </c>
      <c r="H105" s="3">
        <f>SUMIF(Query4!$B$4:$B$5,A105,Query4!$F$4:$F$5)</f>
        <v>0</v>
      </c>
    </row>
    <row r="106" spans="1:8" x14ac:dyDescent="0.2">
      <c r="A106" s="5">
        <v>306</v>
      </c>
      <c r="B106" s="5">
        <v>1</v>
      </c>
      <c r="C106" s="2" t="s">
        <v>103</v>
      </c>
      <c r="D106" s="2">
        <v>86032.5</v>
      </c>
      <c r="E106" s="2">
        <v>0</v>
      </c>
      <c r="G106" s="3">
        <f>SUMIF(Query1!$B$4:$B$14,A106,Query1!$F$4:$F$14)</f>
        <v>0</v>
      </c>
      <c r="H106" s="3">
        <f>SUMIF(Query4!$B$4:$B$5,A106,Query4!$F$4:$F$5)</f>
        <v>0</v>
      </c>
    </row>
    <row r="107" spans="1:8" x14ac:dyDescent="0.2">
      <c r="A107" s="5">
        <v>308</v>
      </c>
      <c r="B107" s="5">
        <v>1</v>
      </c>
      <c r="C107" s="2" t="s">
        <v>104</v>
      </c>
      <c r="D107" s="2">
        <v>156534.54</v>
      </c>
      <c r="E107" s="2">
        <v>0</v>
      </c>
      <c r="G107" s="3">
        <f>SUMIF(Query1!$B$4:$B$14,A107,Query1!$F$4:$F$14)</f>
        <v>0</v>
      </c>
      <c r="H107" s="3">
        <f>SUMIF(Query4!$B$4:$B$5,A107,Query4!$F$4:$F$5)</f>
        <v>0</v>
      </c>
    </row>
    <row r="108" spans="1:8" x14ac:dyDescent="0.2">
      <c r="A108" s="5">
        <v>309</v>
      </c>
      <c r="B108" s="5">
        <v>1</v>
      </c>
      <c r="C108" s="2" t="s">
        <v>105</v>
      </c>
      <c r="D108" s="2">
        <v>739187.14</v>
      </c>
      <c r="E108" s="2">
        <v>26338.82</v>
      </c>
      <c r="G108" s="3">
        <f>SUMIF(Query1!$B$4:$B$14,A108,Query1!$F$4:$F$14)</f>
        <v>0</v>
      </c>
      <c r="H108" s="3">
        <f>SUMIF(Query4!$B$4:$B$5,A108,Query4!$F$4:$F$5)</f>
        <v>0</v>
      </c>
    </row>
    <row r="109" spans="1:8" x14ac:dyDescent="0.2">
      <c r="A109" s="5">
        <v>314</v>
      </c>
      <c r="B109" s="5">
        <v>1</v>
      </c>
      <c r="C109" s="2" t="s">
        <v>106</v>
      </c>
      <c r="D109" s="2">
        <v>292845.31</v>
      </c>
      <c r="E109" s="2">
        <v>0</v>
      </c>
      <c r="G109" s="3">
        <f>SUMIF(Query1!$B$4:$B$14,A109,Query1!$F$4:$F$14)</f>
        <v>0</v>
      </c>
      <c r="H109" s="3">
        <f>SUMIF(Query4!$B$4:$B$5,A109,Query4!$F$4:$F$5)</f>
        <v>0</v>
      </c>
    </row>
    <row r="110" spans="1:8" x14ac:dyDescent="0.2">
      <c r="A110" s="5">
        <v>316</v>
      </c>
      <c r="B110" s="5">
        <v>1</v>
      </c>
      <c r="C110" s="2" t="s">
        <v>107</v>
      </c>
      <c r="D110" s="2">
        <v>108928.85</v>
      </c>
      <c r="E110" s="2">
        <v>0</v>
      </c>
      <c r="G110" s="3">
        <f>SUMIF(Query1!$B$4:$B$14,A110,Query1!$F$4:$F$14)</f>
        <v>-383762.27</v>
      </c>
      <c r="H110" s="3">
        <f>SUMIF(Query4!$B$4:$B$5,A110,Query4!$F$4:$F$5)</f>
        <v>0</v>
      </c>
    </row>
    <row r="111" spans="1:8" x14ac:dyDescent="0.2">
      <c r="A111" s="5">
        <v>317</v>
      </c>
      <c r="B111" s="5">
        <v>1</v>
      </c>
      <c r="C111" s="2" t="s">
        <v>108</v>
      </c>
      <c r="D111" s="2">
        <v>51162.67</v>
      </c>
      <c r="E111" s="2">
        <v>0</v>
      </c>
      <c r="G111" s="3">
        <f>SUMIF(Query1!$B$4:$B$14,A111,Query1!$F$4:$F$14)</f>
        <v>0</v>
      </c>
      <c r="H111" s="3">
        <f>SUMIF(Query4!$B$4:$B$5,A111,Query4!$F$4:$F$5)</f>
        <v>0</v>
      </c>
    </row>
    <row r="112" spans="1:8" x14ac:dyDescent="0.2">
      <c r="A112" s="5">
        <v>318</v>
      </c>
      <c r="B112" s="5">
        <v>1</v>
      </c>
      <c r="C112" s="2" t="s">
        <v>109</v>
      </c>
      <c r="D112" s="2">
        <v>986666.44</v>
      </c>
      <c r="E112" s="2">
        <v>35042.26</v>
      </c>
      <c r="G112" s="3">
        <f>SUMIF(Query1!$B$4:$B$14,A112,Query1!$F$4:$F$14)</f>
        <v>0</v>
      </c>
      <c r="H112" s="3">
        <f>SUMIF(Query4!$B$4:$B$5,A112,Query4!$F$4:$F$5)</f>
        <v>0</v>
      </c>
    </row>
    <row r="113" spans="1:8" x14ac:dyDescent="0.2">
      <c r="A113" s="5">
        <v>319</v>
      </c>
      <c r="B113" s="5">
        <v>1</v>
      </c>
      <c r="C113" s="2" t="s">
        <v>110</v>
      </c>
      <c r="D113" s="2">
        <v>282449.56</v>
      </c>
      <c r="E113" s="2">
        <v>6632.47</v>
      </c>
      <c r="G113" s="3">
        <f>SUMIF(Query1!$B$4:$B$14,A113,Query1!$F$4:$F$14)</f>
        <v>0</v>
      </c>
      <c r="H113" s="3">
        <f>SUMIF(Query4!$B$4:$B$5,A113,Query4!$F$4:$F$5)</f>
        <v>0</v>
      </c>
    </row>
    <row r="114" spans="1:8" x14ac:dyDescent="0.2">
      <c r="A114" s="5">
        <v>323</v>
      </c>
      <c r="B114" s="5">
        <v>2</v>
      </c>
      <c r="C114" s="2" t="s">
        <v>111</v>
      </c>
      <c r="D114" s="2">
        <v>27198.85</v>
      </c>
      <c r="E114" s="2">
        <v>0</v>
      </c>
      <c r="G114" s="3">
        <f>SUMIF(Query1!$B$4:$B$14,A114,Query1!$F$4:$F$14)</f>
        <v>0</v>
      </c>
      <c r="H114" s="3">
        <f>SUMIF(Query4!$B$4:$B$5,A114,Query4!$F$4:$F$5)</f>
        <v>0</v>
      </c>
    </row>
    <row r="115" spans="1:8" x14ac:dyDescent="0.2">
      <c r="A115" s="5">
        <v>330</v>
      </c>
      <c r="B115" s="5">
        <v>1</v>
      </c>
      <c r="C115" s="2" t="s">
        <v>112</v>
      </c>
      <c r="D115" s="2">
        <v>215740.07</v>
      </c>
      <c r="E115" s="2">
        <v>2887.92</v>
      </c>
      <c r="G115" s="3">
        <f>SUMIF(Query1!$B$4:$B$14,A115,Query1!$F$4:$F$14)</f>
        <v>0</v>
      </c>
      <c r="H115" s="3">
        <f>SUMIF(Query4!$B$4:$B$5,A115,Query4!$F$4:$F$5)</f>
        <v>0</v>
      </c>
    </row>
    <row r="116" spans="1:8" x14ac:dyDescent="0.2">
      <c r="A116" s="5">
        <v>332</v>
      </c>
      <c r="B116" s="5">
        <v>1</v>
      </c>
      <c r="C116" s="2" t="s">
        <v>113</v>
      </c>
      <c r="D116" s="2">
        <v>475549.4</v>
      </c>
      <c r="E116" s="2">
        <v>0</v>
      </c>
      <c r="G116" s="3">
        <f>SUMIF(Query1!$B$4:$B$14,A116,Query1!$F$4:$F$14)</f>
        <v>0</v>
      </c>
      <c r="H116" s="3">
        <f>SUMIF(Query4!$B$4:$B$5,A116,Query4!$F$4:$F$5)</f>
        <v>0</v>
      </c>
    </row>
    <row r="117" spans="1:8" x14ac:dyDescent="0.2">
      <c r="A117" s="5">
        <v>333</v>
      </c>
      <c r="B117" s="5">
        <v>1</v>
      </c>
      <c r="C117" s="2" t="s">
        <v>114</v>
      </c>
      <c r="D117" s="2">
        <v>117198.1</v>
      </c>
      <c r="E117" s="2">
        <v>0</v>
      </c>
      <c r="G117" s="3">
        <f>SUMIF(Query1!$B$4:$B$14,A117,Query1!$F$4:$F$14)</f>
        <v>0</v>
      </c>
      <c r="H117" s="3">
        <f>SUMIF(Query4!$B$4:$B$5,A117,Query4!$F$4:$F$5)</f>
        <v>0</v>
      </c>
    </row>
    <row r="118" spans="1:8" x14ac:dyDescent="0.2">
      <c r="A118" s="5">
        <v>345</v>
      </c>
      <c r="B118" s="5">
        <v>1</v>
      </c>
      <c r="C118" s="2" t="s">
        <v>115</v>
      </c>
      <c r="D118" s="2">
        <v>750359.74</v>
      </c>
      <c r="E118" s="2">
        <v>12874.28</v>
      </c>
      <c r="G118" s="3">
        <f>SUMIF(Query1!$B$4:$B$14,A118,Query1!$F$4:$F$14)</f>
        <v>0</v>
      </c>
      <c r="H118" s="3">
        <f>SUMIF(Query4!$B$4:$B$5,A118,Query4!$F$4:$F$5)</f>
        <v>0</v>
      </c>
    </row>
    <row r="119" spans="1:8" x14ac:dyDescent="0.2">
      <c r="A119" s="5">
        <v>347</v>
      </c>
      <c r="B119" s="5">
        <v>1</v>
      </c>
      <c r="C119" s="2" t="s">
        <v>116</v>
      </c>
      <c r="D119" s="2">
        <v>1771282.06</v>
      </c>
      <c r="E119" s="2">
        <v>0</v>
      </c>
      <c r="G119" s="3">
        <f>SUMIF(Query1!$B$4:$B$14,A119,Query1!$F$4:$F$14)</f>
        <v>0</v>
      </c>
      <c r="H119" s="3">
        <f>SUMIF(Query4!$B$4:$B$5,A119,Query4!$F$4:$F$5)</f>
        <v>0</v>
      </c>
    </row>
    <row r="120" spans="1:8" x14ac:dyDescent="0.2">
      <c r="A120" s="5">
        <v>356</v>
      </c>
      <c r="B120" s="5">
        <v>1</v>
      </c>
      <c r="C120" s="2" t="s">
        <v>117</v>
      </c>
      <c r="D120" s="2">
        <v>47199.17</v>
      </c>
      <c r="E120" s="2">
        <v>0</v>
      </c>
      <c r="G120" s="3">
        <f>SUMIF(Query1!$B$4:$B$14,A120,Query1!$F$4:$F$14)</f>
        <v>0</v>
      </c>
      <c r="H120" s="3">
        <f>SUMIF(Query4!$B$4:$B$5,A120,Query4!$F$4:$F$5)</f>
        <v>0</v>
      </c>
    </row>
    <row r="121" spans="1:8" x14ac:dyDescent="0.2">
      <c r="A121" s="5">
        <v>361</v>
      </c>
      <c r="B121" s="5">
        <v>1</v>
      </c>
      <c r="C121" s="2" t="s">
        <v>118</v>
      </c>
      <c r="D121" s="2">
        <v>712064.04</v>
      </c>
      <c r="E121" s="2">
        <v>34083.269999999997</v>
      </c>
      <c r="G121" s="3">
        <f>SUMIF(Query1!$B$4:$B$14,A121,Query1!$F$4:$F$14)</f>
        <v>0</v>
      </c>
      <c r="H121" s="3">
        <f>SUMIF(Query4!$B$4:$B$5,A121,Query4!$F$4:$F$5)</f>
        <v>0</v>
      </c>
    </row>
    <row r="122" spans="1:8" x14ac:dyDescent="0.2">
      <c r="A122" s="5">
        <v>362</v>
      </c>
      <c r="B122" s="5">
        <v>1</v>
      </c>
      <c r="C122" s="2" t="s">
        <v>119</v>
      </c>
      <c r="D122" s="2">
        <v>75249.97</v>
      </c>
      <c r="E122" s="2">
        <v>0</v>
      </c>
      <c r="G122" s="3">
        <f>SUMIF(Query1!$B$4:$B$14,A122,Query1!$F$4:$F$14)</f>
        <v>0</v>
      </c>
      <c r="H122" s="3">
        <f>SUMIF(Query4!$B$4:$B$5,A122,Query4!$F$4:$F$5)</f>
        <v>0</v>
      </c>
    </row>
    <row r="123" spans="1:8" x14ac:dyDescent="0.2">
      <c r="A123" s="5">
        <v>363</v>
      </c>
      <c r="B123" s="5">
        <v>1</v>
      </c>
      <c r="C123" s="2" t="s">
        <v>120</v>
      </c>
      <c r="D123" s="2">
        <v>43974.7</v>
      </c>
      <c r="E123" s="2">
        <v>0</v>
      </c>
      <c r="G123" s="3">
        <f>SUMIF(Query1!$B$4:$B$14,A123,Query1!$F$4:$F$14)</f>
        <v>0</v>
      </c>
      <c r="H123" s="3">
        <f>SUMIF(Query4!$B$4:$B$5,A123,Query4!$F$4:$F$5)</f>
        <v>0</v>
      </c>
    </row>
    <row r="124" spans="1:8" x14ac:dyDescent="0.2">
      <c r="A124" s="5">
        <v>378</v>
      </c>
      <c r="B124" s="5">
        <v>1</v>
      </c>
      <c r="C124" s="2" t="s">
        <v>121</v>
      </c>
      <c r="D124" s="2">
        <v>219466.62</v>
      </c>
      <c r="E124" s="2">
        <v>9282.56</v>
      </c>
      <c r="G124" s="3">
        <f>SUMIF(Query1!$B$4:$B$14,A124,Query1!$F$4:$F$14)</f>
        <v>0</v>
      </c>
      <c r="H124" s="3">
        <f>SUMIF(Query4!$B$4:$B$5,A124,Query4!$F$4:$F$5)</f>
        <v>0</v>
      </c>
    </row>
    <row r="125" spans="1:8" x14ac:dyDescent="0.2">
      <c r="A125" s="5">
        <v>381</v>
      </c>
      <c r="B125" s="5">
        <v>1</v>
      </c>
      <c r="C125" s="2" t="s">
        <v>122</v>
      </c>
      <c r="D125" s="2">
        <v>147512.54</v>
      </c>
      <c r="E125" s="2">
        <v>0</v>
      </c>
      <c r="G125" s="3">
        <f>SUMIF(Query1!$B$4:$B$14,A125,Query1!$F$4:$F$14)</f>
        <v>0</v>
      </c>
      <c r="H125" s="3">
        <f>SUMIF(Query4!$B$4:$B$5,A125,Query4!$F$4:$F$5)</f>
        <v>0</v>
      </c>
    </row>
    <row r="126" spans="1:8" x14ac:dyDescent="0.2">
      <c r="A126" s="5">
        <v>390</v>
      </c>
      <c r="B126" s="5">
        <v>1</v>
      </c>
      <c r="C126" s="2" t="s">
        <v>123</v>
      </c>
      <c r="D126" s="2">
        <v>350751.23</v>
      </c>
      <c r="E126" s="2">
        <v>8286.23</v>
      </c>
      <c r="G126" s="3">
        <f>SUMIF(Query1!$B$4:$B$14,A126,Query1!$F$4:$F$14)</f>
        <v>0</v>
      </c>
      <c r="H126" s="3">
        <f>SUMIF(Query4!$B$4:$B$5,A126,Query4!$F$4:$F$5)</f>
        <v>0</v>
      </c>
    </row>
    <row r="127" spans="1:8" x14ac:dyDescent="0.2">
      <c r="A127" s="5">
        <v>391</v>
      </c>
      <c r="B127" s="5">
        <v>1</v>
      </c>
      <c r="C127" s="2" t="s">
        <v>124</v>
      </c>
      <c r="D127" s="2">
        <v>314789.33</v>
      </c>
      <c r="E127" s="2">
        <v>2929.35</v>
      </c>
      <c r="G127" s="3">
        <f>SUMIF(Query1!$B$4:$B$14,A127,Query1!$F$4:$F$14)</f>
        <v>0</v>
      </c>
      <c r="H127" s="3">
        <f>SUMIF(Query4!$B$4:$B$5,A127,Query4!$F$4:$F$5)</f>
        <v>0</v>
      </c>
    </row>
    <row r="128" spans="1:8" x14ac:dyDescent="0.2">
      <c r="A128" s="5">
        <v>392</v>
      </c>
      <c r="B128" s="5">
        <v>1</v>
      </c>
      <c r="C128" s="2" t="s">
        <v>125</v>
      </c>
      <c r="D128" s="2">
        <v>355498.03</v>
      </c>
      <c r="E128" s="2">
        <v>0</v>
      </c>
      <c r="G128" s="3">
        <f>SUMIF(Query1!$B$4:$B$14,A128,Query1!$F$4:$F$14)</f>
        <v>0</v>
      </c>
      <c r="H128" s="3">
        <f>SUMIF(Query4!$B$4:$B$5,A128,Query4!$F$4:$F$5)</f>
        <v>0</v>
      </c>
    </row>
    <row r="129" spans="1:8" x14ac:dyDescent="0.2">
      <c r="A129" s="5">
        <v>394</v>
      </c>
      <c r="B129" s="5">
        <v>1</v>
      </c>
      <c r="C129" s="2" t="s">
        <v>126</v>
      </c>
      <c r="D129" s="2">
        <v>563868.25</v>
      </c>
      <c r="E129" s="2">
        <v>12294.47</v>
      </c>
      <c r="G129" s="3">
        <f>SUMIF(Query1!$B$4:$B$14,A129,Query1!$F$4:$F$14)</f>
        <v>0</v>
      </c>
      <c r="H129" s="3">
        <f>SUMIF(Query4!$B$4:$B$5,A129,Query4!$F$4:$F$5)</f>
        <v>0</v>
      </c>
    </row>
    <row r="130" spans="1:8" x14ac:dyDescent="0.2">
      <c r="A130" s="5">
        <v>402</v>
      </c>
      <c r="B130" s="5">
        <v>1</v>
      </c>
      <c r="C130" s="2" t="s">
        <v>127</v>
      </c>
      <c r="D130" s="2">
        <v>107362.25</v>
      </c>
      <c r="E130" s="2">
        <v>0</v>
      </c>
      <c r="G130" s="3">
        <f>SUMIF(Query1!$B$4:$B$14,A130,Query1!$F$4:$F$14)</f>
        <v>0</v>
      </c>
      <c r="H130" s="3">
        <f>SUMIF(Query4!$B$4:$B$5,A130,Query4!$F$4:$F$5)</f>
        <v>0</v>
      </c>
    </row>
    <row r="131" spans="1:8" x14ac:dyDescent="0.2">
      <c r="A131" s="5">
        <v>403</v>
      </c>
      <c r="B131" s="5">
        <v>1</v>
      </c>
      <c r="C131" s="2" t="s">
        <v>128</v>
      </c>
      <c r="D131" s="2">
        <v>175279.62</v>
      </c>
      <c r="E131" s="2">
        <v>1454.71</v>
      </c>
      <c r="G131" s="3">
        <f>SUMIF(Query1!$B$4:$B$14,A131,Query1!$F$4:$F$14)</f>
        <v>0</v>
      </c>
      <c r="H131" s="3">
        <f>SUMIF(Query4!$B$4:$B$5,A131,Query4!$F$4:$F$5)</f>
        <v>0</v>
      </c>
    </row>
    <row r="132" spans="1:8" x14ac:dyDescent="0.2">
      <c r="A132" s="5">
        <v>404</v>
      </c>
      <c r="B132" s="5">
        <v>1</v>
      </c>
      <c r="C132" s="2" t="s">
        <v>129</v>
      </c>
      <c r="D132" s="2">
        <v>104292.25</v>
      </c>
      <c r="E132" s="2">
        <v>0</v>
      </c>
      <c r="G132" s="3">
        <f>SUMIF(Query1!$B$4:$B$14,A132,Query1!$F$4:$F$14)</f>
        <v>0</v>
      </c>
      <c r="H132" s="3">
        <f>SUMIF(Query4!$B$4:$B$5,A132,Query4!$F$4:$F$5)</f>
        <v>0</v>
      </c>
    </row>
    <row r="133" spans="1:8" x14ac:dyDescent="0.2">
      <c r="A133" s="5">
        <v>413</v>
      </c>
      <c r="B133" s="5">
        <v>1</v>
      </c>
      <c r="C133" s="2" t="s">
        <v>130</v>
      </c>
      <c r="D133" s="2">
        <v>1092384.27</v>
      </c>
      <c r="E133" s="2">
        <v>0</v>
      </c>
      <c r="G133" s="3">
        <f>SUMIF(Query1!$B$4:$B$14,A133,Query1!$F$4:$F$14)</f>
        <v>0</v>
      </c>
      <c r="H133" s="3">
        <f>SUMIF(Query4!$B$4:$B$5,A133,Query4!$F$4:$F$5)</f>
        <v>0</v>
      </c>
    </row>
    <row r="134" spans="1:8" x14ac:dyDescent="0.2">
      <c r="A134" s="5">
        <v>414</v>
      </c>
      <c r="B134" s="5">
        <v>1</v>
      </c>
      <c r="C134" s="2" t="s">
        <v>131</v>
      </c>
      <c r="D134" s="2">
        <v>213408.51</v>
      </c>
      <c r="E134" s="2">
        <v>0</v>
      </c>
      <c r="G134" s="3">
        <f>SUMIF(Query1!$B$4:$B$14,A134,Query1!$F$4:$F$14)</f>
        <v>0</v>
      </c>
      <c r="H134" s="3">
        <f>SUMIF(Query4!$B$4:$B$5,A134,Query4!$F$4:$F$5)</f>
        <v>0</v>
      </c>
    </row>
    <row r="135" spans="1:8" x14ac:dyDescent="0.2">
      <c r="A135" s="5">
        <v>415</v>
      </c>
      <c r="B135" s="5">
        <v>1</v>
      </c>
      <c r="C135" s="2" t="s">
        <v>132</v>
      </c>
      <c r="D135" s="2">
        <v>131055.19</v>
      </c>
      <c r="E135" s="2">
        <v>0</v>
      </c>
      <c r="G135" s="3">
        <f>SUMIF(Query1!$B$4:$B$14,A135,Query1!$F$4:$F$14)</f>
        <v>0</v>
      </c>
      <c r="H135" s="3">
        <f>SUMIF(Query4!$B$4:$B$5,A135,Query4!$F$4:$F$5)</f>
        <v>0</v>
      </c>
    </row>
    <row r="136" spans="1:8" x14ac:dyDescent="0.2">
      <c r="A136" s="5">
        <v>423</v>
      </c>
      <c r="B136" s="5">
        <v>1</v>
      </c>
      <c r="C136" s="2" t="s">
        <v>133</v>
      </c>
      <c r="D136" s="2">
        <v>1657169.97</v>
      </c>
      <c r="E136" s="2">
        <v>0</v>
      </c>
      <c r="G136" s="3">
        <f>SUMIF(Query1!$B$4:$B$14,A136,Query1!$F$4:$F$14)</f>
        <v>0</v>
      </c>
      <c r="H136" s="3">
        <f>SUMIF(Query4!$B$4:$B$5,A136,Query4!$F$4:$F$5)</f>
        <v>0</v>
      </c>
    </row>
    <row r="137" spans="1:8" x14ac:dyDescent="0.2">
      <c r="A137" s="5">
        <v>424</v>
      </c>
      <c r="B137" s="5">
        <v>1</v>
      </c>
      <c r="C137" s="2" t="s">
        <v>134</v>
      </c>
      <c r="D137" s="2">
        <v>271763.34000000003</v>
      </c>
      <c r="E137" s="2">
        <v>3545.71</v>
      </c>
      <c r="G137" s="3">
        <f>SUMIF(Query1!$B$4:$B$14,A137,Query1!$F$4:$F$14)</f>
        <v>0</v>
      </c>
      <c r="H137" s="3">
        <f>SUMIF(Query4!$B$4:$B$5,A137,Query4!$F$4:$F$5)</f>
        <v>0</v>
      </c>
    </row>
    <row r="138" spans="1:8" x14ac:dyDescent="0.2">
      <c r="A138" s="5">
        <v>432</v>
      </c>
      <c r="B138" s="5">
        <v>1</v>
      </c>
      <c r="C138" s="2" t="s">
        <v>135</v>
      </c>
      <c r="D138" s="2">
        <v>59712.45</v>
      </c>
      <c r="E138" s="2">
        <v>0</v>
      </c>
      <c r="G138" s="3">
        <f>SUMIF(Query1!$B$4:$B$14,A138,Query1!$F$4:$F$14)</f>
        <v>0</v>
      </c>
      <c r="H138" s="3">
        <f>SUMIF(Query4!$B$4:$B$5,A138,Query4!$F$4:$F$5)</f>
        <v>0</v>
      </c>
    </row>
    <row r="139" spans="1:8" x14ac:dyDescent="0.2">
      <c r="A139" s="5">
        <v>435</v>
      </c>
      <c r="B139" s="5">
        <v>1</v>
      </c>
      <c r="C139" s="2" t="s">
        <v>136</v>
      </c>
      <c r="D139" s="2">
        <v>90206.82</v>
      </c>
      <c r="E139" s="2">
        <v>0</v>
      </c>
      <c r="G139" s="3">
        <f>SUMIF(Query1!$B$4:$B$14,A139,Query1!$F$4:$F$14)</f>
        <v>0</v>
      </c>
      <c r="H139" s="3">
        <f>SUMIF(Query4!$B$4:$B$5,A139,Query4!$F$4:$F$5)</f>
        <v>0</v>
      </c>
    </row>
    <row r="140" spans="1:8" x14ac:dyDescent="0.2">
      <c r="A140" s="5">
        <v>441</v>
      </c>
      <c r="B140" s="5">
        <v>1</v>
      </c>
      <c r="C140" s="2" t="s">
        <v>137</v>
      </c>
      <c r="D140" s="2">
        <v>175294.37</v>
      </c>
      <c r="E140" s="2">
        <v>0</v>
      </c>
      <c r="G140" s="3">
        <f>SUMIF(Query1!$B$4:$B$14,A140,Query1!$F$4:$F$14)</f>
        <v>0</v>
      </c>
      <c r="H140" s="3">
        <f>SUMIF(Query4!$B$4:$B$5,A140,Query4!$F$4:$F$5)</f>
        <v>0</v>
      </c>
    </row>
    <row r="141" spans="1:8" x14ac:dyDescent="0.2">
      <c r="A141" s="5">
        <v>447</v>
      </c>
      <c r="B141" s="5">
        <v>1</v>
      </c>
      <c r="C141" s="2" t="s">
        <v>138</v>
      </c>
      <c r="D141" s="2">
        <v>24061.53</v>
      </c>
      <c r="E141" s="2">
        <v>0</v>
      </c>
      <c r="G141" s="3">
        <f>SUMIF(Query1!$B$4:$B$14,A141,Query1!$F$4:$F$14)</f>
        <v>0</v>
      </c>
      <c r="H141" s="3">
        <f>SUMIF(Query4!$B$4:$B$5,A141,Query4!$F$4:$F$5)</f>
        <v>0</v>
      </c>
    </row>
    <row r="142" spans="1:8" x14ac:dyDescent="0.2">
      <c r="A142" s="5">
        <v>458</v>
      </c>
      <c r="B142" s="5">
        <v>1</v>
      </c>
      <c r="C142" s="2" t="s">
        <v>139</v>
      </c>
      <c r="D142" s="2">
        <v>123509.21</v>
      </c>
      <c r="E142" s="2">
        <v>4751.63</v>
      </c>
      <c r="G142" s="3">
        <f>SUMIF(Query1!$B$4:$B$14,A142,Query1!$F$4:$F$14)</f>
        <v>0</v>
      </c>
      <c r="H142" s="3">
        <f>SUMIF(Query4!$B$4:$B$5,A142,Query4!$F$4:$F$5)</f>
        <v>0</v>
      </c>
    </row>
    <row r="143" spans="1:8" x14ac:dyDescent="0.2">
      <c r="A143" s="5">
        <v>463</v>
      </c>
      <c r="B143" s="5">
        <v>1</v>
      </c>
      <c r="C143" s="2" t="s">
        <v>140</v>
      </c>
      <c r="D143" s="2">
        <v>299243.87</v>
      </c>
      <c r="E143" s="2">
        <v>0</v>
      </c>
      <c r="G143" s="3">
        <f>SUMIF(Query1!$B$4:$B$14,A143,Query1!$F$4:$F$14)</f>
        <v>0</v>
      </c>
      <c r="H143" s="3">
        <f>SUMIF(Query4!$B$4:$B$5,A143,Query4!$F$4:$F$5)</f>
        <v>0</v>
      </c>
    </row>
    <row r="144" spans="1:8" x14ac:dyDescent="0.2">
      <c r="A144" s="5">
        <v>465</v>
      </c>
      <c r="B144" s="5">
        <v>1</v>
      </c>
      <c r="C144" s="2" t="s">
        <v>141</v>
      </c>
      <c r="D144" s="2">
        <v>876132.2</v>
      </c>
      <c r="E144" s="2">
        <v>16109.03</v>
      </c>
      <c r="G144" s="3">
        <f>SUMIF(Query1!$B$4:$B$14,A144,Query1!$F$4:$F$14)</f>
        <v>0</v>
      </c>
      <c r="H144" s="3">
        <f>SUMIF(Query4!$B$4:$B$5,A144,Query4!$F$4:$F$5)</f>
        <v>0</v>
      </c>
    </row>
    <row r="145" spans="1:8" x14ac:dyDescent="0.2">
      <c r="A145" s="5">
        <v>466</v>
      </c>
      <c r="B145" s="5">
        <v>1</v>
      </c>
      <c r="C145" s="2" t="s">
        <v>142</v>
      </c>
      <c r="D145" s="2">
        <v>615731.93999999994</v>
      </c>
      <c r="E145" s="2">
        <v>0</v>
      </c>
      <c r="G145" s="3">
        <f>SUMIF(Query1!$B$4:$B$14,A145,Query1!$F$4:$F$14)</f>
        <v>0</v>
      </c>
      <c r="H145" s="3">
        <f>SUMIF(Query4!$B$4:$B$5,A145,Query4!$F$4:$F$5)</f>
        <v>0</v>
      </c>
    </row>
    <row r="146" spans="1:8" x14ac:dyDescent="0.2">
      <c r="A146" s="5">
        <v>473</v>
      </c>
      <c r="B146" s="5">
        <v>1</v>
      </c>
      <c r="C146" s="2" t="s">
        <v>143</v>
      </c>
      <c r="D146" s="2">
        <v>144337.22</v>
      </c>
      <c r="E146" s="2">
        <v>0</v>
      </c>
      <c r="G146" s="3">
        <f>SUMIF(Query1!$B$4:$B$14,A146,Query1!$F$4:$F$14)</f>
        <v>0</v>
      </c>
      <c r="H146" s="3">
        <f>SUMIF(Query4!$B$4:$B$5,A146,Query4!$F$4:$F$5)</f>
        <v>0</v>
      </c>
    </row>
    <row r="147" spans="1:8" x14ac:dyDescent="0.2">
      <c r="A147" s="5">
        <v>477</v>
      </c>
      <c r="B147" s="5">
        <v>1</v>
      </c>
      <c r="C147" s="2" t="s">
        <v>144</v>
      </c>
      <c r="D147" s="2">
        <v>1113106.82</v>
      </c>
      <c r="E147" s="2">
        <v>0</v>
      </c>
      <c r="G147" s="3">
        <f>SUMIF(Query1!$B$4:$B$14,A147,Query1!$F$4:$F$14)</f>
        <v>0</v>
      </c>
      <c r="H147" s="3">
        <f>SUMIF(Query4!$B$4:$B$5,A147,Query4!$F$4:$F$5)</f>
        <v>0</v>
      </c>
    </row>
    <row r="148" spans="1:8" x14ac:dyDescent="0.2">
      <c r="A148" s="5">
        <v>480</v>
      </c>
      <c r="B148" s="5">
        <v>1</v>
      </c>
      <c r="C148" s="2" t="s">
        <v>145</v>
      </c>
      <c r="D148" s="2">
        <v>476206.59</v>
      </c>
      <c r="E148" s="2">
        <v>12750.4</v>
      </c>
      <c r="G148" s="3">
        <f>SUMIF(Query1!$B$4:$B$14,A148,Query1!$F$4:$F$14)</f>
        <v>0</v>
      </c>
      <c r="H148" s="3">
        <f>SUMIF(Query4!$B$4:$B$5,A148,Query4!$F$4:$F$5)</f>
        <v>0</v>
      </c>
    </row>
    <row r="149" spans="1:8" x14ac:dyDescent="0.2">
      <c r="A149" s="5">
        <v>482</v>
      </c>
      <c r="B149" s="5">
        <v>1</v>
      </c>
      <c r="C149" s="2" t="s">
        <v>146</v>
      </c>
      <c r="D149" s="2">
        <v>1135424.96</v>
      </c>
      <c r="E149" s="2">
        <v>44508.480000000003</v>
      </c>
      <c r="G149" s="3">
        <f>SUMIF(Query1!$B$4:$B$14,A149,Query1!$F$4:$F$14)</f>
        <v>0</v>
      </c>
      <c r="H149" s="3">
        <f>SUMIF(Query4!$B$4:$B$5,A149,Query4!$F$4:$F$5)</f>
        <v>0</v>
      </c>
    </row>
    <row r="150" spans="1:8" x14ac:dyDescent="0.2">
      <c r="A150" s="5">
        <v>484</v>
      </c>
      <c r="B150" s="5">
        <v>1</v>
      </c>
      <c r="C150" s="2" t="s">
        <v>147</v>
      </c>
      <c r="D150" s="2">
        <v>322173.77</v>
      </c>
      <c r="E150" s="2">
        <v>0</v>
      </c>
      <c r="G150" s="3">
        <f>SUMIF(Query1!$B$4:$B$14,A150,Query1!$F$4:$F$14)</f>
        <v>0</v>
      </c>
      <c r="H150" s="3">
        <f>SUMIF(Query4!$B$4:$B$5,A150,Query4!$F$4:$F$5)</f>
        <v>0</v>
      </c>
    </row>
    <row r="151" spans="1:8" x14ac:dyDescent="0.2">
      <c r="A151" s="5">
        <v>485</v>
      </c>
      <c r="B151" s="5">
        <v>1</v>
      </c>
      <c r="C151" s="2" t="s">
        <v>148</v>
      </c>
      <c r="D151" s="2">
        <v>128043.13</v>
      </c>
      <c r="E151" s="2">
        <v>0</v>
      </c>
      <c r="G151" s="3">
        <f>SUMIF(Query1!$B$4:$B$14,A151,Query1!$F$4:$F$14)</f>
        <v>0</v>
      </c>
      <c r="H151" s="3">
        <f>SUMIF(Query4!$B$4:$B$5,A151,Query4!$F$4:$F$5)</f>
        <v>0</v>
      </c>
    </row>
    <row r="152" spans="1:8" x14ac:dyDescent="0.2">
      <c r="A152" s="5">
        <v>486</v>
      </c>
      <c r="B152" s="5">
        <v>1</v>
      </c>
      <c r="C152" s="2" t="s">
        <v>149</v>
      </c>
      <c r="D152" s="2">
        <v>128769.73</v>
      </c>
      <c r="E152" s="2">
        <v>0</v>
      </c>
      <c r="G152" s="3">
        <f>SUMIF(Query1!$B$4:$B$14,A152,Query1!$F$4:$F$14)</f>
        <v>0</v>
      </c>
      <c r="H152" s="3">
        <f>SUMIF(Query4!$B$4:$B$5,A152,Query4!$F$4:$F$5)</f>
        <v>0</v>
      </c>
    </row>
    <row r="153" spans="1:8" x14ac:dyDescent="0.2">
      <c r="A153" s="5">
        <v>487</v>
      </c>
      <c r="B153" s="5">
        <v>1</v>
      </c>
      <c r="C153" s="2" t="s">
        <v>150</v>
      </c>
      <c r="D153" s="2">
        <v>32807.949999999997</v>
      </c>
      <c r="E153" s="2">
        <v>0</v>
      </c>
      <c r="G153" s="3">
        <f>SUMIF(Query1!$B$4:$B$14,A153,Query1!$F$4:$F$14)</f>
        <v>0</v>
      </c>
      <c r="H153" s="3">
        <f>SUMIF(Query4!$B$4:$B$5,A153,Query4!$F$4:$F$5)</f>
        <v>0</v>
      </c>
    </row>
    <row r="154" spans="1:8" x14ac:dyDescent="0.2">
      <c r="A154" s="5">
        <v>492</v>
      </c>
      <c r="B154" s="5">
        <v>1</v>
      </c>
      <c r="C154" s="2" t="s">
        <v>151</v>
      </c>
      <c r="D154" s="2">
        <v>1319969.22</v>
      </c>
      <c r="E154" s="2">
        <v>0</v>
      </c>
      <c r="G154" s="3">
        <f>SUMIF(Query1!$B$4:$B$14,A154,Query1!$F$4:$F$14)</f>
        <v>0</v>
      </c>
      <c r="H154" s="3">
        <f>SUMIF(Query4!$B$4:$B$5,A154,Query4!$F$4:$F$5)</f>
        <v>0</v>
      </c>
    </row>
    <row r="155" spans="1:8" x14ac:dyDescent="0.2">
      <c r="A155" s="5">
        <v>495</v>
      </c>
      <c r="B155" s="5">
        <v>1</v>
      </c>
      <c r="C155" s="2" t="s">
        <v>152</v>
      </c>
      <c r="D155" s="2">
        <v>181227.76</v>
      </c>
      <c r="E155" s="2">
        <v>4131.43</v>
      </c>
      <c r="G155" s="3">
        <f>SUMIF(Query1!$B$4:$B$14,A155,Query1!$F$4:$F$14)</f>
        <v>0</v>
      </c>
      <c r="H155" s="3">
        <f>SUMIF(Query4!$B$4:$B$5,A155,Query4!$F$4:$F$5)</f>
        <v>0</v>
      </c>
    </row>
    <row r="156" spans="1:8" x14ac:dyDescent="0.2">
      <c r="A156" s="5">
        <v>497</v>
      </c>
      <c r="B156" s="5">
        <v>1</v>
      </c>
      <c r="C156" s="2" t="s">
        <v>153</v>
      </c>
      <c r="D156" s="2">
        <v>33655.339999999997</v>
      </c>
      <c r="E156" s="2">
        <v>3437.27</v>
      </c>
      <c r="G156" s="3">
        <f>SUMIF(Query1!$B$4:$B$14,A156,Query1!$F$4:$F$14)</f>
        <v>0</v>
      </c>
      <c r="H156" s="3">
        <f>SUMIF(Query4!$B$4:$B$5,A156,Query4!$F$4:$F$5)</f>
        <v>0</v>
      </c>
    </row>
    <row r="157" spans="1:8" x14ac:dyDescent="0.2">
      <c r="A157" s="5">
        <v>499</v>
      </c>
      <c r="B157" s="5">
        <v>1</v>
      </c>
      <c r="C157" s="2" t="s">
        <v>154</v>
      </c>
      <c r="D157" s="2">
        <v>221492.59</v>
      </c>
      <c r="E157" s="2">
        <v>5375.42</v>
      </c>
      <c r="G157" s="3">
        <f>SUMIF(Query1!$B$4:$B$14,A157,Query1!$F$4:$F$14)</f>
        <v>0</v>
      </c>
      <c r="H157" s="3">
        <f>SUMIF(Query4!$B$4:$B$5,A157,Query4!$F$4:$F$5)</f>
        <v>0</v>
      </c>
    </row>
    <row r="158" spans="1:8" x14ac:dyDescent="0.2">
      <c r="A158" s="5">
        <v>500</v>
      </c>
      <c r="B158" s="5">
        <v>1</v>
      </c>
      <c r="C158" s="2" t="s">
        <v>155</v>
      </c>
      <c r="D158" s="2">
        <v>371674.88</v>
      </c>
      <c r="E158" s="2">
        <v>0</v>
      </c>
      <c r="G158" s="3">
        <f>SUMIF(Query1!$B$4:$B$14,A158,Query1!$F$4:$F$14)</f>
        <v>0</v>
      </c>
      <c r="H158" s="3">
        <f>SUMIF(Query4!$B$4:$B$5,A158,Query4!$F$4:$F$5)</f>
        <v>0</v>
      </c>
    </row>
    <row r="159" spans="1:8" x14ac:dyDescent="0.2">
      <c r="A159" s="5">
        <v>505</v>
      </c>
      <c r="B159" s="5">
        <v>1</v>
      </c>
      <c r="C159" s="2" t="s">
        <v>156</v>
      </c>
      <c r="D159" s="2">
        <v>246184.92</v>
      </c>
      <c r="E159" s="2">
        <v>0</v>
      </c>
      <c r="G159" s="3">
        <f>SUMIF(Query1!$B$4:$B$14,A159,Query1!$F$4:$F$14)</f>
        <v>0</v>
      </c>
      <c r="H159" s="3">
        <f>SUMIF(Query4!$B$4:$B$5,A159,Query4!$F$4:$F$5)</f>
        <v>0</v>
      </c>
    </row>
    <row r="160" spans="1:8" x14ac:dyDescent="0.2">
      <c r="A160" s="5">
        <v>507</v>
      </c>
      <c r="B160" s="5">
        <v>1</v>
      </c>
      <c r="C160" s="2" t="s">
        <v>157</v>
      </c>
      <c r="D160" s="2">
        <v>104637.5</v>
      </c>
      <c r="E160" s="2">
        <v>0</v>
      </c>
      <c r="G160" s="3">
        <f>SUMIF(Query1!$B$4:$B$14,A160,Query1!$F$4:$F$14)</f>
        <v>0</v>
      </c>
      <c r="H160" s="3">
        <f>SUMIF(Query4!$B$4:$B$5,A160,Query4!$F$4:$F$5)</f>
        <v>0</v>
      </c>
    </row>
    <row r="161" spans="1:8" x14ac:dyDescent="0.2">
      <c r="A161" s="5">
        <v>508</v>
      </c>
      <c r="B161" s="5">
        <v>1</v>
      </c>
      <c r="C161" s="2" t="s">
        <v>158</v>
      </c>
      <c r="D161" s="2">
        <v>1019339.69</v>
      </c>
      <c r="E161" s="2">
        <v>26743.84</v>
      </c>
      <c r="G161" s="3">
        <f>SUMIF(Query1!$B$4:$B$14,A161,Query1!$F$4:$F$14)</f>
        <v>0</v>
      </c>
      <c r="H161" s="3">
        <f>SUMIF(Query4!$B$4:$B$5,A161,Query4!$F$4:$F$5)</f>
        <v>0</v>
      </c>
    </row>
    <row r="162" spans="1:8" x14ac:dyDescent="0.2">
      <c r="A162" s="5">
        <v>511</v>
      </c>
      <c r="B162" s="5">
        <v>1</v>
      </c>
      <c r="C162" s="2" t="s">
        <v>159</v>
      </c>
      <c r="D162" s="2">
        <v>250578.76</v>
      </c>
      <c r="E162" s="2">
        <v>0</v>
      </c>
      <c r="G162" s="3">
        <f>SUMIF(Query1!$B$4:$B$14,A162,Query1!$F$4:$F$14)</f>
        <v>0</v>
      </c>
      <c r="H162" s="3">
        <f>SUMIF(Query4!$B$4:$B$5,A162,Query4!$F$4:$F$5)</f>
        <v>0</v>
      </c>
    </row>
    <row r="163" spans="1:8" x14ac:dyDescent="0.2">
      <c r="A163" s="5">
        <v>513</v>
      </c>
      <c r="B163" s="5">
        <v>1</v>
      </c>
      <c r="C163" s="2" t="s">
        <v>160</v>
      </c>
      <c r="D163" s="2">
        <v>113955.59</v>
      </c>
      <c r="E163" s="2">
        <v>0</v>
      </c>
      <c r="G163" s="3">
        <f>SUMIF(Query1!$B$4:$B$14,A163,Query1!$F$4:$F$14)</f>
        <v>0</v>
      </c>
      <c r="H163" s="3">
        <f>SUMIF(Query4!$B$4:$B$5,A163,Query4!$F$4:$F$5)</f>
        <v>0</v>
      </c>
    </row>
    <row r="164" spans="1:8" x14ac:dyDescent="0.2">
      <c r="A164" s="5">
        <v>514</v>
      </c>
      <c r="B164" s="5">
        <v>1</v>
      </c>
      <c r="C164" s="2" t="s">
        <v>161</v>
      </c>
      <c r="D164" s="2">
        <v>44789.82</v>
      </c>
      <c r="E164" s="2">
        <v>0</v>
      </c>
      <c r="G164" s="3">
        <f>SUMIF(Query1!$B$4:$B$14,A164,Query1!$F$4:$F$14)</f>
        <v>0</v>
      </c>
      <c r="H164" s="3">
        <f>SUMIF(Query4!$B$4:$B$5,A164,Query4!$F$4:$F$5)</f>
        <v>0</v>
      </c>
    </row>
    <row r="165" spans="1:8" x14ac:dyDescent="0.2">
      <c r="A165" s="5">
        <v>516</v>
      </c>
      <c r="B165" s="5">
        <v>1</v>
      </c>
      <c r="C165" s="2" t="s">
        <v>162</v>
      </c>
      <c r="D165" s="2">
        <v>35049.980000000003</v>
      </c>
      <c r="E165" s="2">
        <v>0</v>
      </c>
      <c r="G165" s="3">
        <f>SUMIF(Query1!$B$4:$B$14,A165,Query1!$F$4:$F$14)</f>
        <v>0</v>
      </c>
      <c r="H165" s="3">
        <f>SUMIF(Query4!$B$4:$B$5,A165,Query4!$F$4:$F$5)</f>
        <v>0</v>
      </c>
    </row>
    <row r="166" spans="1:8" x14ac:dyDescent="0.2">
      <c r="A166" s="5">
        <v>518</v>
      </c>
      <c r="B166" s="5">
        <v>1</v>
      </c>
      <c r="C166" s="2" t="s">
        <v>163</v>
      </c>
      <c r="D166" s="2">
        <v>976322.66</v>
      </c>
      <c r="E166" s="2">
        <v>0</v>
      </c>
      <c r="G166" s="3">
        <f>SUMIF(Query1!$B$4:$B$14,A166,Query1!$F$4:$F$14)</f>
        <v>0</v>
      </c>
      <c r="H166" s="3">
        <f>SUMIF(Query4!$B$4:$B$5,A166,Query4!$F$4:$F$5)</f>
        <v>0</v>
      </c>
    </row>
    <row r="167" spans="1:8" x14ac:dyDescent="0.2">
      <c r="A167" s="5">
        <v>531</v>
      </c>
      <c r="B167" s="5">
        <v>1</v>
      </c>
      <c r="C167" s="2" t="s">
        <v>164</v>
      </c>
      <c r="D167" s="2">
        <v>314899.8</v>
      </c>
      <c r="E167" s="2">
        <v>0</v>
      </c>
      <c r="G167" s="3">
        <f>SUMIF(Query1!$B$4:$B$14,A167,Query1!$F$4:$F$14)</f>
        <v>0</v>
      </c>
      <c r="H167" s="3">
        <f>SUMIF(Query4!$B$4:$B$5,A167,Query4!$F$4:$F$5)</f>
        <v>0</v>
      </c>
    </row>
    <row r="168" spans="1:8" x14ac:dyDescent="0.2">
      <c r="A168" s="5">
        <v>533</v>
      </c>
      <c r="B168" s="5">
        <v>1</v>
      </c>
      <c r="C168" s="2" t="s">
        <v>165</v>
      </c>
      <c r="D168" s="2">
        <v>214057.3</v>
      </c>
      <c r="E168" s="2">
        <v>0</v>
      </c>
      <c r="G168" s="3">
        <f>SUMIF(Query1!$B$4:$B$14,A168,Query1!$F$4:$F$14)</f>
        <v>0</v>
      </c>
      <c r="H168" s="3">
        <f>SUMIF(Query4!$B$4:$B$5,A168,Query4!$F$4:$F$5)</f>
        <v>0</v>
      </c>
    </row>
    <row r="169" spans="1:8" x14ac:dyDescent="0.2">
      <c r="A169" s="5">
        <v>534</v>
      </c>
      <c r="B169" s="5">
        <v>1</v>
      </c>
      <c r="C169" s="2" t="s">
        <v>166</v>
      </c>
      <c r="D169" s="2">
        <v>899299.73</v>
      </c>
      <c r="E169" s="2">
        <v>0</v>
      </c>
      <c r="G169" s="3">
        <f>SUMIF(Query1!$B$4:$B$14,A169,Query1!$F$4:$F$14)</f>
        <v>0</v>
      </c>
      <c r="H169" s="3">
        <f>SUMIF(Query4!$B$4:$B$5,A169,Query4!$F$4:$F$5)</f>
        <v>0</v>
      </c>
    </row>
    <row r="170" spans="1:8" x14ac:dyDescent="0.2">
      <c r="A170" s="5">
        <v>535</v>
      </c>
      <c r="B170" s="5">
        <v>1</v>
      </c>
      <c r="C170" s="2" t="s">
        <v>167</v>
      </c>
      <c r="D170" s="2">
        <v>11133615.729999999</v>
      </c>
      <c r="E170" s="2">
        <v>207879.67999999999</v>
      </c>
      <c r="G170" s="3">
        <f>SUMIF(Query1!$B$4:$B$14,A170,Query1!$F$4:$F$14)</f>
        <v>0</v>
      </c>
      <c r="H170" s="3">
        <f>SUMIF(Query4!$B$4:$B$5,A170,Query4!$F$4:$F$5)</f>
        <v>0</v>
      </c>
    </row>
    <row r="171" spans="1:8" x14ac:dyDescent="0.2">
      <c r="A171" s="5">
        <v>542</v>
      </c>
      <c r="B171" s="5">
        <v>1</v>
      </c>
      <c r="C171" s="2" t="s">
        <v>168</v>
      </c>
      <c r="D171" s="2">
        <v>186172.51</v>
      </c>
      <c r="E171" s="2">
        <v>0</v>
      </c>
      <c r="G171" s="3">
        <f>SUMIF(Query1!$B$4:$B$14,A171,Query1!$F$4:$F$14)</f>
        <v>0</v>
      </c>
      <c r="H171" s="3">
        <f>SUMIF(Query4!$B$4:$B$5,A171,Query4!$F$4:$F$5)</f>
        <v>0</v>
      </c>
    </row>
    <row r="172" spans="1:8" x14ac:dyDescent="0.2">
      <c r="A172" s="5">
        <v>544</v>
      </c>
      <c r="B172" s="5">
        <v>1</v>
      </c>
      <c r="C172" s="2" t="s">
        <v>169</v>
      </c>
      <c r="D172" s="2">
        <v>1209005.49</v>
      </c>
      <c r="E172" s="2">
        <v>0</v>
      </c>
      <c r="G172" s="3">
        <f>SUMIF(Query1!$B$4:$B$14,A172,Query1!$F$4:$F$14)</f>
        <v>0</v>
      </c>
      <c r="H172" s="3">
        <f>SUMIF(Query4!$B$4:$B$5,A172,Query4!$F$4:$F$5)</f>
        <v>0</v>
      </c>
    </row>
    <row r="173" spans="1:8" x14ac:dyDescent="0.2">
      <c r="A173" s="5">
        <v>545</v>
      </c>
      <c r="B173" s="5">
        <v>1</v>
      </c>
      <c r="C173" s="2" t="s">
        <v>170</v>
      </c>
      <c r="D173" s="2">
        <v>290109.03999999998</v>
      </c>
      <c r="E173" s="2">
        <v>0</v>
      </c>
      <c r="G173" s="3">
        <f>SUMIF(Query1!$B$4:$B$14,A173,Query1!$F$4:$F$14)</f>
        <v>0</v>
      </c>
      <c r="H173" s="3">
        <f>SUMIF(Query4!$B$4:$B$5,A173,Query4!$F$4:$F$5)</f>
        <v>0</v>
      </c>
    </row>
    <row r="174" spans="1:8" x14ac:dyDescent="0.2">
      <c r="A174" s="5">
        <v>547</v>
      </c>
      <c r="B174" s="5">
        <v>1</v>
      </c>
      <c r="C174" s="2" t="s">
        <v>171</v>
      </c>
      <c r="D174" s="2">
        <v>311860.98</v>
      </c>
      <c r="E174" s="2">
        <v>9597.9</v>
      </c>
      <c r="G174" s="3">
        <f>SUMIF(Query1!$B$4:$B$14,A174,Query1!$F$4:$F$14)</f>
        <v>0</v>
      </c>
      <c r="H174" s="3">
        <f>SUMIF(Query4!$B$4:$B$5,A174,Query4!$F$4:$F$5)</f>
        <v>0</v>
      </c>
    </row>
    <row r="175" spans="1:8" x14ac:dyDescent="0.2">
      <c r="A175" s="5">
        <v>548</v>
      </c>
      <c r="B175" s="5">
        <v>1</v>
      </c>
      <c r="C175" s="2" t="s">
        <v>172</v>
      </c>
      <c r="D175" s="2">
        <v>273006.21000000002</v>
      </c>
      <c r="E175" s="2">
        <v>0</v>
      </c>
      <c r="G175" s="3">
        <f>SUMIF(Query1!$B$4:$B$14,A175,Query1!$F$4:$F$14)</f>
        <v>0</v>
      </c>
      <c r="H175" s="3">
        <f>SUMIF(Query4!$B$4:$B$5,A175,Query4!$F$4:$F$5)</f>
        <v>0</v>
      </c>
    </row>
    <row r="176" spans="1:8" x14ac:dyDescent="0.2">
      <c r="A176" s="5">
        <v>549</v>
      </c>
      <c r="B176" s="5">
        <v>1</v>
      </c>
      <c r="C176" s="2" t="s">
        <v>173</v>
      </c>
      <c r="D176" s="2">
        <v>486622.5</v>
      </c>
      <c r="E176" s="2">
        <v>0</v>
      </c>
      <c r="G176" s="3">
        <f>SUMIF(Query1!$B$4:$B$14,A176,Query1!$F$4:$F$14)</f>
        <v>0</v>
      </c>
      <c r="H176" s="3">
        <f>SUMIF(Query4!$B$4:$B$5,A176,Query4!$F$4:$F$5)</f>
        <v>0</v>
      </c>
    </row>
    <row r="177" spans="1:8" x14ac:dyDescent="0.2">
      <c r="A177" s="5">
        <v>550</v>
      </c>
      <c r="B177" s="5">
        <v>1</v>
      </c>
      <c r="C177" s="2" t="s">
        <v>174</v>
      </c>
      <c r="D177" s="2">
        <v>61186.68</v>
      </c>
      <c r="E177" s="2">
        <v>0</v>
      </c>
      <c r="G177" s="3">
        <f>SUMIF(Query1!$B$4:$B$14,A177,Query1!$F$4:$F$14)</f>
        <v>0</v>
      </c>
      <c r="H177" s="3">
        <f>SUMIF(Query4!$B$4:$B$5,A177,Query4!$F$4:$F$5)</f>
        <v>0</v>
      </c>
    </row>
    <row r="178" spans="1:8" x14ac:dyDescent="0.2">
      <c r="A178" s="5">
        <v>553</v>
      </c>
      <c r="B178" s="5">
        <v>1</v>
      </c>
      <c r="C178" s="2" t="s">
        <v>175</v>
      </c>
      <c r="D178" s="2">
        <v>121627.56</v>
      </c>
      <c r="E178" s="2">
        <v>0</v>
      </c>
      <c r="G178" s="3">
        <f>SUMIF(Query1!$B$4:$B$14,A178,Query1!$F$4:$F$14)</f>
        <v>0</v>
      </c>
      <c r="H178" s="3">
        <f>SUMIF(Query4!$B$4:$B$5,A178,Query4!$F$4:$F$5)</f>
        <v>0</v>
      </c>
    </row>
    <row r="179" spans="1:8" x14ac:dyDescent="0.2">
      <c r="A179" s="5">
        <v>561</v>
      </c>
      <c r="B179" s="5">
        <v>1</v>
      </c>
      <c r="C179" s="2" t="s">
        <v>176</v>
      </c>
      <c r="D179" s="2">
        <v>63544.53</v>
      </c>
      <c r="E179" s="2">
        <v>0</v>
      </c>
      <c r="G179" s="3">
        <f>SUMIF(Query1!$B$4:$B$14,A179,Query1!$F$4:$F$14)</f>
        <v>0</v>
      </c>
      <c r="H179" s="3">
        <f>SUMIF(Query4!$B$4:$B$5,A179,Query4!$F$4:$F$5)</f>
        <v>0</v>
      </c>
    </row>
    <row r="180" spans="1:8" x14ac:dyDescent="0.2">
      <c r="A180" s="5">
        <v>564</v>
      </c>
      <c r="B180" s="5">
        <v>1</v>
      </c>
      <c r="C180" s="2" t="s">
        <v>177</v>
      </c>
      <c r="D180" s="2">
        <v>795920.04</v>
      </c>
      <c r="E180" s="2">
        <v>0</v>
      </c>
      <c r="G180" s="3">
        <f>SUMIF(Query1!$B$4:$B$14,A180,Query1!$F$4:$F$14)</f>
        <v>0</v>
      </c>
      <c r="H180" s="3">
        <f>SUMIF(Query4!$B$4:$B$5,A180,Query4!$F$4:$F$5)</f>
        <v>0</v>
      </c>
    </row>
    <row r="181" spans="1:8" x14ac:dyDescent="0.2">
      <c r="A181" s="5">
        <v>577</v>
      </c>
      <c r="B181" s="5">
        <v>1</v>
      </c>
      <c r="C181" s="2" t="s">
        <v>178</v>
      </c>
      <c r="D181" s="2">
        <v>137547.07</v>
      </c>
      <c r="E181" s="2">
        <v>0</v>
      </c>
      <c r="G181" s="3">
        <f>SUMIF(Query1!$B$4:$B$14,A181,Query1!$F$4:$F$14)</f>
        <v>0</v>
      </c>
      <c r="H181" s="3">
        <f>SUMIF(Query4!$B$4:$B$5,A181,Query4!$F$4:$F$5)</f>
        <v>0</v>
      </c>
    </row>
    <row r="182" spans="1:8" x14ac:dyDescent="0.2">
      <c r="A182" s="5">
        <v>578</v>
      </c>
      <c r="B182" s="5">
        <v>1</v>
      </c>
      <c r="C182" s="2" t="s">
        <v>179</v>
      </c>
      <c r="D182" s="2">
        <v>903544.2</v>
      </c>
      <c r="E182" s="2">
        <v>24357.16</v>
      </c>
      <c r="G182" s="3">
        <f>SUMIF(Query1!$B$4:$B$14,A182,Query1!$F$4:$F$14)</f>
        <v>0</v>
      </c>
      <c r="H182" s="3">
        <f>SUMIF(Query4!$B$4:$B$5,A182,Query4!$F$4:$F$5)</f>
        <v>0</v>
      </c>
    </row>
    <row r="183" spans="1:8" x14ac:dyDescent="0.2">
      <c r="A183" s="5">
        <v>581</v>
      </c>
      <c r="B183" s="5">
        <v>1</v>
      </c>
      <c r="C183" s="2" t="s">
        <v>180</v>
      </c>
      <c r="D183" s="2">
        <v>152135.10999999999</v>
      </c>
      <c r="E183" s="2">
        <v>0</v>
      </c>
      <c r="G183" s="3">
        <f>SUMIF(Query1!$B$4:$B$14,A183,Query1!$F$4:$F$14)</f>
        <v>0</v>
      </c>
      <c r="H183" s="3">
        <f>SUMIF(Query4!$B$4:$B$5,A183,Query4!$F$4:$F$5)</f>
        <v>0</v>
      </c>
    </row>
    <row r="184" spans="1:8" x14ac:dyDescent="0.2">
      <c r="A184" s="5">
        <v>592</v>
      </c>
      <c r="B184" s="5">
        <v>1</v>
      </c>
      <c r="C184" s="2" t="s">
        <v>181</v>
      </c>
      <c r="D184" s="2">
        <v>36673.15</v>
      </c>
      <c r="E184" s="2">
        <v>2839.9</v>
      </c>
      <c r="G184" s="3">
        <f>SUMIF(Query1!$B$4:$B$14,A184,Query1!$F$4:$F$14)</f>
        <v>0</v>
      </c>
      <c r="H184" s="3">
        <f>SUMIF(Query4!$B$4:$B$5,A184,Query4!$F$4:$F$5)</f>
        <v>0</v>
      </c>
    </row>
    <row r="185" spans="1:8" x14ac:dyDescent="0.2">
      <c r="A185" s="5">
        <v>593</v>
      </c>
      <c r="B185" s="5">
        <v>1</v>
      </c>
      <c r="C185" s="2" t="s">
        <v>182</v>
      </c>
      <c r="D185" s="2">
        <v>550168.18000000005</v>
      </c>
      <c r="E185" s="2">
        <v>0</v>
      </c>
      <c r="G185" s="3">
        <f>SUMIF(Query1!$B$4:$B$14,A185,Query1!$F$4:$F$14)</f>
        <v>0</v>
      </c>
      <c r="H185" s="3">
        <f>SUMIF(Query4!$B$4:$B$5,A185,Query4!$F$4:$F$5)</f>
        <v>0</v>
      </c>
    </row>
    <row r="186" spans="1:8" x14ac:dyDescent="0.2">
      <c r="A186" s="5">
        <v>595</v>
      </c>
      <c r="B186" s="5">
        <v>1</v>
      </c>
      <c r="C186" s="2" t="s">
        <v>183</v>
      </c>
      <c r="D186" s="2">
        <v>639221.41</v>
      </c>
      <c r="E186" s="2">
        <v>0</v>
      </c>
      <c r="G186" s="3">
        <f>SUMIF(Query1!$B$4:$B$14,A186,Query1!$F$4:$F$14)</f>
        <v>0</v>
      </c>
      <c r="H186" s="3">
        <f>SUMIF(Query4!$B$4:$B$5,A186,Query4!$F$4:$F$5)</f>
        <v>0</v>
      </c>
    </row>
    <row r="187" spans="1:8" x14ac:dyDescent="0.2">
      <c r="A187" s="5">
        <v>599</v>
      </c>
      <c r="B187" s="5">
        <v>1</v>
      </c>
      <c r="C187" s="2" t="s">
        <v>184</v>
      </c>
      <c r="D187" s="2">
        <v>297064</v>
      </c>
      <c r="E187" s="2">
        <v>0</v>
      </c>
      <c r="G187" s="3">
        <f>SUMIF(Query1!$B$4:$B$14,A187,Query1!$F$4:$F$14)</f>
        <v>0</v>
      </c>
      <c r="H187" s="3">
        <f>SUMIF(Query4!$B$4:$B$5,A187,Query4!$F$4:$F$5)</f>
        <v>0</v>
      </c>
    </row>
    <row r="188" spans="1:8" x14ac:dyDescent="0.2">
      <c r="A188" s="5">
        <v>600</v>
      </c>
      <c r="B188" s="5">
        <v>1</v>
      </c>
      <c r="C188" s="2" t="s">
        <v>185</v>
      </c>
      <c r="D188" s="2">
        <v>56285.86</v>
      </c>
      <c r="E188" s="2">
        <v>0</v>
      </c>
      <c r="G188" s="3">
        <f>SUMIF(Query1!$B$4:$B$14,A188,Query1!$F$4:$F$14)</f>
        <v>0</v>
      </c>
      <c r="H188" s="3">
        <f>SUMIF(Query4!$B$4:$B$5,A188,Query4!$F$4:$F$5)</f>
        <v>0</v>
      </c>
    </row>
    <row r="189" spans="1:8" x14ac:dyDescent="0.2">
      <c r="A189" s="5">
        <v>601</v>
      </c>
      <c r="B189" s="5">
        <v>1</v>
      </c>
      <c r="C189" s="2" t="s">
        <v>186</v>
      </c>
      <c r="D189" s="2">
        <v>236661.69</v>
      </c>
      <c r="E189" s="2">
        <v>0</v>
      </c>
      <c r="G189" s="3">
        <f>SUMIF(Query1!$B$4:$B$14,A189,Query1!$F$4:$F$14)</f>
        <v>0</v>
      </c>
      <c r="H189" s="3">
        <f>SUMIF(Query4!$B$4:$B$5,A189,Query4!$F$4:$F$5)</f>
        <v>0</v>
      </c>
    </row>
    <row r="190" spans="1:8" x14ac:dyDescent="0.2">
      <c r="A190" s="5">
        <v>611</v>
      </c>
      <c r="B190" s="5">
        <v>1</v>
      </c>
      <c r="C190" s="2" t="s">
        <v>187</v>
      </c>
      <c r="D190" s="2">
        <v>14192.89</v>
      </c>
      <c r="E190" s="2">
        <v>0</v>
      </c>
      <c r="G190" s="3">
        <f>SUMIF(Query1!$B$4:$B$14,A190,Query1!$F$4:$F$14)</f>
        <v>0</v>
      </c>
      <c r="H190" s="3">
        <f>SUMIF(Query4!$B$4:$B$5,A190,Query4!$F$4:$F$5)</f>
        <v>0</v>
      </c>
    </row>
    <row r="191" spans="1:8" x14ac:dyDescent="0.2">
      <c r="A191" s="5">
        <v>621</v>
      </c>
      <c r="B191" s="5">
        <v>1</v>
      </c>
      <c r="C191" s="2" t="s">
        <v>188</v>
      </c>
      <c r="D191" s="2">
        <v>10013891.48</v>
      </c>
      <c r="E191" s="2">
        <v>104394.6</v>
      </c>
      <c r="G191" s="3">
        <f>SUMIF(Query1!$B$4:$B$14,A191,Query1!$F$4:$F$14)</f>
        <v>0</v>
      </c>
      <c r="H191" s="3">
        <f>SUMIF(Query4!$B$4:$B$5,A191,Query4!$F$4:$F$5)</f>
        <v>0</v>
      </c>
    </row>
    <row r="192" spans="1:8" x14ac:dyDescent="0.2">
      <c r="A192" s="5">
        <v>622</v>
      </c>
      <c r="B192" s="5">
        <v>1</v>
      </c>
      <c r="C192" s="2" t="s">
        <v>189</v>
      </c>
      <c r="D192" s="2">
        <v>6854543.5200000005</v>
      </c>
      <c r="E192" s="2">
        <v>132005.01999999999</v>
      </c>
      <c r="G192" s="3">
        <f>SUMIF(Query1!$B$4:$B$14,A192,Query1!$F$4:$F$14)</f>
        <v>0</v>
      </c>
      <c r="H192" s="3">
        <f>SUMIF(Query4!$B$4:$B$5,A192,Query4!$F$4:$F$5)</f>
        <v>0</v>
      </c>
    </row>
    <row r="193" spans="1:8" x14ac:dyDescent="0.2">
      <c r="A193" s="5">
        <v>623</v>
      </c>
      <c r="B193" s="5">
        <v>1</v>
      </c>
      <c r="C193" s="2" t="s">
        <v>190</v>
      </c>
      <c r="D193" s="2">
        <v>5169312.72</v>
      </c>
      <c r="E193" s="2">
        <v>85039.83</v>
      </c>
      <c r="G193" s="3">
        <f>SUMIF(Query1!$B$4:$B$14,A193,Query1!$F$4:$F$14)</f>
        <v>0</v>
      </c>
      <c r="H193" s="3">
        <f>SUMIF(Query4!$B$4:$B$5,A193,Query4!$F$4:$F$5)</f>
        <v>0</v>
      </c>
    </row>
    <row r="194" spans="1:8" x14ac:dyDescent="0.2">
      <c r="A194" s="5">
        <v>624</v>
      </c>
      <c r="B194" s="5">
        <v>1</v>
      </c>
      <c r="C194" s="2" t="s">
        <v>191</v>
      </c>
      <c r="D194" s="2">
        <v>9056723.8399999999</v>
      </c>
      <c r="E194" s="2">
        <v>88715.78</v>
      </c>
      <c r="G194" s="3">
        <f>SUMIF(Query1!$B$4:$B$14,A194,Query1!$F$4:$F$14)</f>
        <v>0</v>
      </c>
      <c r="H194" s="3">
        <f>SUMIF(Query4!$B$4:$B$5,A194,Query4!$F$4:$F$5)</f>
        <v>0</v>
      </c>
    </row>
    <row r="195" spans="1:8" x14ac:dyDescent="0.2">
      <c r="A195" s="5">
        <v>625</v>
      </c>
      <c r="B195" s="5">
        <v>1</v>
      </c>
      <c r="C195" s="2" t="s">
        <v>192</v>
      </c>
      <c r="D195" s="2">
        <v>25817303.350000001</v>
      </c>
      <c r="E195" s="2">
        <v>677168.35</v>
      </c>
      <c r="G195" s="3">
        <f>SUMIF(Query1!$B$4:$B$14,A195,Query1!$F$4:$F$14)</f>
        <v>0</v>
      </c>
      <c r="H195" s="3">
        <f>SUMIF(Query4!$B$4:$B$5,A195,Query4!$F$4:$F$5)</f>
        <v>0</v>
      </c>
    </row>
    <row r="196" spans="1:8" x14ac:dyDescent="0.2">
      <c r="A196" s="5">
        <v>627</v>
      </c>
      <c r="B196" s="5">
        <v>1</v>
      </c>
      <c r="C196" s="2" t="s">
        <v>193</v>
      </c>
      <c r="D196" s="2">
        <v>66179.38</v>
      </c>
      <c r="E196" s="2">
        <v>0</v>
      </c>
      <c r="G196" s="3">
        <f>SUMIF(Query1!$B$4:$B$14,A196,Query1!$F$4:$F$14)</f>
        <v>0</v>
      </c>
      <c r="H196" s="3">
        <f>SUMIF(Query4!$B$4:$B$5,A196,Query4!$F$4:$F$5)</f>
        <v>0</v>
      </c>
    </row>
    <row r="197" spans="1:8" x14ac:dyDescent="0.2">
      <c r="A197" s="5">
        <v>628</v>
      </c>
      <c r="B197" s="5">
        <v>1</v>
      </c>
      <c r="C197" s="2" t="s">
        <v>194</v>
      </c>
      <c r="D197" s="2">
        <v>96336.34</v>
      </c>
      <c r="E197" s="2">
        <v>0</v>
      </c>
      <c r="G197" s="3">
        <f>SUMIF(Query1!$B$4:$B$14,A197,Query1!$F$4:$F$14)</f>
        <v>0</v>
      </c>
      <c r="H197" s="3">
        <f>SUMIF(Query4!$B$4:$B$5,A197,Query4!$F$4:$F$5)</f>
        <v>0</v>
      </c>
    </row>
    <row r="198" spans="1:8" x14ac:dyDescent="0.2">
      <c r="A198" s="5">
        <v>630</v>
      </c>
      <c r="B198" s="5">
        <v>1</v>
      </c>
      <c r="C198" s="2" t="s">
        <v>195</v>
      </c>
      <c r="D198" s="2">
        <v>183555.19</v>
      </c>
      <c r="E198" s="2">
        <v>0</v>
      </c>
      <c r="G198" s="3">
        <f>SUMIF(Query1!$B$4:$B$14,A198,Query1!$F$4:$F$14)</f>
        <v>0</v>
      </c>
      <c r="H198" s="3">
        <f>SUMIF(Query4!$B$4:$B$5,A198,Query4!$F$4:$F$5)</f>
        <v>0</v>
      </c>
    </row>
    <row r="199" spans="1:8" x14ac:dyDescent="0.2">
      <c r="A199" s="5">
        <v>635</v>
      </c>
      <c r="B199" s="5">
        <v>1</v>
      </c>
      <c r="C199" s="2" t="s">
        <v>196</v>
      </c>
      <c r="D199" s="2">
        <v>43279.21</v>
      </c>
      <c r="E199" s="2">
        <v>0</v>
      </c>
      <c r="G199" s="3">
        <f>SUMIF(Query1!$B$4:$B$14,A199,Query1!$F$4:$F$14)</f>
        <v>0</v>
      </c>
      <c r="H199" s="3">
        <f>SUMIF(Query4!$B$4:$B$5,A199,Query4!$F$4:$F$5)</f>
        <v>0</v>
      </c>
    </row>
    <row r="200" spans="1:8" x14ac:dyDescent="0.2">
      <c r="A200" s="5">
        <v>640</v>
      </c>
      <c r="B200" s="5">
        <v>1</v>
      </c>
      <c r="C200" s="2" t="s">
        <v>197</v>
      </c>
      <c r="D200" s="2">
        <v>204311.75</v>
      </c>
      <c r="E200" s="2">
        <v>0</v>
      </c>
      <c r="G200" s="3">
        <f>SUMIF(Query1!$B$4:$B$14,A200,Query1!$F$4:$F$14)</f>
        <v>0</v>
      </c>
      <c r="H200" s="3">
        <f>SUMIF(Query4!$B$4:$B$5,A200,Query4!$F$4:$F$5)</f>
        <v>0</v>
      </c>
    </row>
    <row r="201" spans="1:8" x14ac:dyDescent="0.2">
      <c r="A201" s="5">
        <v>656</v>
      </c>
      <c r="B201" s="5">
        <v>1</v>
      </c>
      <c r="C201" s="2" t="s">
        <v>198</v>
      </c>
      <c r="D201" s="2">
        <v>1542466.17</v>
      </c>
      <c r="E201" s="2">
        <v>0</v>
      </c>
      <c r="G201" s="3">
        <f>SUMIF(Query1!$B$4:$B$14,A201,Query1!$F$4:$F$14)</f>
        <v>0</v>
      </c>
      <c r="H201" s="3">
        <f>SUMIF(Query4!$B$4:$B$5,A201,Query4!$F$4:$F$5)</f>
        <v>0</v>
      </c>
    </row>
    <row r="202" spans="1:8" x14ac:dyDescent="0.2">
      <c r="A202" s="5">
        <v>659</v>
      </c>
      <c r="B202" s="5">
        <v>1</v>
      </c>
      <c r="C202" s="2" t="s">
        <v>199</v>
      </c>
      <c r="D202" s="2">
        <v>3680108.08</v>
      </c>
      <c r="E202" s="2">
        <v>43339.62</v>
      </c>
      <c r="G202" s="3">
        <f>SUMIF(Query1!$B$4:$B$14,A202,Query1!$F$4:$F$14)</f>
        <v>0</v>
      </c>
      <c r="H202" s="3">
        <f>SUMIF(Query4!$B$4:$B$5,A202,Query4!$F$4:$F$5)</f>
        <v>0</v>
      </c>
    </row>
    <row r="203" spans="1:8" x14ac:dyDescent="0.2">
      <c r="A203" s="5">
        <v>671</v>
      </c>
      <c r="B203" s="5">
        <v>1</v>
      </c>
      <c r="C203" s="2" t="s">
        <v>200</v>
      </c>
      <c r="D203" s="2">
        <v>105658.94</v>
      </c>
      <c r="E203" s="2">
        <v>0</v>
      </c>
      <c r="G203" s="3">
        <f>SUMIF(Query1!$B$4:$B$14,A203,Query1!$F$4:$F$14)</f>
        <v>0</v>
      </c>
      <c r="H203" s="3">
        <f>SUMIF(Query4!$B$4:$B$5,A203,Query4!$F$4:$F$5)</f>
        <v>0</v>
      </c>
    </row>
    <row r="204" spans="1:8" x14ac:dyDescent="0.2">
      <c r="A204" s="5">
        <v>676</v>
      </c>
      <c r="B204" s="5">
        <v>1</v>
      </c>
      <c r="C204" s="2" t="s">
        <v>201</v>
      </c>
      <c r="D204" s="2">
        <v>45795.01</v>
      </c>
      <c r="E204" s="2">
        <v>0</v>
      </c>
      <c r="G204" s="3">
        <f>SUMIF(Query1!$B$4:$B$14,A204,Query1!$F$4:$F$14)</f>
        <v>0</v>
      </c>
      <c r="H204" s="3">
        <f>SUMIF(Query4!$B$4:$B$5,A204,Query4!$F$4:$F$5)</f>
        <v>0</v>
      </c>
    </row>
    <row r="205" spans="1:8" x14ac:dyDescent="0.2">
      <c r="A205" s="5">
        <v>682</v>
      </c>
      <c r="B205" s="5">
        <v>1</v>
      </c>
      <c r="C205" s="2" t="s">
        <v>202</v>
      </c>
      <c r="D205" s="2">
        <v>325668.76</v>
      </c>
      <c r="E205" s="2">
        <v>0</v>
      </c>
      <c r="G205" s="3">
        <f>SUMIF(Query1!$B$4:$B$14,A205,Query1!$F$4:$F$14)</f>
        <v>0</v>
      </c>
      <c r="H205" s="3">
        <f>SUMIF(Query4!$B$4:$B$5,A205,Query4!$F$4:$F$5)</f>
        <v>0</v>
      </c>
    </row>
    <row r="206" spans="1:8" x14ac:dyDescent="0.2">
      <c r="A206" s="5">
        <v>690</v>
      </c>
      <c r="B206" s="5">
        <v>1</v>
      </c>
      <c r="C206" s="2" t="s">
        <v>203</v>
      </c>
      <c r="D206" s="2">
        <v>375295.58</v>
      </c>
      <c r="E206" s="2">
        <v>0</v>
      </c>
      <c r="G206" s="3">
        <f>SUMIF(Query1!$B$4:$B$14,A206,Query1!$F$4:$F$14)</f>
        <v>0</v>
      </c>
      <c r="H206" s="3">
        <f>SUMIF(Query4!$B$4:$B$5,A206,Query4!$F$4:$F$5)</f>
        <v>0</v>
      </c>
    </row>
    <row r="207" spans="1:8" x14ac:dyDescent="0.2">
      <c r="A207" s="5">
        <v>695</v>
      </c>
      <c r="B207" s="5">
        <v>1</v>
      </c>
      <c r="C207" s="2" t="s">
        <v>204</v>
      </c>
      <c r="D207" s="2">
        <v>161226.49</v>
      </c>
      <c r="E207" s="2">
        <v>0</v>
      </c>
      <c r="G207" s="3">
        <f>SUMIF(Query1!$B$4:$B$14,A207,Query1!$F$4:$F$14)</f>
        <v>0</v>
      </c>
      <c r="H207" s="3">
        <f>SUMIF(Query4!$B$4:$B$5,A207,Query4!$F$4:$F$5)</f>
        <v>0</v>
      </c>
    </row>
    <row r="208" spans="1:8" x14ac:dyDescent="0.2">
      <c r="A208" s="5">
        <v>696</v>
      </c>
      <c r="B208" s="5">
        <v>1</v>
      </c>
      <c r="C208" s="2" t="s">
        <v>205</v>
      </c>
      <c r="D208" s="2">
        <v>419642.45</v>
      </c>
      <c r="E208" s="2">
        <v>4601.17</v>
      </c>
      <c r="G208" s="3">
        <f>SUMIF(Query1!$B$4:$B$14,A208,Query1!$F$4:$F$14)</f>
        <v>0</v>
      </c>
      <c r="H208" s="3">
        <f>SUMIF(Query4!$B$4:$B$5,A208,Query4!$F$4:$F$5)</f>
        <v>0</v>
      </c>
    </row>
    <row r="209" spans="1:8" x14ac:dyDescent="0.2">
      <c r="A209" s="5">
        <v>698</v>
      </c>
      <c r="B209" s="5">
        <v>1</v>
      </c>
      <c r="C209" s="2" t="s">
        <v>206</v>
      </c>
      <c r="D209" s="2">
        <v>89031.37</v>
      </c>
      <c r="E209" s="2">
        <v>0</v>
      </c>
      <c r="G209" s="3">
        <f>SUMIF(Query1!$B$4:$B$14,A209,Query1!$F$4:$F$14)</f>
        <v>0</v>
      </c>
      <c r="H209" s="3">
        <f>SUMIF(Query4!$B$4:$B$5,A209,Query4!$F$4:$F$5)</f>
        <v>0</v>
      </c>
    </row>
    <row r="210" spans="1:8" x14ac:dyDescent="0.2">
      <c r="A210" s="5">
        <v>700</v>
      </c>
      <c r="B210" s="5">
        <v>1</v>
      </c>
      <c r="C210" s="2" t="s">
        <v>207</v>
      </c>
      <c r="D210" s="2">
        <v>642879.21</v>
      </c>
      <c r="E210" s="2">
        <v>0</v>
      </c>
      <c r="G210" s="3">
        <f>SUMIF(Query1!$B$4:$B$14,A210,Query1!$F$4:$F$14)</f>
        <v>0</v>
      </c>
      <c r="H210" s="3">
        <f>SUMIF(Query4!$B$4:$B$5,A210,Query4!$F$4:$F$5)</f>
        <v>0</v>
      </c>
    </row>
    <row r="211" spans="1:8" x14ac:dyDescent="0.2">
      <c r="A211" s="5">
        <v>701</v>
      </c>
      <c r="B211" s="5">
        <v>1</v>
      </c>
      <c r="C211" s="2" t="s">
        <v>208</v>
      </c>
      <c r="D211" s="2">
        <v>503988.43</v>
      </c>
      <c r="E211" s="2">
        <v>0</v>
      </c>
      <c r="G211" s="3">
        <f>SUMIF(Query1!$B$4:$B$14,A211,Query1!$F$4:$F$14)</f>
        <v>0</v>
      </c>
      <c r="H211" s="3">
        <f>SUMIF(Query4!$B$4:$B$5,A211,Query4!$F$4:$F$5)</f>
        <v>0</v>
      </c>
    </row>
    <row r="212" spans="1:8" x14ac:dyDescent="0.2">
      <c r="A212" s="5">
        <v>704</v>
      </c>
      <c r="B212" s="5">
        <v>1</v>
      </c>
      <c r="C212" s="2" t="s">
        <v>209</v>
      </c>
      <c r="D212" s="2">
        <v>575275.32999999996</v>
      </c>
      <c r="E212" s="2">
        <v>0</v>
      </c>
      <c r="G212" s="3">
        <f>SUMIF(Query1!$B$4:$B$14,A212,Query1!$F$4:$F$14)</f>
        <v>0</v>
      </c>
      <c r="H212" s="3">
        <f>SUMIF(Query4!$B$4:$B$5,A212,Query4!$F$4:$F$5)</f>
        <v>0</v>
      </c>
    </row>
    <row r="213" spans="1:8" x14ac:dyDescent="0.2">
      <c r="A213" s="5">
        <v>706</v>
      </c>
      <c r="B213" s="5">
        <v>1</v>
      </c>
      <c r="C213" s="2" t="s">
        <v>210</v>
      </c>
      <c r="D213" s="2">
        <v>358122.63</v>
      </c>
      <c r="E213" s="2">
        <v>0</v>
      </c>
      <c r="G213" s="3">
        <f>SUMIF(Query1!$B$4:$B$14,A213,Query1!$F$4:$F$14)</f>
        <v>0</v>
      </c>
      <c r="H213" s="3">
        <f>SUMIF(Query4!$B$4:$B$5,A213,Query4!$F$4:$F$5)</f>
        <v>0</v>
      </c>
    </row>
    <row r="214" spans="1:8" x14ac:dyDescent="0.2">
      <c r="A214" s="5">
        <v>707</v>
      </c>
      <c r="B214" s="5">
        <v>1</v>
      </c>
      <c r="C214" s="2" t="s">
        <v>211</v>
      </c>
      <c r="D214" s="2">
        <v>14874.43</v>
      </c>
      <c r="E214" s="2">
        <v>0</v>
      </c>
      <c r="G214" s="3">
        <f>SUMIF(Query1!$B$4:$B$14,A214,Query1!$F$4:$F$14)</f>
        <v>0</v>
      </c>
      <c r="H214" s="3">
        <f>SUMIF(Query4!$B$4:$B$5,A214,Query4!$F$4:$F$5)</f>
        <v>0</v>
      </c>
    </row>
    <row r="215" spans="1:8" x14ac:dyDescent="0.2">
      <c r="A215" s="5">
        <v>709</v>
      </c>
      <c r="B215" s="5">
        <v>1</v>
      </c>
      <c r="C215" s="2" t="s">
        <v>212</v>
      </c>
      <c r="D215" s="2">
        <v>3914193.95</v>
      </c>
      <c r="E215" s="2">
        <v>0</v>
      </c>
      <c r="G215" s="3">
        <f>SUMIF(Query1!$B$4:$B$14,A215,Query1!$F$4:$F$14)</f>
        <v>0</v>
      </c>
      <c r="H215" s="3">
        <f>SUMIF(Query4!$B$4:$B$5,A215,Query4!$F$4:$F$5)</f>
        <v>0</v>
      </c>
    </row>
    <row r="216" spans="1:8" x14ac:dyDescent="0.2">
      <c r="A216" s="5">
        <v>712</v>
      </c>
      <c r="B216" s="5">
        <v>1</v>
      </c>
      <c r="C216" s="2" t="s">
        <v>213</v>
      </c>
      <c r="D216" s="2">
        <v>117731.77</v>
      </c>
      <c r="E216" s="2">
        <v>0</v>
      </c>
      <c r="G216" s="3">
        <f>SUMIF(Query1!$B$4:$B$14,A216,Query1!$F$4:$F$14)</f>
        <v>0</v>
      </c>
      <c r="H216" s="3">
        <f>SUMIF(Query4!$B$4:$B$5,A216,Query4!$F$4:$F$5)</f>
        <v>0</v>
      </c>
    </row>
    <row r="217" spans="1:8" x14ac:dyDescent="0.2">
      <c r="A217" s="5">
        <v>716</v>
      </c>
      <c r="B217" s="5">
        <v>1</v>
      </c>
      <c r="C217" s="2" t="s">
        <v>214</v>
      </c>
      <c r="D217" s="2">
        <v>527514.22</v>
      </c>
      <c r="E217" s="2">
        <v>0</v>
      </c>
      <c r="G217" s="3">
        <f>SUMIF(Query1!$B$4:$B$14,A217,Query1!$F$4:$F$14)</f>
        <v>0</v>
      </c>
      <c r="H217" s="3">
        <f>SUMIF(Query4!$B$4:$B$5,A217,Query4!$F$4:$F$5)</f>
        <v>0</v>
      </c>
    </row>
    <row r="218" spans="1:8" x14ac:dyDescent="0.2">
      <c r="A218" s="5">
        <v>717</v>
      </c>
      <c r="B218" s="5">
        <v>1</v>
      </c>
      <c r="C218" s="2" t="s">
        <v>215</v>
      </c>
      <c r="D218" s="2">
        <v>851714.15</v>
      </c>
      <c r="E218" s="2">
        <v>15393.2</v>
      </c>
      <c r="G218" s="3">
        <f>SUMIF(Query1!$B$4:$B$14,A218,Query1!$F$4:$F$14)</f>
        <v>0.01</v>
      </c>
      <c r="H218" s="3">
        <f>SUMIF(Query4!$B$4:$B$5,A218,Query4!$F$4:$F$5)</f>
        <v>0</v>
      </c>
    </row>
    <row r="219" spans="1:8" x14ac:dyDescent="0.2">
      <c r="A219" s="5">
        <v>719</v>
      </c>
      <c r="B219" s="5">
        <v>1</v>
      </c>
      <c r="C219" s="2" t="s">
        <v>216</v>
      </c>
      <c r="D219" s="2">
        <v>4938825.3499999996</v>
      </c>
      <c r="E219" s="2">
        <v>55370.23</v>
      </c>
      <c r="G219" s="3">
        <f>SUMIF(Query1!$B$4:$B$14,A219,Query1!$F$4:$F$14)</f>
        <v>0</v>
      </c>
      <c r="H219" s="3">
        <f>SUMIF(Query4!$B$4:$B$5,A219,Query4!$F$4:$F$5)</f>
        <v>0</v>
      </c>
    </row>
    <row r="220" spans="1:8" x14ac:dyDescent="0.2">
      <c r="A220" s="5">
        <v>720</v>
      </c>
      <c r="B220" s="5">
        <v>1</v>
      </c>
      <c r="C220" s="2" t="s">
        <v>217</v>
      </c>
      <c r="D220" s="2">
        <v>3091971.89</v>
      </c>
      <c r="E220" s="2">
        <v>0</v>
      </c>
      <c r="G220" s="3">
        <f>SUMIF(Query1!$B$4:$B$14,A220,Query1!$F$4:$F$14)</f>
        <v>0</v>
      </c>
      <c r="H220" s="3">
        <f>SUMIF(Query4!$B$4:$B$5,A220,Query4!$F$4:$F$5)</f>
        <v>0</v>
      </c>
    </row>
    <row r="221" spans="1:8" x14ac:dyDescent="0.2">
      <c r="A221" s="5">
        <v>721</v>
      </c>
      <c r="B221" s="5">
        <v>1</v>
      </c>
      <c r="C221" s="2" t="s">
        <v>218</v>
      </c>
      <c r="D221" s="2">
        <v>2136927.42</v>
      </c>
      <c r="E221" s="2">
        <v>29329.88</v>
      </c>
      <c r="G221" s="3">
        <f>SUMIF(Query1!$B$4:$B$14,A221,Query1!$F$4:$F$14)</f>
        <v>0</v>
      </c>
      <c r="H221" s="3">
        <f>SUMIF(Query4!$B$4:$B$5,A221,Query4!$F$4:$F$5)</f>
        <v>0</v>
      </c>
    </row>
    <row r="222" spans="1:8" x14ac:dyDescent="0.2">
      <c r="A222" s="5">
        <v>726</v>
      </c>
      <c r="B222" s="5">
        <v>1</v>
      </c>
      <c r="C222" s="2" t="s">
        <v>219</v>
      </c>
      <c r="D222" s="2">
        <v>1260514.9099999999</v>
      </c>
      <c r="E222" s="2">
        <v>19385.04</v>
      </c>
      <c r="G222" s="3">
        <f>SUMIF(Query1!$B$4:$B$14,A222,Query1!$F$4:$F$14)</f>
        <v>0</v>
      </c>
      <c r="H222" s="3">
        <f>SUMIF(Query4!$B$4:$B$5,A222,Query4!$F$4:$F$5)</f>
        <v>0</v>
      </c>
    </row>
    <row r="223" spans="1:8" x14ac:dyDescent="0.2">
      <c r="A223" s="5">
        <v>727</v>
      </c>
      <c r="B223" s="5">
        <v>1</v>
      </c>
      <c r="C223" s="2" t="s">
        <v>220</v>
      </c>
      <c r="D223" s="2">
        <v>1168227.51</v>
      </c>
      <c r="E223" s="2">
        <v>0</v>
      </c>
      <c r="G223" s="3">
        <f>SUMIF(Query1!$B$4:$B$14,A223,Query1!$F$4:$F$14)</f>
        <v>0</v>
      </c>
      <c r="H223" s="3">
        <f>SUMIF(Query4!$B$4:$B$5,A223,Query4!$F$4:$F$5)</f>
        <v>0</v>
      </c>
    </row>
    <row r="224" spans="1:8" x14ac:dyDescent="0.2">
      <c r="A224" s="5">
        <v>728</v>
      </c>
      <c r="B224" s="5">
        <v>1</v>
      </c>
      <c r="C224" s="2" t="s">
        <v>221</v>
      </c>
      <c r="D224" s="2">
        <v>7011429.0800000001</v>
      </c>
      <c r="E224" s="2">
        <v>114214.78</v>
      </c>
      <c r="G224" s="3">
        <f>SUMIF(Query1!$B$4:$B$14,A224,Query1!$F$4:$F$14)</f>
        <v>0</v>
      </c>
      <c r="H224" s="3">
        <f>SUMIF(Query4!$B$4:$B$5,A224,Query4!$F$4:$F$5)</f>
        <v>0</v>
      </c>
    </row>
    <row r="225" spans="1:8" x14ac:dyDescent="0.2">
      <c r="A225" s="5">
        <v>738</v>
      </c>
      <c r="B225" s="5">
        <v>1</v>
      </c>
      <c r="C225" s="2" t="s">
        <v>222</v>
      </c>
      <c r="D225" s="2">
        <v>186302.59</v>
      </c>
      <c r="E225" s="2">
        <v>0</v>
      </c>
      <c r="G225" s="3">
        <f>SUMIF(Query1!$B$4:$B$14,A225,Query1!$F$4:$F$14)</f>
        <v>0</v>
      </c>
      <c r="H225" s="3">
        <f>SUMIF(Query4!$B$4:$B$5,A225,Query4!$F$4:$F$5)</f>
        <v>0</v>
      </c>
    </row>
    <row r="226" spans="1:8" x14ac:dyDescent="0.2">
      <c r="A226" s="5">
        <v>739</v>
      </c>
      <c r="B226" s="5">
        <v>1</v>
      </c>
      <c r="C226" s="2" t="s">
        <v>223</v>
      </c>
      <c r="D226" s="2">
        <v>458259.94</v>
      </c>
      <c r="E226" s="2">
        <v>0</v>
      </c>
      <c r="G226" s="3">
        <f>SUMIF(Query1!$B$4:$B$14,A226,Query1!$F$4:$F$14)</f>
        <v>0</v>
      </c>
      <c r="H226" s="3">
        <f>SUMIF(Query4!$B$4:$B$5,A226,Query4!$F$4:$F$5)</f>
        <v>0</v>
      </c>
    </row>
    <row r="227" spans="1:8" x14ac:dyDescent="0.2">
      <c r="A227" s="5">
        <v>740</v>
      </c>
      <c r="B227" s="5">
        <v>1</v>
      </c>
      <c r="C227" s="2" t="s">
        <v>224</v>
      </c>
      <c r="D227" s="2">
        <v>591067.4</v>
      </c>
      <c r="E227" s="2">
        <v>0</v>
      </c>
      <c r="G227" s="3">
        <f>SUMIF(Query1!$B$4:$B$14,A227,Query1!$F$4:$F$14)</f>
        <v>0</v>
      </c>
      <c r="H227" s="3">
        <f>SUMIF(Query4!$B$4:$B$5,A227,Query4!$F$4:$F$5)</f>
        <v>0</v>
      </c>
    </row>
    <row r="228" spans="1:8" x14ac:dyDescent="0.2">
      <c r="A228" s="5">
        <v>741</v>
      </c>
      <c r="B228" s="5">
        <v>1</v>
      </c>
      <c r="C228" s="2" t="s">
        <v>225</v>
      </c>
      <c r="D228" s="2">
        <v>375473.6</v>
      </c>
      <c r="E228" s="2">
        <v>0</v>
      </c>
      <c r="G228" s="3">
        <f>SUMIF(Query1!$B$4:$B$14,A228,Query1!$F$4:$F$14)</f>
        <v>0</v>
      </c>
      <c r="H228" s="3">
        <f>SUMIF(Query4!$B$4:$B$5,A228,Query4!$F$4:$F$5)</f>
        <v>0</v>
      </c>
    </row>
    <row r="229" spans="1:8" x14ac:dyDescent="0.2">
      <c r="A229" s="5">
        <v>742</v>
      </c>
      <c r="B229" s="5">
        <v>1</v>
      </c>
      <c r="C229" s="2" t="s">
        <v>226</v>
      </c>
      <c r="D229" s="2">
        <v>5661915.8699999992</v>
      </c>
      <c r="E229" s="2">
        <v>184774.48</v>
      </c>
      <c r="G229" s="3">
        <f>SUMIF(Query1!$B$4:$B$14,A229,Query1!$F$4:$F$14)</f>
        <v>0</v>
      </c>
      <c r="H229" s="3">
        <f>SUMIF(Query4!$B$4:$B$5,A229,Query4!$F$4:$F$5)</f>
        <v>0</v>
      </c>
    </row>
    <row r="230" spans="1:8" x14ac:dyDescent="0.2">
      <c r="A230" s="5">
        <v>743</v>
      </c>
      <c r="B230" s="5">
        <v>1</v>
      </c>
      <c r="C230" s="2" t="s">
        <v>227</v>
      </c>
      <c r="D230" s="2">
        <v>624289.54</v>
      </c>
      <c r="E230" s="2">
        <v>15361.83</v>
      </c>
      <c r="G230" s="3">
        <f>SUMIF(Query1!$B$4:$B$14,A230,Query1!$F$4:$F$14)</f>
        <v>0</v>
      </c>
      <c r="H230" s="3">
        <f>SUMIF(Query4!$B$4:$B$5,A230,Query4!$F$4:$F$5)</f>
        <v>0</v>
      </c>
    </row>
    <row r="231" spans="1:8" x14ac:dyDescent="0.2">
      <c r="A231" s="5">
        <v>745</v>
      </c>
      <c r="B231" s="5">
        <v>1</v>
      </c>
      <c r="C231" s="2" t="s">
        <v>228</v>
      </c>
      <c r="D231" s="2">
        <v>444459.54</v>
      </c>
      <c r="E231" s="2">
        <v>16596.79</v>
      </c>
      <c r="G231" s="3">
        <f>SUMIF(Query1!$B$4:$B$14,A231,Query1!$F$4:$F$14)</f>
        <v>0</v>
      </c>
      <c r="H231" s="3">
        <f>SUMIF(Query4!$B$4:$B$5,A231,Query4!$F$4:$F$5)</f>
        <v>0</v>
      </c>
    </row>
    <row r="232" spans="1:8" x14ac:dyDescent="0.2">
      <c r="A232" s="5">
        <v>748</v>
      </c>
      <c r="B232" s="5">
        <v>1</v>
      </c>
      <c r="C232" s="2" t="s">
        <v>229</v>
      </c>
      <c r="D232" s="2">
        <v>867828</v>
      </c>
      <c r="E232" s="2">
        <v>24557.64</v>
      </c>
      <c r="G232" s="3">
        <f>SUMIF(Query1!$B$4:$B$14,A232,Query1!$F$4:$F$14)</f>
        <v>0</v>
      </c>
      <c r="H232" s="3">
        <f>SUMIF(Query4!$B$4:$B$5,A232,Query4!$F$4:$F$5)</f>
        <v>0</v>
      </c>
    </row>
    <row r="233" spans="1:8" x14ac:dyDescent="0.2">
      <c r="A233" s="5">
        <v>750</v>
      </c>
      <c r="B233" s="5">
        <v>1</v>
      </c>
      <c r="C233" s="2" t="s">
        <v>230</v>
      </c>
      <c r="D233" s="2">
        <v>954110.96</v>
      </c>
      <c r="E233" s="2">
        <v>0</v>
      </c>
      <c r="G233" s="3">
        <f>SUMIF(Query1!$B$4:$B$14,A233,Query1!$F$4:$F$14)</f>
        <v>0</v>
      </c>
      <c r="H233" s="3">
        <f>SUMIF(Query4!$B$4:$B$5,A233,Query4!$F$4:$F$5)</f>
        <v>0</v>
      </c>
    </row>
    <row r="234" spans="1:8" x14ac:dyDescent="0.2">
      <c r="A234" s="5">
        <v>756</v>
      </c>
      <c r="B234" s="5">
        <v>1</v>
      </c>
      <c r="C234" s="2" t="s">
        <v>231</v>
      </c>
      <c r="D234" s="2">
        <v>276443.84999999998</v>
      </c>
      <c r="E234" s="2">
        <v>7871.88</v>
      </c>
      <c r="G234" s="3">
        <f>SUMIF(Query1!$B$4:$B$14,A234,Query1!$F$4:$F$14)</f>
        <v>0</v>
      </c>
      <c r="H234" s="3">
        <f>SUMIF(Query4!$B$4:$B$5,A234,Query4!$F$4:$F$5)</f>
        <v>0</v>
      </c>
    </row>
    <row r="235" spans="1:8" x14ac:dyDescent="0.2">
      <c r="A235" s="5">
        <v>761</v>
      </c>
      <c r="B235" s="5">
        <v>1</v>
      </c>
      <c r="C235" s="2" t="s">
        <v>232</v>
      </c>
      <c r="D235" s="2">
        <v>2154656.1</v>
      </c>
      <c r="E235" s="2">
        <v>0</v>
      </c>
      <c r="G235" s="3">
        <f>SUMIF(Query1!$B$4:$B$14,A235,Query1!$F$4:$F$14)</f>
        <v>0</v>
      </c>
      <c r="H235" s="3">
        <f>SUMIF(Query4!$B$4:$B$5,A235,Query4!$F$4:$F$5)</f>
        <v>0</v>
      </c>
    </row>
    <row r="236" spans="1:8" x14ac:dyDescent="0.2">
      <c r="A236" s="5">
        <v>763</v>
      </c>
      <c r="B236" s="5">
        <v>1</v>
      </c>
      <c r="C236" s="2" t="s">
        <v>233</v>
      </c>
      <c r="D236" s="2">
        <v>119923.73</v>
      </c>
      <c r="E236" s="2">
        <v>0</v>
      </c>
      <c r="G236" s="3">
        <f>SUMIF(Query1!$B$4:$B$14,A236,Query1!$F$4:$F$14)</f>
        <v>0</v>
      </c>
      <c r="H236" s="3">
        <f>SUMIF(Query4!$B$4:$B$5,A236,Query4!$F$4:$F$5)</f>
        <v>0</v>
      </c>
    </row>
    <row r="237" spans="1:8" x14ac:dyDescent="0.2">
      <c r="A237" s="5">
        <v>768</v>
      </c>
      <c r="B237" s="5">
        <v>1</v>
      </c>
      <c r="C237" s="2" t="s">
        <v>234</v>
      </c>
      <c r="D237" s="2">
        <v>91254.39</v>
      </c>
      <c r="E237" s="2">
        <v>0</v>
      </c>
      <c r="G237" s="3">
        <f>SUMIF(Query1!$B$4:$B$14,A237,Query1!$F$4:$F$14)</f>
        <v>0</v>
      </c>
      <c r="H237" s="3">
        <f>SUMIF(Query4!$B$4:$B$5,A237,Query4!$F$4:$F$5)</f>
        <v>0</v>
      </c>
    </row>
    <row r="238" spans="1:8" x14ac:dyDescent="0.2">
      <c r="A238" s="5">
        <v>769</v>
      </c>
      <c r="B238" s="5">
        <v>1</v>
      </c>
      <c r="C238" s="2" t="s">
        <v>235</v>
      </c>
      <c r="D238" s="2">
        <v>293482.84999999998</v>
      </c>
      <c r="E238" s="2">
        <v>0</v>
      </c>
      <c r="G238" s="3">
        <f>SUMIF(Query1!$B$4:$B$14,A238,Query1!$F$4:$F$14)</f>
        <v>0</v>
      </c>
      <c r="H238" s="3">
        <f>SUMIF(Query4!$B$4:$B$5,A238,Query4!$F$4:$F$5)</f>
        <v>0</v>
      </c>
    </row>
    <row r="239" spans="1:8" x14ac:dyDescent="0.2">
      <c r="A239" s="5">
        <v>771</v>
      </c>
      <c r="B239" s="5">
        <v>1</v>
      </c>
      <c r="C239" s="2" t="s">
        <v>236</v>
      </c>
      <c r="D239" s="2">
        <v>103784.19</v>
      </c>
      <c r="E239" s="2">
        <v>2659.37</v>
      </c>
      <c r="G239" s="3">
        <f>SUMIF(Query1!$B$4:$B$14,A239,Query1!$F$4:$F$14)</f>
        <v>0</v>
      </c>
      <c r="H239" s="3">
        <f>SUMIF(Query4!$B$4:$B$5,A239,Query4!$F$4:$F$5)</f>
        <v>0</v>
      </c>
    </row>
    <row r="240" spans="1:8" x14ac:dyDescent="0.2">
      <c r="A240" s="5">
        <v>775</v>
      </c>
      <c r="B240" s="5">
        <v>1</v>
      </c>
      <c r="C240" s="2" t="s">
        <v>237</v>
      </c>
      <c r="D240" s="2">
        <v>204044.57</v>
      </c>
      <c r="E240" s="2">
        <v>0</v>
      </c>
      <c r="G240" s="3">
        <f>SUMIF(Query1!$B$4:$B$14,A240,Query1!$F$4:$F$14)</f>
        <v>0</v>
      </c>
      <c r="H240" s="3">
        <f>SUMIF(Query4!$B$4:$B$5,A240,Query4!$F$4:$F$5)</f>
        <v>0</v>
      </c>
    </row>
    <row r="241" spans="1:8" x14ac:dyDescent="0.2">
      <c r="A241" s="5">
        <v>777</v>
      </c>
      <c r="B241" s="5">
        <v>1</v>
      </c>
      <c r="C241" s="2" t="s">
        <v>238</v>
      </c>
      <c r="D241" s="2">
        <v>318088.64</v>
      </c>
      <c r="E241" s="2">
        <v>0</v>
      </c>
      <c r="G241" s="3">
        <f>SUMIF(Query1!$B$4:$B$14,A241,Query1!$F$4:$F$14)</f>
        <v>0</v>
      </c>
      <c r="H241" s="3">
        <f>SUMIF(Query4!$B$4:$B$5,A241,Query4!$F$4:$F$5)</f>
        <v>0</v>
      </c>
    </row>
    <row r="242" spans="1:8" x14ac:dyDescent="0.2">
      <c r="A242" s="5">
        <v>786</v>
      </c>
      <c r="B242" s="5">
        <v>1</v>
      </c>
      <c r="C242" s="2" t="s">
        <v>239</v>
      </c>
      <c r="D242" s="2">
        <v>120442.91</v>
      </c>
      <c r="E242" s="2">
        <v>0</v>
      </c>
      <c r="G242" s="3">
        <f>SUMIF(Query1!$B$4:$B$14,A242,Query1!$F$4:$F$14)</f>
        <v>0</v>
      </c>
      <c r="H242" s="3">
        <f>SUMIF(Query4!$B$4:$B$5,A242,Query4!$F$4:$F$5)</f>
        <v>0</v>
      </c>
    </row>
    <row r="243" spans="1:8" x14ac:dyDescent="0.2">
      <c r="A243" s="5">
        <v>787</v>
      </c>
      <c r="B243" s="5">
        <v>1</v>
      </c>
      <c r="C243" s="2" t="s">
        <v>240</v>
      </c>
      <c r="D243" s="2">
        <v>73460.84</v>
      </c>
      <c r="E243" s="2">
        <v>0</v>
      </c>
      <c r="G243" s="3">
        <f>SUMIF(Query1!$B$4:$B$14,A243,Query1!$F$4:$F$14)</f>
        <v>0</v>
      </c>
      <c r="H243" s="3">
        <f>SUMIF(Query4!$B$4:$B$5,A243,Query4!$F$4:$F$5)</f>
        <v>0</v>
      </c>
    </row>
    <row r="244" spans="1:8" x14ac:dyDescent="0.2">
      <c r="A244" s="5">
        <v>801</v>
      </c>
      <c r="B244" s="5">
        <v>1</v>
      </c>
      <c r="C244" s="2" t="s">
        <v>241</v>
      </c>
      <c r="D244" s="2">
        <v>23655.8</v>
      </c>
      <c r="E244" s="2">
        <v>0</v>
      </c>
      <c r="G244" s="3">
        <f>SUMIF(Query1!$B$4:$B$14,A244,Query1!$F$4:$F$14)</f>
        <v>0</v>
      </c>
      <c r="H244" s="3">
        <f>SUMIF(Query4!$B$4:$B$5,A244,Query4!$F$4:$F$5)</f>
        <v>0</v>
      </c>
    </row>
    <row r="245" spans="1:8" x14ac:dyDescent="0.2">
      <c r="A245" s="5">
        <v>803</v>
      </c>
      <c r="B245" s="5">
        <v>1</v>
      </c>
      <c r="C245" s="2" t="s">
        <v>242</v>
      </c>
      <c r="D245" s="2">
        <v>84824.67</v>
      </c>
      <c r="E245" s="2">
        <v>0</v>
      </c>
      <c r="G245" s="3">
        <f>SUMIF(Query1!$B$4:$B$14,A245,Query1!$F$4:$F$14)</f>
        <v>0</v>
      </c>
      <c r="H245" s="3">
        <f>SUMIF(Query4!$B$4:$B$5,A245,Query4!$F$4:$F$5)</f>
        <v>0</v>
      </c>
    </row>
    <row r="246" spans="1:8" x14ac:dyDescent="0.2">
      <c r="A246" s="5">
        <v>811</v>
      </c>
      <c r="B246" s="5">
        <v>1</v>
      </c>
      <c r="C246" s="2" t="s">
        <v>243</v>
      </c>
      <c r="D246" s="2">
        <v>535313.12</v>
      </c>
      <c r="E246" s="2">
        <v>0</v>
      </c>
      <c r="G246" s="3">
        <f>SUMIF(Query1!$B$4:$B$14,A246,Query1!$F$4:$F$14)</f>
        <v>0</v>
      </c>
      <c r="H246" s="3">
        <f>SUMIF(Query4!$B$4:$B$5,A246,Query4!$F$4:$F$5)</f>
        <v>0</v>
      </c>
    </row>
    <row r="247" spans="1:8" x14ac:dyDescent="0.2">
      <c r="A247" s="5">
        <v>813</v>
      </c>
      <c r="B247" s="5">
        <v>1</v>
      </c>
      <c r="C247" s="2" t="s">
        <v>244</v>
      </c>
      <c r="D247" s="2">
        <v>798373.09</v>
      </c>
      <c r="E247" s="2">
        <v>13860.15</v>
      </c>
      <c r="G247" s="3">
        <f>SUMIF(Query1!$B$4:$B$14,A247,Query1!$F$4:$F$14)</f>
        <v>0</v>
      </c>
      <c r="H247" s="3">
        <f>SUMIF(Query4!$B$4:$B$5,A247,Query4!$F$4:$F$5)</f>
        <v>0</v>
      </c>
    </row>
    <row r="248" spans="1:8" x14ac:dyDescent="0.2">
      <c r="A248" s="5">
        <v>815</v>
      </c>
      <c r="B248" s="5">
        <v>2</v>
      </c>
      <c r="C248" s="2" t="s">
        <v>245</v>
      </c>
      <c r="D248" s="2">
        <v>10892.41</v>
      </c>
      <c r="E248" s="2">
        <v>0</v>
      </c>
      <c r="G248" s="3">
        <f>SUMIF(Query1!$B$4:$B$14,A248,Query1!$F$4:$F$14)</f>
        <v>0</v>
      </c>
      <c r="H248" s="3">
        <f>SUMIF(Query4!$B$4:$B$5,A248,Query4!$F$4:$F$5)</f>
        <v>0</v>
      </c>
    </row>
    <row r="249" spans="1:8" x14ac:dyDescent="0.2">
      <c r="A249" s="5">
        <v>818</v>
      </c>
      <c r="B249" s="5">
        <v>1</v>
      </c>
      <c r="C249" s="2" t="s">
        <v>246</v>
      </c>
      <c r="D249" s="2">
        <v>61372.18</v>
      </c>
      <c r="E249" s="2">
        <v>0</v>
      </c>
      <c r="G249" s="3">
        <f>SUMIF(Query1!$B$4:$B$14,A249,Query1!$F$4:$F$14)</f>
        <v>0</v>
      </c>
      <c r="H249" s="3">
        <f>SUMIF(Query4!$B$4:$B$5,A249,Query4!$F$4:$F$5)</f>
        <v>0</v>
      </c>
    </row>
    <row r="250" spans="1:8" x14ac:dyDescent="0.2">
      <c r="A250" s="5">
        <v>820</v>
      </c>
      <c r="B250" s="5">
        <v>1</v>
      </c>
      <c r="C250" s="2" t="s">
        <v>247</v>
      </c>
      <c r="D250" s="2">
        <v>179939.54</v>
      </c>
      <c r="E250" s="2">
        <v>0</v>
      </c>
      <c r="G250" s="3">
        <f>SUMIF(Query1!$B$4:$B$14,A250,Query1!$F$4:$F$14)</f>
        <v>0</v>
      </c>
      <c r="H250" s="3">
        <f>SUMIF(Query4!$B$4:$B$5,A250,Query4!$F$4:$F$5)</f>
        <v>0</v>
      </c>
    </row>
    <row r="251" spans="1:8" x14ac:dyDescent="0.2">
      <c r="A251" s="5">
        <v>821</v>
      </c>
      <c r="B251" s="5">
        <v>1</v>
      </c>
      <c r="C251" s="2" t="s">
        <v>248</v>
      </c>
      <c r="D251" s="2">
        <v>290847.62</v>
      </c>
      <c r="E251" s="2">
        <v>0</v>
      </c>
      <c r="G251" s="3">
        <f>SUMIF(Query1!$B$4:$B$14,A251,Query1!$F$4:$F$14)</f>
        <v>0</v>
      </c>
      <c r="H251" s="3">
        <f>SUMIF(Query4!$B$4:$B$5,A251,Query4!$F$4:$F$5)</f>
        <v>0</v>
      </c>
    </row>
    <row r="252" spans="1:8" x14ac:dyDescent="0.2">
      <c r="A252" s="5">
        <v>829</v>
      </c>
      <c r="B252" s="5">
        <v>1</v>
      </c>
      <c r="C252" s="2" t="s">
        <v>249</v>
      </c>
      <c r="D252" s="2">
        <v>360040.73</v>
      </c>
      <c r="E252" s="2">
        <v>0</v>
      </c>
      <c r="G252" s="3">
        <f>SUMIF(Query1!$B$4:$B$14,A252,Query1!$F$4:$F$14)</f>
        <v>0</v>
      </c>
      <c r="H252" s="3">
        <f>SUMIF(Query4!$B$4:$B$5,A252,Query4!$F$4:$F$5)</f>
        <v>0</v>
      </c>
    </row>
    <row r="253" spans="1:8" x14ac:dyDescent="0.2">
      <c r="A253" s="5">
        <v>831</v>
      </c>
      <c r="B253" s="5">
        <v>1</v>
      </c>
      <c r="C253" s="2" t="s">
        <v>250</v>
      </c>
      <c r="D253" s="2">
        <v>4805227.3600000003</v>
      </c>
      <c r="E253" s="2">
        <v>73762.289999999994</v>
      </c>
      <c r="G253" s="3">
        <f>SUMIF(Query1!$B$4:$B$14,A253,Query1!$F$4:$F$14)</f>
        <v>0</v>
      </c>
      <c r="H253" s="3">
        <f>SUMIF(Query4!$B$4:$B$5,A253,Query4!$F$4:$F$5)</f>
        <v>0</v>
      </c>
    </row>
    <row r="254" spans="1:8" x14ac:dyDescent="0.2">
      <c r="A254" s="5">
        <v>832</v>
      </c>
      <c r="B254" s="5">
        <v>1</v>
      </c>
      <c r="C254" s="2" t="s">
        <v>251</v>
      </c>
      <c r="D254" s="2">
        <v>2455467.2000000002</v>
      </c>
      <c r="E254" s="2">
        <v>16750.66</v>
      </c>
      <c r="G254" s="3">
        <f>SUMIF(Query1!$B$4:$B$14,A254,Query1!$F$4:$F$14)</f>
        <v>0</v>
      </c>
      <c r="H254" s="3">
        <f>SUMIF(Query4!$B$4:$B$5,A254,Query4!$F$4:$F$5)</f>
        <v>0</v>
      </c>
    </row>
    <row r="255" spans="1:8" x14ac:dyDescent="0.2">
      <c r="A255" s="5">
        <v>833</v>
      </c>
      <c r="B255" s="5">
        <v>1</v>
      </c>
      <c r="C255" s="2" t="s">
        <v>252</v>
      </c>
      <c r="D255" s="2">
        <v>10725784.949999999</v>
      </c>
      <c r="E255" s="2">
        <v>149463.21</v>
      </c>
      <c r="G255" s="3">
        <f>SUMIF(Query1!$B$4:$B$14,A255,Query1!$F$4:$F$14)</f>
        <v>0</v>
      </c>
      <c r="H255" s="3">
        <f>SUMIF(Query4!$B$4:$B$5,A255,Query4!$F$4:$F$5)</f>
        <v>0</v>
      </c>
    </row>
    <row r="256" spans="1:8" x14ac:dyDescent="0.2">
      <c r="A256" s="5">
        <v>834</v>
      </c>
      <c r="B256" s="5">
        <v>1</v>
      </c>
      <c r="C256" s="2" t="s">
        <v>253</v>
      </c>
      <c r="D256" s="2">
        <v>7964991.2700000005</v>
      </c>
      <c r="E256" s="2">
        <v>69130.490000000005</v>
      </c>
      <c r="G256" s="3">
        <f>SUMIF(Query1!$B$4:$B$14,A256,Query1!$F$4:$F$14)</f>
        <v>0</v>
      </c>
      <c r="H256" s="3">
        <f>SUMIF(Query4!$B$4:$B$5,A256,Query4!$F$4:$F$5)</f>
        <v>0</v>
      </c>
    </row>
    <row r="257" spans="1:8" x14ac:dyDescent="0.2">
      <c r="A257" s="5">
        <v>836</v>
      </c>
      <c r="B257" s="5">
        <v>1</v>
      </c>
      <c r="C257" s="2" t="s">
        <v>254</v>
      </c>
      <c r="D257" s="2">
        <v>110027.66</v>
      </c>
      <c r="E257" s="2">
        <v>3450.07</v>
      </c>
      <c r="G257" s="3">
        <f>SUMIF(Query1!$B$4:$B$14,A257,Query1!$F$4:$F$14)</f>
        <v>0</v>
      </c>
      <c r="H257" s="3">
        <f>SUMIF(Query4!$B$4:$B$5,A257,Query4!$F$4:$F$5)</f>
        <v>0</v>
      </c>
    </row>
    <row r="258" spans="1:8" x14ac:dyDescent="0.2">
      <c r="A258" s="5">
        <v>837</v>
      </c>
      <c r="B258" s="5">
        <v>1</v>
      </c>
      <c r="C258" s="2" t="s">
        <v>255</v>
      </c>
      <c r="D258" s="2">
        <v>105055.88</v>
      </c>
      <c r="E258" s="2">
        <v>0</v>
      </c>
      <c r="G258" s="3">
        <f>SUMIF(Query1!$B$4:$B$14,A258,Query1!$F$4:$F$14)</f>
        <v>0</v>
      </c>
      <c r="H258" s="3">
        <f>SUMIF(Query4!$B$4:$B$5,A258,Query4!$F$4:$F$5)</f>
        <v>0</v>
      </c>
    </row>
    <row r="259" spans="1:8" x14ac:dyDescent="0.2">
      <c r="A259" s="5">
        <v>840</v>
      </c>
      <c r="B259" s="5">
        <v>1</v>
      </c>
      <c r="C259" s="2" t="s">
        <v>256</v>
      </c>
      <c r="D259" s="2">
        <v>484726.1</v>
      </c>
      <c r="E259" s="2">
        <v>0</v>
      </c>
      <c r="G259" s="3">
        <f>SUMIF(Query1!$B$4:$B$14,A259,Query1!$F$4:$F$14)</f>
        <v>0</v>
      </c>
      <c r="H259" s="3">
        <f>SUMIF(Query4!$B$4:$B$5,A259,Query4!$F$4:$F$5)</f>
        <v>0</v>
      </c>
    </row>
    <row r="260" spans="1:8" x14ac:dyDescent="0.2">
      <c r="A260" s="5">
        <v>846</v>
      </c>
      <c r="B260" s="5">
        <v>1</v>
      </c>
      <c r="C260" s="2" t="s">
        <v>257</v>
      </c>
      <c r="D260" s="2">
        <v>317127.96000000002</v>
      </c>
      <c r="E260" s="2">
        <v>0</v>
      </c>
      <c r="G260" s="3">
        <f>SUMIF(Query1!$B$4:$B$14,A260,Query1!$F$4:$F$14)</f>
        <v>0</v>
      </c>
      <c r="H260" s="3">
        <f>SUMIF(Query4!$B$4:$B$5,A260,Query4!$F$4:$F$5)</f>
        <v>0</v>
      </c>
    </row>
    <row r="261" spans="1:8" x14ac:dyDescent="0.2">
      <c r="A261" s="5">
        <v>850</v>
      </c>
      <c r="B261" s="5">
        <v>1</v>
      </c>
      <c r="C261" s="2" t="s">
        <v>258</v>
      </c>
      <c r="D261" s="2">
        <v>158735.43</v>
      </c>
      <c r="E261" s="2">
        <v>0</v>
      </c>
      <c r="G261" s="3">
        <f>SUMIF(Query1!$B$4:$B$14,A261,Query1!$F$4:$F$14)</f>
        <v>0</v>
      </c>
      <c r="H261" s="3">
        <f>SUMIF(Query4!$B$4:$B$5,A261,Query4!$F$4:$F$5)</f>
        <v>0</v>
      </c>
    </row>
    <row r="262" spans="1:8" x14ac:dyDescent="0.2">
      <c r="A262" s="5">
        <v>852</v>
      </c>
      <c r="B262" s="5">
        <v>1</v>
      </c>
      <c r="C262" s="2" t="s">
        <v>259</v>
      </c>
      <c r="D262" s="2">
        <v>106231.59</v>
      </c>
      <c r="E262" s="2">
        <v>0</v>
      </c>
      <c r="G262" s="3">
        <f>SUMIF(Query1!$B$4:$B$14,A262,Query1!$F$4:$F$14)</f>
        <v>0</v>
      </c>
      <c r="H262" s="3">
        <f>SUMIF(Query4!$B$4:$B$5,A262,Query4!$F$4:$F$5)</f>
        <v>0</v>
      </c>
    </row>
    <row r="263" spans="1:8" x14ac:dyDescent="0.2">
      <c r="A263" s="5">
        <v>857</v>
      </c>
      <c r="B263" s="5">
        <v>1</v>
      </c>
      <c r="C263" s="2" t="s">
        <v>260</v>
      </c>
      <c r="D263" s="2">
        <v>381752.99</v>
      </c>
      <c r="E263" s="2">
        <v>9416.44</v>
      </c>
      <c r="G263" s="3">
        <f>SUMIF(Query1!$B$4:$B$14,A263,Query1!$F$4:$F$14)</f>
        <v>0</v>
      </c>
      <c r="H263" s="3">
        <f>SUMIF(Query4!$B$4:$B$5,A263,Query4!$F$4:$F$5)</f>
        <v>0</v>
      </c>
    </row>
    <row r="264" spans="1:8" x14ac:dyDescent="0.2">
      <c r="A264" s="5">
        <v>858</v>
      </c>
      <c r="B264" s="5">
        <v>1</v>
      </c>
      <c r="C264" s="2" t="s">
        <v>261</v>
      </c>
      <c r="D264" s="2">
        <v>153160.56</v>
      </c>
      <c r="E264" s="2">
        <v>0</v>
      </c>
      <c r="G264" s="3">
        <f>SUMIF(Query1!$B$4:$B$14,A264,Query1!$F$4:$F$14)</f>
        <v>0</v>
      </c>
      <c r="H264" s="3">
        <f>SUMIF(Query4!$B$4:$B$5,A264,Query4!$F$4:$F$5)</f>
        <v>0</v>
      </c>
    </row>
    <row r="265" spans="1:8" x14ac:dyDescent="0.2">
      <c r="A265" s="5">
        <v>861</v>
      </c>
      <c r="B265" s="5">
        <v>1</v>
      </c>
      <c r="C265" s="2" t="s">
        <v>262</v>
      </c>
      <c r="D265" s="2">
        <v>4164664.31</v>
      </c>
      <c r="E265" s="2">
        <v>68064.31</v>
      </c>
      <c r="G265" s="3">
        <f>SUMIF(Query1!$B$4:$B$14,A265,Query1!$F$4:$F$14)</f>
        <v>0</v>
      </c>
      <c r="H265" s="3">
        <f>SUMIF(Query4!$B$4:$B$5,A265,Query4!$F$4:$F$5)</f>
        <v>0</v>
      </c>
    </row>
    <row r="266" spans="1:8" x14ac:dyDescent="0.2">
      <c r="A266" s="5">
        <v>876</v>
      </c>
      <c r="B266" s="5">
        <v>1</v>
      </c>
      <c r="C266" s="2" t="s">
        <v>263</v>
      </c>
      <c r="D266" s="2">
        <v>929012.66</v>
      </c>
      <c r="E266" s="2">
        <v>19094.810000000001</v>
      </c>
      <c r="G266" s="3">
        <f>SUMIF(Query1!$B$4:$B$14,A266,Query1!$F$4:$F$14)</f>
        <v>0</v>
      </c>
      <c r="H266" s="3">
        <f>SUMIF(Query4!$B$4:$B$5,A266,Query4!$F$4:$F$5)</f>
        <v>0</v>
      </c>
    </row>
    <row r="267" spans="1:8" x14ac:dyDescent="0.2">
      <c r="A267" s="5">
        <v>877</v>
      </c>
      <c r="B267" s="5">
        <v>1</v>
      </c>
      <c r="C267" s="2" t="s">
        <v>264</v>
      </c>
      <c r="D267" s="2">
        <v>2381113.6800000002</v>
      </c>
      <c r="E267" s="2">
        <v>0</v>
      </c>
      <c r="G267" s="3">
        <f>SUMIF(Query1!$B$4:$B$14,A267,Query1!$F$4:$F$14)</f>
        <v>0</v>
      </c>
      <c r="H267" s="3">
        <f>SUMIF(Query4!$B$4:$B$5,A267,Query4!$F$4:$F$5)</f>
        <v>0</v>
      </c>
    </row>
    <row r="268" spans="1:8" x14ac:dyDescent="0.2">
      <c r="A268" s="5">
        <v>879</v>
      </c>
      <c r="B268" s="5">
        <v>1</v>
      </c>
      <c r="C268" s="2" t="s">
        <v>265</v>
      </c>
      <c r="D268" s="2">
        <v>1084953.23</v>
      </c>
      <c r="E268" s="2">
        <v>0</v>
      </c>
      <c r="G268" s="3">
        <f>SUMIF(Query1!$B$4:$B$14,A268,Query1!$F$4:$F$14)</f>
        <v>0</v>
      </c>
      <c r="H268" s="3">
        <f>SUMIF(Query4!$B$4:$B$5,A268,Query4!$F$4:$F$5)</f>
        <v>0</v>
      </c>
    </row>
    <row r="269" spans="1:8" x14ac:dyDescent="0.2">
      <c r="A269" s="5">
        <v>881</v>
      </c>
      <c r="B269" s="5">
        <v>1</v>
      </c>
      <c r="C269" s="2" t="s">
        <v>266</v>
      </c>
      <c r="D269" s="2">
        <v>384623.19</v>
      </c>
      <c r="E269" s="2">
        <v>0</v>
      </c>
      <c r="G269" s="3">
        <f>SUMIF(Query1!$B$4:$B$14,A269,Query1!$F$4:$F$14)</f>
        <v>0</v>
      </c>
      <c r="H269" s="3">
        <f>SUMIF(Query4!$B$4:$B$5,A269,Query4!$F$4:$F$5)</f>
        <v>0</v>
      </c>
    </row>
    <row r="270" spans="1:8" x14ac:dyDescent="0.2">
      <c r="A270" s="5">
        <v>882</v>
      </c>
      <c r="B270" s="5">
        <v>1</v>
      </c>
      <c r="C270" s="2" t="s">
        <v>267</v>
      </c>
      <c r="D270" s="2">
        <v>2158437.15</v>
      </c>
      <c r="E270" s="2">
        <v>35844.379999999997</v>
      </c>
      <c r="G270" s="3">
        <f>SUMIF(Query1!$B$4:$B$14,A270,Query1!$F$4:$F$14)</f>
        <v>0</v>
      </c>
      <c r="H270" s="3">
        <f>SUMIF(Query4!$B$4:$B$5,A270,Query4!$F$4:$F$5)</f>
        <v>0</v>
      </c>
    </row>
    <row r="271" spans="1:8" x14ac:dyDescent="0.2">
      <c r="A271" s="5">
        <v>883</v>
      </c>
      <c r="B271" s="5">
        <v>1</v>
      </c>
      <c r="C271" s="2" t="s">
        <v>268</v>
      </c>
      <c r="D271" s="2">
        <v>566860.71</v>
      </c>
      <c r="E271" s="2">
        <v>9817.36</v>
      </c>
      <c r="G271" s="3">
        <f>SUMIF(Query1!$B$4:$B$14,A271,Query1!$F$4:$F$14)</f>
        <v>0</v>
      </c>
      <c r="H271" s="3">
        <f>SUMIF(Query4!$B$4:$B$5,A271,Query4!$F$4:$F$5)</f>
        <v>0</v>
      </c>
    </row>
    <row r="272" spans="1:8" x14ac:dyDescent="0.2">
      <c r="A272" s="5">
        <v>885</v>
      </c>
      <c r="B272" s="5">
        <v>1</v>
      </c>
      <c r="C272" s="2" t="s">
        <v>269</v>
      </c>
      <c r="D272" s="2">
        <v>1550130.91</v>
      </c>
      <c r="E272" s="2">
        <v>0</v>
      </c>
      <c r="G272" s="3">
        <f>SUMIF(Query1!$B$4:$B$14,A272,Query1!$F$4:$F$14)</f>
        <v>-216405.98</v>
      </c>
      <c r="H272" s="3">
        <f>SUMIF(Query4!$B$4:$B$5,A272,Query4!$F$4:$F$5)</f>
        <v>0</v>
      </c>
    </row>
    <row r="273" spans="1:8" x14ac:dyDescent="0.2">
      <c r="A273" s="5">
        <v>891</v>
      </c>
      <c r="B273" s="5">
        <v>1</v>
      </c>
      <c r="C273" s="2" t="s">
        <v>270</v>
      </c>
      <c r="D273" s="2">
        <v>199043.52</v>
      </c>
      <c r="E273" s="2">
        <v>8130.78</v>
      </c>
      <c r="G273" s="3">
        <f>SUMIF(Query1!$B$4:$B$14,A273,Query1!$F$4:$F$14)</f>
        <v>0</v>
      </c>
      <c r="H273" s="3">
        <f>SUMIF(Query4!$B$4:$B$5,A273,Query4!$F$4:$F$5)</f>
        <v>0</v>
      </c>
    </row>
    <row r="274" spans="1:8" x14ac:dyDescent="0.2">
      <c r="A274" s="5">
        <v>911</v>
      </c>
      <c r="B274" s="5">
        <v>1</v>
      </c>
      <c r="C274" s="2" t="s">
        <v>271</v>
      </c>
      <c r="D274" s="2">
        <v>873186.98</v>
      </c>
      <c r="E274" s="2">
        <v>0</v>
      </c>
      <c r="G274" s="3">
        <f>SUMIF(Query1!$B$4:$B$14,A274,Query1!$F$4:$F$14)</f>
        <v>0</v>
      </c>
      <c r="H274" s="3">
        <f>SUMIF(Query4!$B$4:$B$5,A274,Query4!$F$4:$F$5)</f>
        <v>0</v>
      </c>
    </row>
    <row r="275" spans="1:8" x14ac:dyDescent="0.2">
      <c r="A275" s="5">
        <v>912</v>
      </c>
      <c r="B275" s="5">
        <v>1</v>
      </c>
      <c r="C275" s="2" t="s">
        <v>272</v>
      </c>
      <c r="D275" s="2">
        <v>231261.31</v>
      </c>
      <c r="E275" s="2">
        <v>0</v>
      </c>
      <c r="G275" s="3">
        <f>SUMIF(Query1!$B$4:$B$14,A275,Query1!$F$4:$F$14)</f>
        <v>0</v>
      </c>
      <c r="H275" s="3">
        <f>SUMIF(Query4!$B$4:$B$5,A275,Query4!$F$4:$F$5)</f>
        <v>0</v>
      </c>
    </row>
    <row r="276" spans="1:8" x14ac:dyDescent="0.2">
      <c r="A276" s="5">
        <v>914</v>
      </c>
      <c r="B276" s="5">
        <v>1</v>
      </c>
      <c r="C276" s="2" t="s">
        <v>273</v>
      </c>
      <c r="D276" s="2">
        <v>130124.92</v>
      </c>
      <c r="E276" s="2">
        <v>0</v>
      </c>
      <c r="G276" s="3">
        <f>SUMIF(Query1!$B$4:$B$14,A276,Query1!$F$4:$F$14)</f>
        <v>0</v>
      </c>
      <c r="H276" s="3">
        <f>SUMIF(Query4!$B$4:$B$5,A276,Query4!$F$4:$F$5)</f>
        <v>0</v>
      </c>
    </row>
    <row r="277" spans="1:8" x14ac:dyDescent="0.2">
      <c r="A277" s="5">
        <v>2071</v>
      </c>
      <c r="B277" s="5">
        <v>1</v>
      </c>
      <c r="C277" s="2" t="s">
        <v>274</v>
      </c>
      <c r="D277" s="2">
        <v>303063.34999999998</v>
      </c>
      <c r="E277" s="2">
        <v>12493.9</v>
      </c>
      <c r="G277" s="3">
        <f>SUMIF(Query1!$B$4:$B$14,A277,Query1!$F$4:$F$14)</f>
        <v>0</v>
      </c>
      <c r="H277" s="3">
        <f>SUMIF(Query4!$B$4:$B$5,A277,Query4!$F$4:$F$5)</f>
        <v>0</v>
      </c>
    </row>
    <row r="278" spans="1:8" x14ac:dyDescent="0.2">
      <c r="A278" s="5">
        <v>2125</v>
      </c>
      <c r="B278" s="5">
        <v>1</v>
      </c>
      <c r="C278" s="2" t="s">
        <v>275</v>
      </c>
      <c r="D278" s="2">
        <v>443493.2</v>
      </c>
      <c r="E278" s="2">
        <v>0</v>
      </c>
      <c r="G278" s="3">
        <f>SUMIF(Query1!$B$4:$B$14,A278,Query1!$F$4:$F$14)</f>
        <v>0</v>
      </c>
      <c r="H278" s="3">
        <f>SUMIF(Query4!$B$4:$B$5,A278,Query4!$F$4:$F$5)</f>
        <v>0</v>
      </c>
    </row>
    <row r="279" spans="1:8" x14ac:dyDescent="0.2">
      <c r="A279" s="5">
        <v>2134</v>
      </c>
      <c r="B279" s="5">
        <v>1</v>
      </c>
      <c r="C279" s="2" t="s">
        <v>276</v>
      </c>
      <c r="D279" s="2">
        <v>330720.49</v>
      </c>
      <c r="E279" s="2">
        <v>15097.23</v>
      </c>
      <c r="G279" s="3">
        <f>SUMIF(Query1!$B$4:$B$14,A279,Query1!$F$4:$F$14)</f>
        <v>0</v>
      </c>
      <c r="H279" s="3">
        <f>SUMIF(Query4!$B$4:$B$5,A279,Query4!$F$4:$F$5)</f>
        <v>0</v>
      </c>
    </row>
    <row r="280" spans="1:8" x14ac:dyDescent="0.2">
      <c r="A280" s="5">
        <v>2135</v>
      </c>
      <c r="B280" s="5">
        <v>1</v>
      </c>
      <c r="C280" s="2" t="s">
        <v>277</v>
      </c>
      <c r="D280" s="2">
        <v>390145.69</v>
      </c>
      <c r="E280" s="2">
        <v>0</v>
      </c>
      <c r="G280" s="3">
        <f>SUMIF(Query1!$B$4:$B$14,A280,Query1!$F$4:$F$14)</f>
        <v>0</v>
      </c>
      <c r="H280" s="3">
        <f>SUMIF(Query4!$B$4:$B$5,A280,Query4!$F$4:$F$5)</f>
        <v>0</v>
      </c>
    </row>
    <row r="281" spans="1:8" x14ac:dyDescent="0.2">
      <c r="A281" s="5">
        <v>2137</v>
      </c>
      <c r="B281" s="5">
        <v>1</v>
      </c>
      <c r="C281" s="2" t="s">
        <v>278</v>
      </c>
      <c r="D281" s="2">
        <v>293227.40999999997</v>
      </c>
      <c r="E281" s="2">
        <v>12158.5</v>
      </c>
      <c r="G281" s="3">
        <f>SUMIF(Query1!$B$4:$B$14,A281,Query1!$F$4:$F$14)</f>
        <v>0</v>
      </c>
      <c r="H281" s="3">
        <f>SUMIF(Query4!$B$4:$B$5,A281,Query4!$F$4:$F$5)</f>
        <v>0</v>
      </c>
    </row>
    <row r="282" spans="1:8" x14ac:dyDescent="0.2">
      <c r="A282" s="5">
        <v>2142</v>
      </c>
      <c r="B282" s="5">
        <v>1</v>
      </c>
      <c r="C282" s="2" t="s">
        <v>279</v>
      </c>
      <c r="D282" s="2">
        <v>467409.22</v>
      </c>
      <c r="E282" s="2">
        <v>0</v>
      </c>
      <c r="G282" s="3">
        <f>SUMIF(Query1!$B$4:$B$14,A282,Query1!$F$4:$F$14)</f>
        <v>0</v>
      </c>
      <c r="H282" s="3">
        <f>SUMIF(Query4!$B$4:$B$5,A282,Query4!$F$4:$F$5)</f>
        <v>0</v>
      </c>
    </row>
    <row r="283" spans="1:8" x14ac:dyDescent="0.2">
      <c r="A283" s="5">
        <v>2143</v>
      </c>
      <c r="B283" s="5">
        <v>1</v>
      </c>
      <c r="C283" s="2" t="s">
        <v>280</v>
      </c>
      <c r="D283" s="2">
        <v>802271.03</v>
      </c>
      <c r="E283" s="2">
        <v>15005</v>
      </c>
      <c r="G283" s="3">
        <f>SUMIF(Query1!$B$4:$B$14,A283,Query1!$F$4:$F$14)</f>
        <v>0</v>
      </c>
      <c r="H283" s="3">
        <f>SUMIF(Query4!$B$4:$B$5,A283,Query4!$F$4:$F$5)</f>
        <v>0</v>
      </c>
    </row>
    <row r="284" spans="1:8" x14ac:dyDescent="0.2">
      <c r="A284" s="5">
        <v>2144</v>
      </c>
      <c r="B284" s="5">
        <v>1</v>
      </c>
      <c r="C284" s="2" t="s">
        <v>281</v>
      </c>
      <c r="D284" s="2">
        <v>1525529.31</v>
      </c>
      <c r="E284" s="2">
        <v>0</v>
      </c>
      <c r="G284" s="3">
        <f>SUMIF(Query1!$B$4:$B$14,A284,Query1!$F$4:$F$14)</f>
        <v>0</v>
      </c>
      <c r="H284" s="3">
        <f>SUMIF(Query4!$B$4:$B$5,A284,Query4!$F$4:$F$5)</f>
        <v>0</v>
      </c>
    </row>
    <row r="285" spans="1:8" x14ac:dyDescent="0.2">
      <c r="A285" s="5">
        <v>2149</v>
      </c>
      <c r="B285" s="5">
        <v>1</v>
      </c>
      <c r="C285" s="2" t="s">
        <v>282</v>
      </c>
      <c r="D285" s="2">
        <v>639586</v>
      </c>
      <c r="E285" s="2">
        <v>20068.580000000002</v>
      </c>
      <c r="G285" s="3">
        <f>SUMIF(Query1!$B$4:$B$14,A285,Query1!$F$4:$F$14)</f>
        <v>0</v>
      </c>
      <c r="H285" s="3">
        <f>SUMIF(Query4!$B$4:$B$5,A285,Query4!$F$4:$F$5)</f>
        <v>0</v>
      </c>
    </row>
    <row r="286" spans="1:8" x14ac:dyDescent="0.2">
      <c r="A286" s="5">
        <v>2154</v>
      </c>
      <c r="B286" s="5">
        <v>1</v>
      </c>
      <c r="C286" s="2" t="s">
        <v>283</v>
      </c>
      <c r="D286" s="2">
        <v>79619</v>
      </c>
      <c r="E286" s="2">
        <v>0</v>
      </c>
      <c r="G286" s="3">
        <f>SUMIF(Query1!$B$4:$B$14,A286,Query1!$F$4:$F$14)</f>
        <v>-23006.66</v>
      </c>
      <c r="H286" s="3">
        <f>SUMIF(Query4!$B$4:$B$5,A286,Query4!$F$4:$F$5)</f>
        <v>0</v>
      </c>
    </row>
    <row r="287" spans="1:8" x14ac:dyDescent="0.2">
      <c r="A287" s="5">
        <v>2155</v>
      </c>
      <c r="B287" s="5">
        <v>1</v>
      </c>
      <c r="C287" s="2" t="s">
        <v>284</v>
      </c>
      <c r="D287" s="2">
        <v>407462.17</v>
      </c>
      <c r="E287" s="2">
        <v>0</v>
      </c>
      <c r="G287" s="3">
        <f>SUMIF(Query1!$B$4:$B$14,A287,Query1!$F$4:$F$14)</f>
        <v>0</v>
      </c>
      <c r="H287" s="3">
        <f>SUMIF(Query4!$B$4:$B$5,A287,Query4!$F$4:$F$5)</f>
        <v>0</v>
      </c>
    </row>
    <row r="288" spans="1:8" x14ac:dyDescent="0.2">
      <c r="A288" s="5">
        <v>2159</v>
      </c>
      <c r="B288" s="5">
        <v>1</v>
      </c>
      <c r="C288" s="2" t="s">
        <v>285</v>
      </c>
      <c r="D288" s="2">
        <v>244360.64</v>
      </c>
      <c r="E288" s="2">
        <v>8362.49</v>
      </c>
      <c r="G288" s="3">
        <f>SUMIF(Query1!$B$4:$B$14,A288,Query1!$F$4:$F$14)</f>
        <v>0</v>
      </c>
      <c r="H288" s="3">
        <f>SUMIF(Query4!$B$4:$B$5,A288,Query4!$F$4:$F$5)</f>
        <v>0</v>
      </c>
    </row>
    <row r="289" spans="1:8" x14ac:dyDescent="0.2">
      <c r="A289" s="5">
        <v>2164</v>
      </c>
      <c r="B289" s="5">
        <v>1</v>
      </c>
      <c r="C289" s="2" t="s">
        <v>286</v>
      </c>
      <c r="D289" s="2">
        <v>294080.73</v>
      </c>
      <c r="E289" s="2">
        <v>0</v>
      </c>
      <c r="G289" s="3">
        <f>SUMIF(Query1!$B$4:$B$14,A289,Query1!$F$4:$F$14)</f>
        <v>0</v>
      </c>
      <c r="H289" s="3">
        <f>SUMIF(Query4!$B$4:$B$5,A289,Query4!$F$4:$F$5)</f>
        <v>0</v>
      </c>
    </row>
    <row r="290" spans="1:8" x14ac:dyDescent="0.2">
      <c r="A290" s="5">
        <v>2165</v>
      </c>
      <c r="B290" s="5">
        <v>1</v>
      </c>
      <c r="C290" s="2" t="s">
        <v>287</v>
      </c>
      <c r="D290" s="2">
        <v>321065.94</v>
      </c>
      <c r="E290" s="2">
        <v>0</v>
      </c>
      <c r="G290" s="3">
        <f>SUMIF(Query1!$B$4:$B$14,A290,Query1!$F$4:$F$14)</f>
        <v>0</v>
      </c>
      <c r="H290" s="3">
        <f>SUMIF(Query4!$B$4:$B$5,A290,Query4!$F$4:$F$5)</f>
        <v>0</v>
      </c>
    </row>
    <row r="291" spans="1:8" x14ac:dyDescent="0.2">
      <c r="A291" s="5">
        <v>2167</v>
      </c>
      <c r="B291" s="5">
        <v>1</v>
      </c>
      <c r="C291" s="2" t="s">
        <v>288</v>
      </c>
      <c r="D291" s="2">
        <v>247525.09</v>
      </c>
      <c r="E291" s="2">
        <v>0</v>
      </c>
      <c r="G291" s="3">
        <f>SUMIF(Query1!$B$4:$B$14,A291,Query1!$F$4:$F$14)</f>
        <v>0</v>
      </c>
      <c r="H291" s="3">
        <f>SUMIF(Query4!$B$4:$B$5,A291,Query4!$F$4:$F$5)</f>
        <v>0</v>
      </c>
    </row>
    <row r="292" spans="1:8" x14ac:dyDescent="0.2">
      <c r="A292" s="5">
        <v>2168</v>
      </c>
      <c r="B292" s="5">
        <v>1</v>
      </c>
      <c r="C292" s="2" t="s">
        <v>289</v>
      </c>
      <c r="D292" s="2">
        <v>236520.97</v>
      </c>
      <c r="E292" s="2">
        <v>0</v>
      </c>
      <c r="G292" s="3">
        <f>SUMIF(Query1!$B$4:$B$14,A292,Query1!$F$4:$F$14)</f>
        <v>0</v>
      </c>
      <c r="H292" s="3">
        <f>SUMIF(Query4!$B$4:$B$5,A292,Query4!$F$4:$F$5)</f>
        <v>0</v>
      </c>
    </row>
    <row r="293" spans="1:8" x14ac:dyDescent="0.2">
      <c r="A293" s="5">
        <v>2169</v>
      </c>
      <c r="B293" s="5">
        <v>1</v>
      </c>
      <c r="C293" s="2" t="s">
        <v>290</v>
      </c>
      <c r="D293" s="2">
        <v>472592.63</v>
      </c>
      <c r="E293" s="2">
        <v>11468.08</v>
      </c>
      <c r="G293" s="3">
        <f>SUMIF(Query1!$B$4:$B$14,A293,Query1!$F$4:$F$14)</f>
        <v>0</v>
      </c>
      <c r="H293" s="3">
        <f>SUMIF(Query4!$B$4:$B$5,A293,Query4!$F$4:$F$5)</f>
        <v>0</v>
      </c>
    </row>
    <row r="294" spans="1:8" x14ac:dyDescent="0.2">
      <c r="A294" s="5">
        <v>2170</v>
      </c>
      <c r="B294" s="5">
        <v>1</v>
      </c>
      <c r="C294" s="2" t="s">
        <v>291</v>
      </c>
      <c r="D294" s="2">
        <v>500086.98</v>
      </c>
      <c r="E294" s="2">
        <v>0</v>
      </c>
      <c r="G294" s="3">
        <f>SUMIF(Query1!$B$4:$B$14,A294,Query1!$F$4:$F$14)</f>
        <v>0</v>
      </c>
      <c r="H294" s="3">
        <f>SUMIF(Query4!$B$4:$B$5,A294,Query4!$F$4:$F$5)</f>
        <v>0</v>
      </c>
    </row>
    <row r="295" spans="1:8" x14ac:dyDescent="0.2">
      <c r="A295" s="5">
        <v>2171</v>
      </c>
      <c r="B295" s="5">
        <v>1</v>
      </c>
      <c r="C295" s="2" t="s">
        <v>292</v>
      </c>
      <c r="D295" s="2">
        <v>89041.7</v>
      </c>
      <c r="E295" s="2">
        <v>0</v>
      </c>
      <c r="G295" s="3">
        <f>SUMIF(Query1!$B$4:$B$14,A295,Query1!$F$4:$F$14)</f>
        <v>0</v>
      </c>
      <c r="H295" s="3">
        <f>SUMIF(Query4!$B$4:$B$5,A295,Query4!$F$4:$F$5)</f>
        <v>0</v>
      </c>
    </row>
    <row r="296" spans="1:8" x14ac:dyDescent="0.2">
      <c r="A296" s="5">
        <v>2172</v>
      </c>
      <c r="B296" s="5">
        <v>1</v>
      </c>
      <c r="C296" s="2" t="s">
        <v>293</v>
      </c>
      <c r="D296" s="2">
        <v>434588.58</v>
      </c>
      <c r="E296" s="2">
        <v>2443.5700000000002</v>
      </c>
      <c r="G296" s="3">
        <f>SUMIF(Query1!$B$4:$B$14,A296,Query1!$F$4:$F$14)</f>
        <v>0</v>
      </c>
      <c r="H296" s="3">
        <f>SUMIF(Query4!$B$4:$B$5,A296,Query4!$F$4:$F$5)</f>
        <v>0</v>
      </c>
    </row>
    <row r="297" spans="1:8" x14ac:dyDescent="0.2">
      <c r="A297" s="5">
        <v>2174</v>
      </c>
      <c r="B297" s="5">
        <v>1</v>
      </c>
      <c r="C297" s="2" t="s">
        <v>294</v>
      </c>
      <c r="D297" s="2">
        <v>221277.05</v>
      </c>
      <c r="E297" s="2">
        <v>0</v>
      </c>
      <c r="G297" s="3">
        <f>SUMIF(Query1!$B$4:$B$14,A297,Query1!$F$4:$F$14)</f>
        <v>0</v>
      </c>
      <c r="H297" s="3">
        <f>SUMIF(Query4!$B$4:$B$5,A297,Query4!$F$4:$F$5)</f>
        <v>0</v>
      </c>
    </row>
    <row r="298" spans="1:8" x14ac:dyDescent="0.2">
      <c r="A298" s="5">
        <v>2176</v>
      </c>
      <c r="B298" s="5">
        <v>1</v>
      </c>
      <c r="C298" s="2" t="s">
        <v>295</v>
      </c>
      <c r="D298" s="2">
        <v>144873.1</v>
      </c>
      <c r="E298" s="2">
        <v>0</v>
      </c>
      <c r="G298" s="3">
        <f>SUMIF(Query1!$B$4:$B$14,A298,Query1!$F$4:$F$14)</f>
        <v>0</v>
      </c>
      <c r="H298" s="3">
        <f>SUMIF(Query4!$B$4:$B$5,A298,Query4!$F$4:$F$5)</f>
        <v>0</v>
      </c>
    </row>
    <row r="299" spans="1:8" x14ac:dyDescent="0.2">
      <c r="A299" s="5">
        <v>2180</v>
      </c>
      <c r="B299" s="5">
        <v>1</v>
      </c>
      <c r="C299" s="2" t="s">
        <v>296</v>
      </c>
      <c r="D299" s="2">
        <v>497732.14</v>
      </c>
      <c r="E299" s="2">
        <v>9500.1299999999992</v>
      </c>
      <c r="G299" s="3">
        <f>SUMIF(Query1!$B$4:$B$14,A299,Query1!$F$4:$F$14)</f>
        <v>0</v>
      </c>
      <c r="H299" s="3">
        <f>SUMIF(Query4!$B$4:$B$5,A299,Query4!$F$4:$F$5)</f>
        <v>0</v>
      </c>
    </row>
    <row r="300" spans="1:8" x14ac:dyDescent="0.2">
      <c r="A300" s="5">
        <v>2184</v>
      </c>
      <c r="B300" s="5">
        <v>1</v>
      </c>
      <c r="C300" s="2" t="s">
        <v>297</v>
      </c>
      <c r="D300" s="2">
        <v>644381.93999999994</v>
      </c>
      <c r="E300" s="2">
        <v>0</v>
      </c>
      <c r="G300" s="3">
        <f>SUMIF(Query1!$B$4:$B$14,A300,Query1!$F$4:$F$14)</f>
        <v>0</v>
      </c>
      <c r="H300" s="3">
        <f>SUMIF(Query4!$B$4:$B$5,A300,Query4!$F$4:$F$5)</f>
        <v>0</v>
      </c>
    </row>
    <row r="301" spans="1:8" x14ac:dyDescent="0.2">
      <c r="A301" s="5">
        <v>2190</v>
      </c>
      <c r="B301" s="5">
        <v>1</v>
      </c>
      <c r="C301" s="2" t="s">
        <v>298</v>
      </c>
      <c r="D301" s="2">
        <v>399218.13</v>
      </c>
      <c r="E301" s="2">
        <v>17371.57</v>
      </c>
      <c r="G301" s="3">
        <f>SUMIF(Query1!$B$4:$B$14,A301,Query1!$F$4:$F$14)</f>
        <v>0</v>
      </c>
      <c r="H301" s="3">
        <f>SUMIF(Query4!$B$4:$B$5,A301,Query4!$F$4:$F$5)</f>
        <v>0</v>
      </c>
    </row>
    <row r="302" spans="1:8" x14ac:dyDescent="0.2">
      <c r="A302" s="5">
        <v>2198</v>
      </c>
      <c r="B302" s="5">
        <v>1</v>
      </c>
      <c r="C302" s="2" t="s">
        <v>299</v>
      </c>
      <c r="D302" s="2">
        <v>347105.76</v>
      </c>
      <c r="E302" s="2">
        <v>13614.12</v>
      </c>
      <c r="G302" s="3">
        <f>SUMIF(Query1!$B$4:$B$14,A302,Query1!$F$4:$F$14)</f>
        <v>0</v>
      </c>
      <c r="H302" s="3">
        <f>SUMIF(Query4!$B$4:$B$5,A302,Query4!$F$4:$F$5)</f>
        <v>0</v>
      </c>
    </row>
    <row r="303" spans="1:8" x14ac:dyDescent="0.2">
      <c r="A303" s="5">
        <v>2215</v>
      </c>
      <c r="B303" s="5">
        <v>1</v>
      </c>
      <c r="C303" s="2" t="s">
        <v>300</v>
      </c>
      <c r="D303" s="2">
        <v>165268.66</v>
      </c>
      <c r="E303" s="2">
        <v>0</v>
      </c>
      <c r="G303" s="3">
        <f>SUMIF(Query1!$B$4:$B$14,A303,Query1!$F$4:$F$14)</f>
        <v>0</v>
      </c>
      <c r="H303" s="3">
        <f>SUMIF(Query4!$B$4:$B$5,A303,Query4!$F$4:$F$5)</f>
        <v>0</v>
      </c>
    </row>
    <row r="304" spans="1:8" x14ac:dyDescent="0.2">
      <c r="A304" s="5">
        <v>2310</v>
      </c>
      <c r="B304" s="5">
        <v>1</v>
      </c>
      <c r="C304" s="2" t="s">
        <v>301</v>
      </c>
      <c r="D304" s="2">
        <v>511097.63</v>
      </c>
      <c r="E304" s="2">
        <v>0</v>
      </c>
      <c r="G304" s="3">
        <f>SUMIF(Query1!$B$4:$B$14,A304,Query1!$F$4:$F$14)</f>
        <v>0</v>
      </c>
      <c r="H304" s="3">
        <f>SUMIF(Query4!$B$4:$B$5,A304,Query4!$F$4:$F$5)</f>
        <v>0</v>
      </c>
    </row>
    <row r="305" spans="1:8" x14ac:dyDescent="0.2">
      <c r="A305" s="5">
        <v>2311</v>
      </c>
      <c r="B305" s="5">
        <v>1</v>
      </c>
      <c r="C305" s="2" t="s">
        <v>302</v>
      </c>
      <c r="D305" s="2">
        <v>132294.67000000001</v>
      </c>
      <c r="E305" s="2">
        <v>0</v>
      </c>
      <c r="G305" s="3">
        <f>SUMIF(Query1!$B$4:$B$14,A305,Query1!$F$4:$F$14)</f>
        <v>0</v>
      </c>
      <c r="H305" s="3">
        <f>SUMIF(Query4!$B$4:$B$5,A305,Query4!$F$4:$F$5)</f>
        <v>0</v>
      </c>
    </row>
    <row r="306" spans="1:8" x14ac:dyDescent="0.2">
      <c r="A306" s="5">
        <v>2342</v>
      </c>
      <c r="B306" s="5">
        <v>1</v>
      </c>
      <c r="C306" s="2" t="s">
        <v>303</v>
      </c>
      <c r="D306" s="2">
        <v>587152.81000000006</v>
      </c>
      <c r="E306" s="2">
        <v>11235.63</v>
      </c>
      <c r="G306" s="3">
        <f>SUMIF(Query1!$B$4:$B$14,A306,Query1!$F$4:$F$14)</f>
        <v>0</v>
      </c>
      <c r="H306" s="3">
        <f>SUMIF(Query4!$B$4:$B$5,A306,Query4!$F$4:$F$5)</f>
        <v>0</v>
      </c>
    </row>
    <row r="307" spans="1:8" x14ac:dyDescent="0.2">
      <c r="A307" s="5">
        <v>2358</v>
      </c>
      <c r="B307" s="5">
        <v>1</v>
      </c>
      <c r="C307" s="2" t="s">
        <v>304</v>
      </c>
      <c r="D307" s="2">
        <v>74719.47</v>
      </c>
      <c r="E307" s="2">
        <v>0</v>
      </c>
      <c r="G307" s="3">
        <f>SUMIF(Query1!$B$4:$B$14,A307,Query1!$F$4:$F$14)</f>
        <v>0</v>
      </c>
      <c r="H307" s="3">
        <f>SUMIF(Query4!$B$4:$B$5,A307,Query4!$F$4:$F$5)</f>
        <v>0</v>
      </c>
    </row>
    <row r="308" spans="1:8" x14ac:dyDescent="0.2">
      <c r="A308" s="5">
        <v>2364</v>
      </c>
      <c r="B308" s="5">
        <v>1</v>
      </c>
      <c r="C308" s="2" t="s">
        <v>305</v>
      </c>
      <c r="D308" s="2">
        <v>276864.58</v>
      </c>
      <c r="E308" s="2">
        <v>0</v>
      </c>
      <c r="G308" s="3">
        <f>SUMIF(Query1!$B$4:$B$14,A308,Query1!$F$4:$F$14)</f>
        <v>0</v>
      </c>
      <c r="H308" s="3">
        <f>SUMIF(Query4!$B$4:$B$5,A308,Query4!$F$4:$F$5)</f>
        <v>0</v>
      </c>
    </row>
    <row r="309" spans="1:8" x14ac:dyDescent="0.2">
      <c r="A309" s="5">
        <v>2365</v>
      </c>
      <c r="B309" s="5">
        <v>1</v>
      </c>
      <c r="C309" s="2" t="s">
        <v>306</v>
      </c>
      <c r="D309" s="2">
        <v>291784.76</v>
      </c>
      <c r="E309" s="2">
        <v>15590.73</v>
      </c>
      <c r="G309" s="3">
        <f>SUMIF(Query1!$B$4:$B$14,A309,Query1!$F$4:$F$14)</f>
        <v>0</v>
      </c>
      <c r="H309" s="3">
        <f>SUMIF(Query4!$B$4:$B$5,A309,Query4!$F$4:$F$5)</f>
        <v>0</v>
      </c>
    </row>
    <row r="310" spans="1:8" x14ac:dyDescent="0.2">
      <c r="A310" s="5">
        <v>2396</v>
      </c>
      <c r="B310" s="5">
        <v>1</v>
      </c>
      <c r="C310" s="2" t="s">
        <v>307</v>
      </c>
      <c r="D310" s="2">
        <v>609181.47</v>
      </c>
      <c r="E310" s="2">
        <v>15948.57</v>
      </c>
      <c r="G310" s="3">
        <f>SUMIF(Query1!$B$4:$B$14,A310,Query1!$F$4:$F$14)</f>
        <v>0</v>
      </c>
      <c r="H310" s="3">
        <f>SUMIF(Query4!$B$4:$B$5,A310,Query4!$F$4:$F$5)</f>
        <v>0</v>
      </c>
    </row>
    <row r="311" spans="1:8" x14ac:dyDescent="0.2">
      <c r="A311" s="5">
        <v>2397</v>
      </c>
      <c r="B311" s="5">
        <v>1</v>
      </c>
      <c r="C311" s="2" t="s">
        <v>308</v>
      </c>
      <c r="D311" s="2">
        <v>433151.75</v>
      </c>
      <c r="E311" s="2">
        <v>0</v>
      </c>
      <c r="G311" s="3">
        <f>SUMIF(Query1!$B$4:$B$14,A311,Query1!$F$4:$F$14)</f>
        <v>0</v>
      </c>
      <c r="H311" s="3">
        <f>SUMIF(Query4!$B$4:$B$5,A311,Query4!$F$4:$F$5)</f>
        <v>0</v>
      </c>
    </row>
    <row r="312" spans="1:8" x14ac:dyDescent="0.2">
      <c r="A312" s="5">
        <v>2448</v>
      </c>
      <c r="B312" s="5">
        <v>1</v>
      </c>
      <c r="C312" s="2" t="s">
        <v>309</v>
      </c>
      <c r="D312" s="2">
        <v>475990.83</v>
      </c>
      <c r="E312" s="2">
        <v>0</v>
      </c>
      <c r="G312" s="3">
        <f>SUMIF(Query1!$B$4:$B$14,A312,Query1!$F$4:$F$14)</f>
        <v>0</v>
      </c>
      <c r="H312" s="3">
        <f>SUMIF(Query4!$B$4:$B$5,A312,Query4!$F$4:$F$5)</f>
        <v>0</v>
      </c>
    </row>
    <row r="313" spans="1:8" x14ac:dyDescent="0.2">
      <c r="A313" s="5">
        <v>2527</v>
      </c>
      <c r="B313" s="5">
        <v>1</v>
      </c>
      <c r="C313" s="2" t="s">
        <v>310</v>
      </c>
      <c r="D313" s="2">
        <v>150592.13</v>
      </c>
      <c r="E313" s="2">
        <v>3378.57</v>
      </c>
      <c r="G313" s="3">
        <f>SUMIF(Query1!$B$4:$B$14,A313,Query1!$F$4:$F$14)</f>
        <v>0</v>
      </c>
      <c r="H313" s="3">
        <f>SUMIF(Query4!$B$4:$B$5,A313,Query4!$F$4:$F$5)</f>
        <v>0</v>
      </c>
    </row>
    <row r="314" spans="1:8" x14ac:dyDescent="0.2">
      <c r="A314" s="5">
        <v>2534</v>
      </c>
      <c r="B314" s="5">
        <v>1</v>
      </c>
      <c r="C314" s="2" t="s">
        <v>311</v>
      </c>
      <c r="D314" s="2">
        <v>313556.3</v>
      </c>
      <c r="E314" s="2">
        <v>0</v>
      </c>
      <c r="G314" s="3">
        <f>SUMIF(Query1!$B$4:$B$14,A314,Query1!$F$4:$F$14)</f>
        <v>0</v>
      </c>
      <c r="H314" s="3">
        <f>SUMIF(Query4!$B$4:$B$5,A314,Query4!$F$4:$F$5)</f>
        <v>0</v>
      </c>
    </row>
    <row r="315" spans="1:8" x14ac:dyDescent="0.2">
      <c r="A315" s="5">
        <v>2536</v>
      </c>
      <c r="B315" s="5">
        <v>1</v>
      </c>
      <c r="C315" s="2" t="s">
        <v>312</v>
      </c>
      <c r="D315" s="2">
        <v>196391.19</v>
      </c>
      <c r="E315" s="2">
        <v>2756.7</v>
      </c>
      <c r="G315" s="3">
        <f>SUMIF(Query1!$B$4:$B$14,A315,Query1!$F$4:$F$14)</f>
        <v>0</v>
      </c>
      <c r="H315" s="3">
        <f>SUMIF(Query4!$B$4:$B$5,A315,Query4!$F$4:$F$5)</f>
        <v>0</v>
      </c>
    </row>
    <row r="316" spans="1:8" x14ac:dyDescent="0.2">
      <c r="A316" s="5">
        <v>2580</v>
      </c>
      <c r="B316" s="5">
        <v>1</v>
      </c>
      <c r="C316" s="2" t="s">
        <v>313</v>
      </c>
      <c r="D316" s="2">
        <v>166685.45000000001</v>
      </c>
      <c r="E316" s="2">
        <v>0</v>
      </c>
      <c r="G316" s="3">
        <f>SUMIF(Query1!$B$4:$B$14,A316,Query1!$F$4:$F$14)</f>
        <v>0</v>
      </c>
      <c r="H316" s="3">
        <f>SUMIF(Query4!$B$4:$B$5,A316,Query4!$F$4:$F$5)</f>
        <v>0</v>
      </c>
    </row>
    <row r="317" spans="1:8" x14ac:dyDescent="0.2">
      <c r="A317" s="5">
        <v>2609</v>
      </c>
      <c r="B317" s="5">
        <v>1</v>
      </c>
      <c r="C317" s="2" t="s">
        <v>314</v>
      </c>
      <c r="D317" s="2">
        <v>206814.04</v>
      </c>
      <c r="E317" s="2">
        <v>0</v>
      </c>
      <c r="G317" s="3">
        <f>SUMIF(Query1!$B$4:$B$14,A317,Query1!$F$4:$F$14)</f>
        <v>0</v>
      </c>
      <c r="H317" s="3">
        <f>SUMIF(Query4!$B$4:$B$5,A317,Query4!$F$4:$F$5)</f>
        <v>0</v>
      </c>
    </row>
    <row r="318" spans="1:8" x14ac:dyDescent="0.2">
      <c r="A318" s="5">
        <v>2683</v>
      </c>
      <c r="B318" s="5">
        <v>1</v>
      </c>
      <c r="C318" s="2" t="s">
        <v>315</v>
      </c>
      <c r="D318" s="2">
        <v>79130.38</v>
      </c>
      <c r="E318" s="2">
        <v>0</v>
      </c>
      <c r="G318" s="3">
        <f>SUMIF(Query1!$B$4:$B$14,A318,Query1!$F$4:$F$14)</f>
        <v>0</v>
      </c>
      <c r="H318" s="3">
        <f>SUMIF(Query4!$B$4:$B$5,A318,Query4!$F$4:$F$5)</f>
        <v>0</v>
      </c>
    </row>
    <row r="319" spans="1:8" x14ac:dyDescent="0.2">
      <c r="A319" s="5">
        <v>2687</v>
      </c>
      <c r="B319" s="5">
        <v>1</v>
      </c>
      <c r="C319" s="2" t="s">
        <v>316</v>
      </c>
      <c r="D319" s="2">
        <v>523754.23</v>
      </c>
      <c r="E319" s="2">
        <v>16849.189999999999</v>
      </c>
      <c r="G319" s="3">
        <f>SUMIF(Query1!$B$4:$B$14,A319,Query1!$F$4:$F$14)</f>
        <v>0</v>
      </c>
      <c r="H319" s="3">
        <f>SUMIF(Query4!$B$4:$B$5,A319,Query4!$F$4:$F$5)</f>
        <v>0</v>
      </c>
    </row>
    <row r="320" spans="1:8" x14ac:dyDescent="0.2">
      <c r="A320" s="5">
        <v>2689</v>
      </c>
      <c r="B320" s="5">
        <v>1</v>
      </c>
      <c r="C320" s="2" t="s">
        <v>317</v>
      </c>
      <c r="D320" s="2">
        <v>571635.38</v>
      </c>
      <c r="E320" s="2">
        <v>0</v>
      </c>
      <c r="G320" s="3">
        <f>SUMIF(Query1!$B$4:$B$14,A320,Query1!$F$4:$F$14)</f>
        <v>0</v>
      </c>
      <c r="H320" s="3">
        <f>SUMIF(Query4!$B$4:$B$5,A320,Query4!$F$4:$F$5)</f>
        <v>0</v>
      </c>
    </row>
    <row r="321" spans="1:8" x14ac:dyDescent="0.2">
      <c r="A321" s="5">
        <v>2711</v>
      </c>
      <c r="B321" s="5">
        <v>1</v>
      </c>
      <c r="C321" s="2" t="s">
        <v>318</v>
      </c>
      <c r="D321" s="2">
        <v>0</v>
      </c>
      <c r="E321" s="2">
        <v>0</v>
      </c>
      <c r="G321" s="3">
        <f>SUMIF(Query1!$B$4:$B$14,A321,Query1!$F$4:$F$14)</f>
        <v>-310546.88</v>
      </c>
      <c r="H321" s="3">
        <f>SUMIF(Query4!$B$4:$B$5,A321,Query4!$F$4:$F$5)</f>
        <v>0</v>
      </c>
    </row>
    <row r="322" spans="1:8" x14ac:dyDescent="0.2">
      <c r="A322" s="5">
        <v>2752</v>
      </c>
      <c r="B322" s="5">
        <v>1</v>
      </c>
      <c r="C322" s="2" t="s">
        <v>319</v>
      </c>
      <c r="D322" s="2">
        <v>987274.95</v>
      </c>
      <c r="E322" s="2">
        <v>15081.63</v>
      </c>
      <c r="G322" s="3">
        <f>SUMIF(Query1!$B$4:$B$14,A322,Query1!$F$4:$F$14)</f>
        <v>0</v>
      </c>
      <c r="H322" s="3">
        <f>SUMIF(Query4!$B$4:$B$5,A322,Query4!$F$4:$F$5)</f>
        <v>0</v>
      </c>
    </row>
    <row r="323" spans="1:8" x14ac:dyDescent="0.2">
      <c r="A323" s="5">
        <v>2753</v>
      </c>
      <c r="B323" s="5">
        <v>1</v>
      </c>
      <c r="C323" s="2" t="s">
        <v>320</v>
      </c>
      <c r="D323" s="2">
        <v>463092.47999999998</v>
      </c>
      <c r="E323" s="2">
        <v>0</v>
      </c>
      <c r="G323" s="3">
        <f>SUMIF(Query1!$B$4:$B$14,A323,Query1!$F$4:$F$14)</f>
        <v>0</v>
      </c>
      <c r="H323" s="3">
        <f>SUMIF(Query4!$B$4:$B$5,A323,Query4!$F$4:$F$5)</f>
        <v>0</v>
      </c>
    </row>
    <row r="324" spans="1:8" x14ac:dyDescent="0.2">
      <c r="A324" s="5">
        <v>2754</v>
      </c>
      <c r="B324" s="5">
        <v>1</v>
      </c>
      <c r="C324" s="2" t="s">
        <v>321</v>
      </c>
      <c r="D324" s="2">
        <v>120160</v>
      </c>
      <c r="E324" s="2">
        <v>0</v>
      </c>
      <c r="G324" s="3">
        <f>SUMIF(Query1!$B$4:$B$14,A324,Query1!$F$4:$F$14)</f>
        <v>0</v>
      </c>
      <c r="H324" s="3">
        <f>SUMIF(Query4!$B$4:$B$5,A324,Query4!$F$4:$F$5)</f>
        <v>0</v>
      </c>
    </row>
    <row r="325" spans="1:8" x14ac:dyDescent="0.2">
      <c r="A325" s="5">
        <v>2759</v>
      </c>
      <c r="B325" s="5">
        <v>1</v>
      </c>
      <c r="C325" s="2" t="s">
        <v>322</v>
      </c>
      <c r="D325" s="2">
        <v>116643.26</v>
      </c>
      <c r="E325" s="2">
        <v>0</v>
      </c>
      <c r="G325" s="3">
        <f>SUMIF(Query1!$B$4:$B$14,A325,Query1!$F$4:$F$14)</f>
        <v>0</v>
      </c>
      <c r="H325" s="3">
        <f>SUMIF(Query4!$B$4:$B$5,A325,Query4!$F$4:$F$5)</f>
        <v>0</v>
      </c>
    </row>
    <row r="326" spans="1:8" x14ac:dyDescent="0.2">
      <c r="A326" s="5">
        <v>2805</v>
      </c>
      <c r="B326" s="5">
        <v>1</v>
      </c>
      <c r="C326" s="2" t="s">
        <v>323</v>
      </c>
      <c r="D326" s="2">
        <v>621432.03</v>
      </c>
      <c r="E326" s="2">
        <v>15112.27</v>
      </c>
      <c r="G326" s="3">
        <f>SUMIF(Query1!$B$4:$B$14,A326,Query1!$F$4:$F$14)</f>
        <v>0</v>
      </c>
      <c r="H326" s="3">
        <f>SUMIF(Query4!$B$4:$B$5,A326,Query4!$F$4:$F$5)</f>
        <v>0</v>
      </c>
    </row>
    <row r="327" spans="1:8" x14ac:dyDescent="0.2">
      <c r="A327" s="5">
        <v>2835</v>
      </c>
      <c r="B327" s="5">
        <v>1</v>
      </c>
      <c r="C327" s="2" t="s">
        <v>324</v>
      </c>
      <c r="D327" s="2">
        <v>123244.69</v>
      </c>
      <c r="E327" s="2">
        <v>7383.99</v>
      </c>
      <c r="G327" s="3">
        <f>SUMIF(Query1!$B$4:$B$14,A327,Query1!$F$4:$F$14)</f>
        <v>0</v>
      </c>
      <c r="H327" s="3">
        <f>SUMIF(Query4!$B$4:$B$5,A327,Query4!$F$4:$F$5)</f>
        <v>0</v>
      </c>
    </row>
    <row r="328" spans="1:8" x14ac:dyDescent="0.2">
      <c r="A328" s="5">
        <v>2853</v>
      </c>
      <c r="B328" s="5">
        <v>1</v>
      </c>
      <c r="C328" s="2" t="s">
        <v>325</v>
      </c>
      <c r="D328" s="2">
        <v>538224.86</v>
      </c>
      <c r="E328" s="2">
        <v>0</v>
      </c>
      <c r="G328" s="3">
        <f>SUMIF(Query1!$B$4:$B$14,A328,Query1!$F$4:$F$14)</f>
        <v>0</v>
      </c>
      <c r="H328" s="3">
        <f>SUMIF(Query4!$B$4:$B$5,A328,Query4!$F$4:$F$5)</f>
        <v>0</v>
      </c>
    </row>
    <row r="329" spans="1:8" x14ac:dyDescent="0.2">
      <c r="A329" s="5">
        <v>2854</v>
      </c>
      <c r="B329" s="5">
        <v>1</v>
      </c>
      <c r="C329" s="2" t="s">
        <v>326</v>
      </c>
      <c r="D329" s="2">
        <v>131846.62</v>
      </c>
      <c r="E329" s="2">
        <v>0</v>
      </c>
      <c r="G329" s="3">
        <f>SUMIF(Query1!$B$4:$B$14,A329,Query1!$F$4:$F$14)</f>
        <v>0</v>
      </c>
      <c r="H329" s="3">
        <f>SUMIF(Query4!$B$4:$B$5,A329,Query4!$F$4:$F$5)</f>
        <v>0</v>
      </c>
    </row>
    <row r="330" spans="1:8" x14ac:dyDescent="0.2">
      <c r="A330" s="5">
        <v>2856</v>
      </c>
      <c r="B330" s="5">
        <v>1</v>
      </c>
      <c r="C330" s="2" t="s">
        <v>327</v>
      </c>
      <c r="D330" s="2">
        <v>120040.05</v>
      </c>
      <c r="E330" s="2">
        <v>0</v>
      </c>
      <c r="G330" s="3">
        <f>SUMIF(Query1!$B$4:$B$14,A330,Query1!$F$4:$F$14)</f>
        <v>0</v>
      </c>
      <c r="H330" s="3">
        <f>SUMIF(Query4!$B$4:$B$5,A330,Query4!$F$4:$F$5)</f>
        <v>0</v>
      </c>
    </row>
    <row r="331" spans="1:8" x14ac:dyDescent="0.2">
      <c r="A331" s="5">
        <v>2859</v>
      </c>
      <c r="B331" s="5">
        <v>1</v>
      </c>
      <c r="C331" s="2" t="s">
        <v>328</v>
      </c>
      <c r="D331" s="2">
        <v>807096.79</v>
      </c>
      <c r="E331" s="2">
        <v>0</v>
      </c>
      <c r="G331" s="3">
        <f>SUMIF(Query1!$B$4:$B$14,A331,Query1!$F$4:$F$14)</f>
        <v>0</v>
      </c>
      <c r="H331" s="3">
        <f>SUMIF(Query4!$B$4:$B$5,A331,Query4!$F$4:$F$5)</f>
        <v>0</v>
      </c>
    </row>
    <row r="332" spans="1:8" x14ac:dyDescent="0.2">
      <c r="A332" s="5">
        <v>2860</v>
      </c>
      <c r="B332" s="5">
        <v>1</v>
      </c>
      <c r="C332" s="2" t="s">
        <v>329</v>
      </c>
      <c r="D332" s="2">
        <v>351293.41</v>
      </c>
      <c r="E332" s="2">
        <v>0</v>
      </c>
      <c r="G332" s="3">
        <f>SUMIF(Query1!$B$4:$B$14,A332,Query1!$F$4:$F$14)</f>
        <v>0</v>
      </c>
      <c r="H332" s="3">
        <f>SUMIF(Query4!$B$4:$B$5,A332,Query4!$F$4:$F$5)</f>
        <v>0</v>
      </c>
    </row>
    <row r="333" spans="1:8" x14ac:dyDescent="0.2">
      <c r="A333" s="5">
        <v>2884</v>
      </c>
      <c r="B333" s="5">
        <v>1</v>
      </c>
      <c r="C333" s="2" t="s">
        <v>330</v>
      </c>
      <c r="D333" s="2">
        <v>331016.84999999998</v>
      </c>
      <c r="E333" s="2">
        <v>5012.8100000000004</v>
      </c>
      <c r="G333" s="3">
        <f>SUMIF(Query1!$B$4:$B$14,A333,Query1!$F$4:$F$14)</f>
        <v>0</v>
      </c>
      <c r="H333" s="3">
        <f>SUMIF(Query4!$B$4:$B$5,A333,Query4!$F$4:$F$5)</f>
        <v>0</v>
      </c>
    </row>
    <row r="334" spans="1:8" x14ac:dyDescent="0.2">
      <c r="A334" s="5">
        <v>2886</v>
      </c>
      <c r="B334" s="5">
        <v>1</v>
      </c>
      <c r="C334" s="2" t="s">
        <v>331</v>
      </c>
      <c r="D334" s="2">
        <v>101451.14</v>
      </c>
      <c r="E334" s="2">
        <v>3381.83</v>
      </c>
      <c r="G334" s="3">
        <f>SUMIF(Query1!$B$4:$B$14,A334,Query1!$F$4:$F$14)</f>
        <v>0</v>
      </c>
      <c r="H334" s="3">
        <f>SUMIF(Query4!$B$4:$B$5,A334,Query4!$F$4:$F$5)</f>
        <v>0</v>
      </c>
    </row>
    <row r="335" spans="1:8" x14ac:dyDescent="0.2">
      <c r="A335" s="5">
        <v>2888</v>
      </c>
      <c r="B335" s="5">
        <v>1</v>
      </c>
      <c r="C335" s="2" t="s">
        <v>332</v>
      </c>
      <c r="D335" s="2">
        <v>159056.39000000001</v>
      </c>
      <c r="E335" s="2">
        <v>0</v>
      </c>
      <c r="G335" s="3">
        <f>SUMIF(Query1!$B$4:$B$14,A335,Query1!$F$4:$F$14)</f>
        <v>0</v>
      </c>
      <c r="H335" s="3">
        <f>SUMIF(Query4!$B$4:$B$5,A335,Query4!$F$4:$F$5)</f>
        <v>0</v>
      </c>
    </row>
    <row r="336" spans="1:8" x14ac:dyDescent="0.2">
      <c r="A336" s="5">
        <v>2889</v>
      </c>
      <c r="B336" s="5">
        <v>1</v>
      </c>
      <c r="C336" s="2" t="s">
        <v>333</v>
      </c>
      <c r="D336" s="2">
        <v>373402.04</v>
      </c>
      <c r="E336" s="2">
        <v>6477.74</v>
      </c>
      <c r="G336" s="3">
        <f>SUMIF(Query1!$B$4:$B$14,A336,Query1!$F$4:$F$14)</f>
        <v>0</v>
      </c>
      <c r="H336" s="3">
        <f>SUMIF(Query4!$B$4:$B$5,A336,Query4!$F$4:$F$5)</f>
        <v>0</v>
      </c>
    </row>
    <row r="337" spans="1:8" x14ac:dyDescent="0.2">
      <c r="A337" s="5">
        <v>2890</v>
      </c>
      <c r="B337" s="5">
        <v>1</v>
      </c>
      <c r="C337" s="2" t="s">
        <v>334</v>
      </c>
      <c r="D337" s="2">
        <v>448037.43</v>
      </c>
      <c r="E337" s="2">
        <v>0</v>
      </c>
      <c r="G337" s="3">
        <f>SUMIF(Query1!$B$4:$B$14,A337,Query1!$F$4:$F$14)</f>
        <v>0</v>
      </c>
      <c r="H337" s="3">
        <f>SUMIF(Query4!$B$4:$B$5,A337,Query4!$F$4:$F$5)</f>
        <v>0</v>
      </c>
    </row>
    <row r="338" spans="1:8" x14ac:dyDescent="0.2">
      <c r="A338" s="5">
        <v>2895</v>
      </c>
      <c r="B338" s="5">
        <v>1</v>
      </c>
      <c r="C338" s="2" t="s">
        <v>335</v>
      </c>
      <c r="D338" s="2">
        <v>704725.46</v>
      </c>
      <c r="E338" s="2">
        <v>12320.13</v>
      </c>
      <c r="G338" s="3">
        <f>SUMIF(Query1!$B$4:$B$14,A338,Query1!$F$4:$F$14)</f>
        <v>0</v>
      </c>
      <c r="H338" s="3">
        <f>SUMIF(Query4!$B$4:$B$5,A338,Query4!$F$4:$F$5)</f>
        <v>0</v>
      </c>
    </row>
    <row r="339" spans="1:8" x14ac:dyDescent="0.2">
      <c r="A339" s="5">
        <v>2897</v>
      </c>
      <c r="B339" s="5">
        <v>1</v>
      </c>
      <c r="C339" s="2" t="s">
        <v>336</v>
      </c>
      <c r="D339" s="2">
        <v>384406.09</v>
      </c>
      <c r="E339" s="2">
        <v>15496.61</v>
      </c>
      <c r="G339" s="3">
        <f>SUMIF(Query1!$B$4:$B$14,A339,Query1!$F$4:$F$14)</f>
        <v>0</v>
      </c>
      <c r="H339" s="3">
        <f>SUMIF(Query4!$B$4:$B$5,A339,Query4!$F$4:$F$5)</f>
        <v>0</v>
      </c>
    </row>
    <row r="340" spans="1:8" x14ac:dyDescent="0.2">
      <c r="A340" s="5">
        <v>2898</v>
      </c>
      <c r="B340" s="5">
        <v>1</v>
      </c>
      <c r="C340" s="2" t="s">
        <v>337</v>
      </c>
      <c r="D340" s="2">
        <v>127349.04</v>
      </c>
      <c r="E340" s="2">
        <v>0</v>
      </c>
      <c r="G340" s="3">
        <f>SUMIF(Query1!$B$4:$B$14,A340,Query1!$F$4:$F$14)</f>
        <v>0</v>
      </c>
      <c r="H340" s="3">
        <f>SUMIF(Query4!$B$4:$B$5,A340,Query4!$F$4:$F$5)</f>
        <v>0</v>
      </c>
    </row>
    <row r="341" spans="1:8" x14ac:dyDescent="0.2">
      <c r="A341" s="5">
        <v>2899</v>
      </c>
      <c r="B341" s="5">
        <v>1</v>
      </c>
      <c r="C341" s="2" t="s">
        <v>503</v>
      </c>
      <c r="D341" s="2">
        <v>397723.32</v>
      </c>
      <c r="E341" s="2">
        <v>0</v>
      </c>
      <c r="G341" s="3">
        <f>SUMIF(Query1!$B$4:$B$14,A341,Query1!$F$4:$F$14)</f>
        <v>0</v>
      </c>
      <c r="H341" s="3">
        <f>SUMIF(Query4!$B$4:$B$5,A341,Query4!$F$4:$F$5)</f>
        <v>0</v>
      </c>
    </row>
    <row r="342" spans="1:8" x14ac:dyDescent="0.2">
      <c r="A342" s="5">
        <v>2902</v>
      </c>
      <c r="B342" s="5">
        <v>1</v>
      </c>
      <c r="C342" s="2" t="s">
        <v>502</v>
      </c>
      <c r="D342" s="2">
        <v>183937.7</v>
      </c>
      <c r="E342" s="2">
        <v>0</v>
      </c>
      <c r="G342" s="3">
        <f>SUMIF(Query1!$B$4:$B$14,A342,Query1!$F$4:$F$14)</f>
        <v>0</v>
      </c>
      <c r="H342" s="3">
        <f>SUMIF(Query4!$B$4:$B$5,A342,Query4!$F$4:$F$5)</f>
        <v>0</v>
      </c>
    </row>
    <row r="343" spans="1:8" x14ac:dyDescent="0.2">
      <c r="A343" s="5">
        <v>2903</v>
      </c>
      <c r="B343" s="5">
        <v>1</v>
      </c>
      <c r="C343" s="2" t="s">
        <v>649</v>
      </c>
      <c r="D343" s="2">
        <v>272216.15999999997</v>
      </c>
      <c r="E343" s="2">
        <v>7765.78</v>
      </c>
      <c r="G343" s="3">
        <f>SUMIF(Query1!$B$4:$B$14,A343,Query1!$F$4:$F$14)</f>
        <v>0</v>
      </c>
      <c r="H343" s="3">
        <f>SUMIF(Query4!$B$4:$B$5,A343,Query4!$F$4:$F$5)</f>
        <v>0</v>
      </c>
    </row>
    <row r="344" spans="1:8" x14ac:dyDescent="0.2">
      <c r="A344" s="5">
        <v>2904</v>
      </c>
      <c r="B344" s="5">
        <v>1</v>
      </c>
      <c r="C344" s="2" t="s">
        <v>650</v>
      </c>
      <c r="D344" s="2">
        <v>356852.19</v>
      </c>
      <c r="E344" s="2">
        <v>14960.93</v>
      </c>
      <c r="G344" s="3">
        <f>SUMIF(Query1!$B$4:$B$14,A344,Query1!$F$4:$F$14)</f>
        <v>0</v>
      </c>
      <c r="H344" s="3">
        <f>SUMIF(Query4!$B$4:$B$5,A344,Query4!$F$4:$F$5)</f>
        <v>0</v>
      </c>
    </row>
  </sheetData>
  <mergeCells count="2">
    <mergeCell ref="D3:E3"/>
    <mergeCell ref="G3:H3"/>
  </mergeCells>
  <phoneticPr fontId="0" type="noConversion"/>
  <pageMargins left="0.75" right="0.75" top="1" bottom="1" header="0.5" footer="0.5"/>
  <pageSetup scale="80" orientation="portrait" horizontalDpi="300" verticalDpi="300" r:id="rId1"/>
  <headerFooter alignWithMargins="0">
    <oddFooter>&amp;C&amp;P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F4" sqref="F4"/>
    </sheetView>
  </sheetViews>
  <sheetFormatPr defaultRowHeight="11.25" x14ac:dyDescent="0.2"/>
  <cols>
    <col min="1" max="1" width="8" bestFit="1" customWidth="1"/>
    <col min="2" max="2" width="9.33203125" style="143"/>
    <col min="3" max="3" width="8" style="143" bestFit="1" customWidth="1"/>
    <col min="4" max="4" width="13.5" bestFit="1" customWidth="1"/>
    <col min="5" max="5" width="9.33203125" style="143"/>
    <col min="6" max="6" width="13" customWidth="1"/>
    <col min="8" max="9" width="13" bestFit="1" customWidth="1"/>
  </cols>
  <sheetData>
    <row r="1" spans="1:8" x14ac:dyDescent="0.2">
      <c r="H1" s="147" t="s">
        <v>694</v>
      </c>
    </row>
    <row r="2" spans="1:8" x14ac:dyDescent="0.2">
      <c r="H2" s="147" t="s">
        <v>651</v>
      </c>
    </row>
    <row r="3" spans="1:8" x14ac:dyDescent="0.2">
      <c r="A3" s="10" t="s">
        <v>637</v>
      </c>
      <c r="B3" s="11" t="s">
        <v>638</v>
      </c>
      <c r="C3" s="11" t="s">
        <v>639</v>
      </c>
      <c r="D3" s="10" t="s">
        <v>640</v>
      </c>
      <c r="E3" s="11" t="s">
        <v>641</v>
      </c>
      <c r="F3" s="10" t="s">
        <v>642</v>
      </c>
    </row>
    <row r="4" spans="1:8" x14ac:dyDescent="0.2">
      <c r="A4" t="s">
        <v>692</v>
      </c>
      <c r="B4" s="143">
        <v>264</v>
      </c>
      <c r="C4" s="143">
        <v>1</v>
      </c>
      <c r="D4">
        <v>2.14</v>
      </c>
      <c r="E4" s="143">
        <v>1</v>
      </c>
      <c r="F4">
        <v>-96481</v>
      </c>
    </row>
    <row r="5" spans="1:8" x14ac:dyDescent="0.2">
      <c r="A5" t="s">
        <v>692</v>
      </c>
      <c r="B5" s="143">
        <v>316</v>
      </c>
      <c r="C5" s="143">
        <v>1</v>
      </c>
      <c r="D5">
        <v>2.14</v>
      </c>
      <c r="E5" s="143">
        <v>1</v>
      </c>
      <c r="F5">
        <v>-383762.27</v>
      </c>
    </row>
    <row r="6" spans="1:8" x14ac:dyDescent="0.2">
      <c r="A6" t="s">
        <v>692</v>
      </c>
      <c r="B6" s="143">
        <v>317</v>
      </c>
      <c r="C6" s="143">
        <v>1</v>
      </c>
      <c r="D6">
        <v>2.14</v>
      </c>
      <c r="E6" s="143">
        <v>1</v>
      </c>
      <c r="F6">
        <v>0</v>
      </c>
    </row>
    <row r="7" spans="1:8" x14ac:dyDescent="0.2">
      <c r="A7" t="s">
        <v>692</v>
      </c>
      <c r="B7" s="143">
        <v>466</v>
      </c>
      <c r="C7" s="143">
        <v>1</v>
      </c>
      <c r="D7">
        <v>2.14</v>
      </c>
      <c r="E7" s="143">
        <v>1</v>
      </c>
      <c r="F7">
        <v>0</v>
      </c>
    </row>
    <row r="8" spans="1:8" x14ac:dyDescent="0.2">
      <c r="A8" t="s">
        <v>692</v>
      </c>
      <c r="B8" s="143">
        <v>514</v>
      </c>
      <c r="C8" s="143">
        <v>1</v>
      </c>
      <c r="D8">
        <v>2.14</v>
      </c>
      <c r="E8" s="143">
        <v>1</v>
      </c>
      <c r="F8">
        <v>0</v>
      </c>
    </row>
    <row r="9" spans="1:8" x14ac:dyDescent="0.2">
      <c r="A9" t="s">
        <v>692</v>
      </c>
      <c r="B9" s="143">
        <v>706</v>
      </c>
      <c r="C9" s="143">
        <v>1</v>
      </c>
      <c r="D9">
        <v>2.14</v>
      </c>
      <c r="E9" s="143">
        <v>1</v>
      </c>
      <c r="F9">
        <v>0</v>
      </c>
    </row>
    <row r="10" spans="1:8" x14ac:dyDescent="0.2">
      <c r="A10" t="s">
        <v>692</v>
      </c>
      <c r="B10" s="143">
        <v>712</v>
      </c>
      <c r="C10" s="143">
        <v>1</v>
      </c>
      <c r="D10">
        <v>2.14</v>
      </c>
      <c r="E10" s="143">
        <v>1</v>
      </c>
      <c r="F10">
        <v>0</v>
      </c>
    </row>
    <row r="11" spans="1:8" x14ac:dyDescent="0.2">
      <c r="A11" t="s">
        <v>692</v>
      </c>
      <c r="B11" s="143">
        <v>717</v>
      </c>
      <c r="C11" s="143">
        <v>1</v>
      </c>
      <c r="D11">
        <v>2.14</v>
      </c>
      <c r="E11" s="143">
        <v>1</v>
      </c>
      <c r="F11">
        <v>0.01</v>
      </c>
    </row>
    <row r="12" spans="1:8" x14ac:dyDescent="0.2">
      <c r="A12" t="s">
        <v>692</v>
      </c>
      <c r="B12" s="143">
        <v>885</v>
      </c>
      <c r="C12" s="143">
        <v>1</v>
      </c>
      <c r="D12">
        <v>2.14</v>
      </c>
      <c r="E12" s="143">
        <v>1</v>
      </c>
      <c r="F12">
        <v>-216405.98</v>
      </c>
    </row>
    <row r="13" spans="1:8" x14ac:dyDescent="0.2">
      <c r="A13" t="s">
        <v>692</v>
      </c>
      <c r="B13" s="143">
        <v>2154</v>
      </c>
      <c r="C13" s="143">
        <v>1</v>
      </c>
      <c r="D13">
        <v>2.14</v>
      </c>
      <c r="E13" s="143">
        <v>1</v>
      </c>
      <c r="F13">
        <v>-23006.66</v>
      </c>
    </row>
    <row r="14" spans="1:8" x14ac:dyDescent="0.2">
      <c r="A14" t="s">
        <v>692</v>
      </c>
      <c r="B14" s="143">
        <v>2711</v>
      </c>
      <c r="C14" s="143">
        <v>1</v>
      </c>
      <c r="D14">
        <v>2.14</v>
      </c>
      <c r="E14" s="143">
        <v>1</v>
      </c>
      <c r="F14">
        <v>-310546.88</v>
      </c>
    </row>
    <row r="16" spans="1:8" x14ac:dyDescent="0.2">
      <c r="F16">
        <f>SUM(F4:F15)</f>
        <v>-1030202.78</v>
      </c>
    </row>
  </sheetData>
  <phoneticPr fontId="0" type="noConversion"/>
  <pageMargins left="0.75" right="0.75" top="1" bottom="1" header="0.5" footer="0.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sheetViews>
  <sheetFormatPr defaultRowHeight="11.25" x14ac:dyDescent="0.2"/>
  <cols>
    <col min="1" max="1" width="8" bestFit="1" customWidth="1"/>
    <col min="2" max="2" width="9.33203125" style="143"/>
    <col min="3" max="3" width="8" style="143" bestFit="1" customWidth="1"/>
    <col min="4" max="4" width="13.5" bestFit="1" customWidth="1"/>
    <col min="5" max="5" width="9.33203125" style="143"/>
    <col min="6" max="6" width="12.83203125" customWidth="1"/>
    <col min="8" max="8" width="10.5" bestFit="1" customWidth="1"/>
  </cols>
  <sheetData>
    <row r="1" spans="1:8" x14ac:dyDescent="0.2">
      <c r="H1" s="147" t="s">
        <v>694</v>
      </c>
    </row>
    <row r="2" spans="1:8" x14ac:dyDescent="0.2">
      <c r="H2" s="147" t="s">
        <v>651</v>
      </c>
    </row>
    <row r="3" spans="1:8" x14ac:dyDescent="0.2">
      <c r="A3" s="10" t="s">
        <v>637</v>
      </c>
      <c r="B3" s="11" t="s">
        <v>638</v>
      </c>
      <c r="C3" s="11" t="s">
        <v>639</v>
      </c>
      <c r="D3" s="10" t="s">
        <v>640</v>
      </c>
      <c r="E3" s="11" t="s">
        <v>641</v>
      </c>
      <c r="F3" s="10" t="s">
        <v>642</v>
      </c>
    </row>
    <row r="7" spans="1:8" x14ac:dyDescent="0.2">
      <c r="F7">
        <f>SUM(F4:F6)</f>
        <v>0</v>
      </c>
    </row>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Instructions</vt:lpstr>
      <vt:lpstr>Report</vt:lpstr>
      <vt:lpstr>Funds</vt:lpstr>
      <vt:lpstr>Accounts</vt:lpstr>
      <vt:lpstr>Entries</vt:lpstr>
      <vt:lpstr>Aid Adjust</vt:lpstr>
      <vt:lpstr>Shift11</vt:lpstr>
      <vt:lpstr>Data</vt:lpstr>
      <vt:lpstr>Shift10</vt:lpstr>
      <vt:lpstr>Levy</vt:lpstr>
      <vt:lpstr>Receipts</vt:lpstr>
      <vt:lpstr>Ideas</vt:lpstr>
      <vt:lpstr>Query1</vt:lpstr>
      <vt:lpstr>Query4</vt:lpstr>
      <vt:lpstr>Aid</vt:lpstr>
      <vt:lpstr>Levy!Ideas</vt:lpstr>
      <vt:lpstr>Ideas</vt:lpstr>
      <vt:lpstr>Instructions!Print_Area</vt:lpstr>
      <vt:lpstr>Levy!Print_Area</vt:lpstr>
      <vt:lpstr>Accounts!Print_Titles</vt:lpstr>
      <vt:lpstr>'Aid Adjust'!Print_Titles</vt:lpstr>
      <vt:lpstr>Data!Print_Titles</vt:lpstr>
      <vt:lpstr>Entries!Print_Titles</vt:lpstr>
      <vt:lpstr>Ideas!Print_Titles</vt:lpstr>
      <vt:lpstr>Levy!Print_Titles</vt:lpstr>
      <vt:lpstr>Receipts!Print_Titles</vt:lpstr>
      <vt:lpstr>Shift10!Print_Titles</vt:lpstr>
      <vt:lpstr>Shift11!Print_Titles</vt:lpstr>
      <vt:lpstr>Query1!Query_from_Databridge</vt:lpstr>
      <vt:lpstr>Query4!Query_from_Databridge</vt:lpstr>
      <vt:lpstr>Receipts!Shift05</vt:lpstr>
      <vt:lpstr>ShiftCY</vt:lpstr>
      <vt:lpstr>ShiftPY</vt:lpstr>
    </vt:vector>
  </TitlesOfParts>
  <Company>State of Minnesota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2010-11 Property Tax Shift</dc:title>
  <dc:creator>Terik</dc:creator>
  <dc:description/>
  <cp:lastModifiedBy>EDU-UCMPROD$</cp:lastModifiedBy>
  <cp:lastPrinted>2011-09-09T17:19:36Z</cp:lastPrinted>
  <dcterms:created xsi:type="dcterms:W3CDTF">2004-01-23T01:17:39Z</dcterms:created>
  <dcterms:modified xsi:type="dcterms:W3CDTF">2011-11-15T19:07:35Z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ID">
    <vt:lpwstr>005433</vt:lpwstr>
  </property>
</Properties>
</file>