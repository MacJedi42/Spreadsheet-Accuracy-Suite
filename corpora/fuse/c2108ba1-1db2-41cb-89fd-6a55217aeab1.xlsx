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doc" ContentType="application/msword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105" windowWidth="16275" windowHeight="11565"/>
  </bookViews>
  <sheets>
    <sheet name="Table 4.1" sheetId="1" r:id="rId1"/>
  </sheets>
  <externalReferences>
    <externalReference r:id="rId2"/>
    <externalReference r:id="rId3"/>
  </externalReferences>
  <definedNames>
    <definedName name="_xlnm.Print_Area" localSheetId="0">'Table 4.1'!$A$3:$L$60</definedName>
  </definedNames>
  <calcPr calcId="145621"/>
</workbook>
</file>

<file path=xl/calcChain.xml><?xml version="1.0" encoding="utf-8"?>
<calcChain xmlns="http://schemas.openxmlformats.org/spreadsheetml/2006/main">
  <c r="I59" i="1" l="1"/>
  <c r="E52" i="1"/>
  <c r="D52" i="1"/>
  <c r="C52" i="1"/>
  <c r="B52" i="1"/>
  <c r="F50" i="1"/>
  <c r="E50" i="1"/>
  <c r="D50" i="1"/>
  <c r="C50" i="1"/>
  <c r="B50" i="1"/>
  <c r="F49" i="1"/>
  <c r="E49" i="1"/>
  <c r="D49" i="1"/>
  <c r="C49" i="1"/>
  <c r="B49" i="1"/>
  <c r="F48" i="1"/>
  <c r="E48" i="1"/>
  <c r="D48" i="1"/>
  <c r="C48" i="1"/>
  <c r="B48" i="1"/>
  <c r="F47" i="1"/>
  <c r="E47" i="1"/>
  <c r="D47" i="1"/>
  <c r="C47" i="1"/>
  <c r="B47" i="1"/>
  <c r="F46" i="1"/>
  <c r="E46" i="1"/>
  <c r="D46" i="1"/>
  <c r="C46" i="1"/>
  <c r="B46" i="1"/>
  <c r="F45" i="1"/>
  <c r="E45" i="1"/>
  <c r="D45" i="1"/>
  <c r="C45" i="1"/>
  <c r="B45" i="1"/>
  <c r="F44" i="1"/>
  <c r="E44" i="1"/>
  <c r="D44" i="1"/>
  <c r="C44" i="1"/>
  <c r="B44" i="1"/>
  <c r="F43" i="1"/>
  <c r="E43" i="1"/>
  <c r="D43" i="1"/>
  <c r="C43" i="1"/>
  <c r="B43" i="1"/>
  <c r="F42" i="1"/>
  <c r="E42" i="1"/>
  <c r="D42" i="1"/>
  <c r="C42" i="1"/>
  <c r="B42" i="1"/>
  <c r="F41" i="1"/>
  <c r="E41" i="1"/>
  <c r="D41" i="1"/>
  <c r="C41" i="1"/>
  <c r="B41" i="1"/>
  <c r="F40" i="1"/>
  <c r="E40" i="1"/>
  <c r="D40" i="1"/>
  <c r="C40" i="1"/>
  <c r="B40" i="1"/>
  <c r="F39" i="1"/>
  <c r="E39" i="1"/>
  <c r="D39" i="1"/>
  <c r="C39" i="1"/>
  <c r="B39" i="1"/>
  <c r="E35" i="1"/>
  <c r="D35" i="1"/>
  <c r="C35" i="1"/>
  <c r="B35" i="1"/>
  <c r="F33" i="1"/>
  <c r="E33" i="1"/>
  <c r="D33" i="1"/>
  <c r="C33" i="1"/>
  <c r="B33" i="1"/>
  <c r="F32" i="1"/>
  <c r="E32" i="1"/>
  <c r="D32" i="1"/>
  <c r="C32" i="1"/>
  <c r="B32" i="1"/>
  <c r="F31" i="1"/>
  <c r="E31" i="1"/>
  <c r="D31" i="1"/>
  <c r="C31" i="1"/>
  <c r="B31" i="1"/>
  <c r="F30" i="1"/>
  <c r="E30" i="1"/>
  <c r="D30" i="1"/>
  <c r="C30" i="1"/>
  <c r="B30" i="1"/>
  <c r="F29" i="1"/>
  <c r="E29" i="1"/>
  <c r="D29" i="1"/>
  <c r="C29" i="1"/>
  <c r="B29" i="1"/>
  <c r="F28" i="1"/>
  <c r="E28" i="1"/>
  <c r="D28" i="1"/>
  <c r="C28" i="1"/>
  <c r="B28" i="1"/>
  <c r="F27" i="1"/>
  <c r="E27" i="1"/>
  <c r="D27" i="1"/>
  <c r="C27" i="1"/>
  <c r="B27" i="1"/>
  <c r="F26" i="1"/>
  <c r="E26" i="1"/>
  <c r="D26" i="1"/>
  <c r="C26" i="1"/>
  <c r="B26" i="1"/>
  <c r="F25" i="1"/>
  <c r="E25" i="1"/>
  <c r="D25" i="1"/>
  <c r="C25" i="1"/>
  <c r="B25" i="1"/>
  <c r="F24" i="1"/>
  <c r="E24" i="1"/>
  <c r="D24" i="1"/>
  <c r="C24" i="1"/>
  <c r="B24" i="1"/>
  <c r="F23" i="1"/>
  <c r="E23" i="1"/>
  <c r="D23" i="1"/>
  <c r="C23" i="1"/>
  <c r="B23" i="1"/>
  <c r="F22" i="1"/>
  <c r="E22" i="1"/>
  <c r="D22" i="1"/>
  <c r="C22" i="1"/>
  <c r="B22" i="1"/>
</calcChain>
</file>

<file path=xl/sharedStrings.xml><?xml version="1.0" encoding="utf-8"?>
<sst xmlns="http://schemas.openxmlformats.org/spreadsheetml/2006/main" count="42" uniqueCount="29">
  <si>
    <t>Monthly Statistical Bulletin</t>
  </si>
  <si>
    <t>4.1 Turnover of retail establishments</t>
  </si>
  <si>
    <t>Month</t>
  </si>
  <si>
    <t>2008–09</t>
  </si>
  <si>
    <t>2009–10</t>
  </si>
  <si>
    <t>2010–11</t>
  </si>
  <si>
    <t>2011–12</t>
  </si>
  <si>
    <t>2012–13</t>
  </si>
  <si>
    <t>Value (a)(b) – $ million</t>
  </si>
  <si>
    <t>July</t>
  </si>
  <si>
    <t>August</t>
  </si>
  <si>
    <t>September</t>
  </si>
  <si>
    <t>October</t>
  </si>
  <si>
    <t>November</t>
  </si>
  <si>
    <t>December</t>
  </si>
  <si>
    <t>January</t>
  </si>
  <si>
    <t>February</t>
  </si>
  <si>
    <t>March</t>
  </si>
  <si>
    <t>April</t>
  </si>
  <si>
    <t>May</t>
  </si>
  <si>
    <t>June</t>
  </si>
  <si>
    <t>Annual</t>
  </si>
  <si>
    <t>Annual change (a) – per cent</t>
  </si>
  <si>
    <t>(a) Monthly figures are seasonally adjusted.</t>
  </si>
  <si>
    <t xml:space="preserve">(b)  Excludes hotels, licensed clubs, video hire outlets, hairdressing and beauty salons, </t>
  </si>
  <si>
    <t>motor vehicle sales, motor vechile parts and tyre retailing, fuel retailing and</t>
  </si>
  <si>
    <t xml:space="preserve">marine equipment retailing. </t>
  </si>
  <si>
    <t>Update</t>
  </si>
  <si>
    <r>
      <t>Source: ABS</t>
    </r>
    <r>
      <rPr>
        <i/>
        <sz val="8"/>
        <color indexed="30"/>
        <rFont val="Times New Roman"/>
        <family val="1"/>
      </rPr>
      <t>, Retail trade Australia</t>
    </r>
    <r>
      <rPr>
        <sz val="8"/>
        <color indexed="30"/>
        <rFont val="Times New Roman"/>
        <family val="1"/>
      </rPr>
      <t>,</t>
    </r>
    <r>
      <rPr>
        <i/>
        <sz val="8"/>
        <color indexed="30"/>
        <rFont val="Times New Roman"/>
        <family val="1"/>
      </rPr>
      <t xml:space="preserve"> </t>
    </r>
    <r>
      <rPr>
        <sz val="8"/>
        <color indexed="30"/>
        <rFont val="Times New Roman"/>
        <family val="1"/>
      </rPr>
      <t>Cat. no. 8501.0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</si>
</sst>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###\ ##0"/>
    <numFmt numFmtId="165" formatCode="###\ ##0.0"/>
    <numFmt numFmtId="166" formatCode="0.0"/>
    <numFmt numFmtId="167" formatCode="[$-C09]d\ mmmm\ yyyy;@"/>
  </numFmts>
  <fonts count="21" x14ac:knownFonts="1">
    <font>
      <sz val="10"/>
      <name val="Arial"/>
    </font>
    <font>
      <u/>
      <sz val="7.5"/>
      <color indexed="12"/>
      <name val="Arial"/>
      <family val="2"/>
    </font>
    <font>
      <u/>
      <sz val="11"/>
      <color indexed="12"/>
      <name val="Times New Roman"/>
      <family val="1"/>
    </font>
    <font>
      <b/>
      <sz val="18"/>
      <color rgb="FF0070C0"/>
      <name val="Times New Roman"/>
      <family val="1"/>
    </font>
    <font>
      <sz val="10"/>
      <name val="Times New Roman"/>
      <family val="1"/>
    </font>
    <font>
      <b/>
      <sz val="10"/>
      <color rgb="FF0070C0"/>
      <name val="Times New Roman"/>
      <family val="1"/>
    </font>
    <font>
      <b/>
      <sz val="9"/>
      <color rgb="FF0070C0"/>
      <name val="Times New Roman"/>
      <family val="1"/>
    </font>
    <font>
      <sz val="8"/>
      <name val="Arial"/>
      <family val="2"/>
    </font>
    <font>
      <b/>
      <sz val="8"/>
      <name val="Times New Roman"/>
      <family val="1"/>
    </font>
    <font>
      <sz val="9"/>
      <name val="Times New Roman"/>
      <family val="1"/>
    </font>
    <font>
      <sz val="9"/>
      <color rgb="FF0070C0"/>
      <name val="Times New Roman"/>
      <family val="1"/>
    </font>
    <font>
      <b/>
      <sz val="9"/>
      <name val="Times New Roman"/>
      <family val="1"/>
    </font>
    <font>
      <sz val="10"/>
      <color rgb="FF0070C0"/>
      <name val="Times New Roman"/>
      <family val="1"/>
    </font>
    <font>
      <sz val="10"/>
      <color rgb="FF0070C0"/>
      <name val="Arial"/>
      <family val="2"/>
    </font>
    <font>
      <sz val="8"/>
      <name val="Times New Roman"/>
      <family val="1"/>
    </font>
    <font>
      <sz val="8"/>
      <color rgb="FF0070C0"/>
      <name val="Times New Roman"/>
      <family val="1"/>
    </font>
    <font>
      <i/>
      <sz val="8"/>
      <color indexed="30"/>
      <name val="Times New Roman"/>
      <family val="1"/>
    </font>
    <font>
      <sz val="8"/>
      <color indexed="30"/>
      <name val="Times New Roman"/>
      <family val="1"/>
    </font>
    <font>
      <i/>
      <sz val="10"/>
      <name val="Arial"/>
      <family val="2"/>
    </font>
    <font>
      <sz val="10"/>
      <name val="Arial"/>
      <family val="2"/>
    </font>
    <font>
      <sz val="12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/>
      <bottom style="thin">
        <color rgb="FF0070C0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rgb="FF0070C0"/>
      </top>
      <bottom style="thin">
        <color rgb="FF0070C0"/>
      </bottom>
      <diagonal/>
    </border>
    <border>
      <left/>
      <right style="thin">
        <color indexed="64"/>
      </right>
      <top/>
      <bottom/>
      <diagonal/>
    </border>
  </borders>
  <cellStyleXfs count="3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  <xf numFmtId="0" fontId="19" fillId="0" borderId="0"/>
  </cellStyleXfs>
  <cellXfs count="33">
    <xf numFmtId="0" fontId="0" fillId="0" borderId="0" xfId="0"/>
    <xf numFmtId="0" fontId="2" fillId="0" borderId="0" xfId="1" applyFont="1" applyAlignment="1" applyProtection="1"/>
    <xf numFmtId="0" fontId="3" fillId="0" borderId="1" xfId="0" applyFont="1" applyBorder="1"/>
    <xf numFmtId="0" fontId="4" fillId="0" borderId="1" xfId="0" applyFont="1" applyBorder="1"/>
    <xf numFmtId="0" fontId="0" fillId="0" borderId="1" xfId="0" applyBorder="1"/>
    <xf numFmtId="0" fontId="4" fillId="0" borderId="0" xfId="0" applyFont="1"/>
    <xf numFmtId="0" fontId="0" fillId="0" borderId="2" xfId="0" applyBorder="1"/>
    <xf numFmtId="0" fontId="5" fillId="0" borderId="3" xfId="0" applyFont="1" applyBorder="1"/>
    <xf numFmtId="0" fontId="5" fillId="0" borderId="3" xfId="0" applyFont="1" applyBorder="1" applyAlignment="1">
      <alignment horizontal="right"/>
    </xf>
    <xf numFmtId="0" fontId="6" fillId="0" borderId="0" xfId="0" applyFont="1" applyAlignment="1">
      <alignment horizontal="left"/>
    </xf>
    <xf numFmtId="0" fontId="7" fillId="0" borderId="0" xfId="0" applyFont="1" applyAlignment="1">
      <alignment horizontal="left"/>
    </xf>
    <xf numFmtId="0" fontId="7" fillId="0" borderId="2" xfId="0" applyFont="1" applyBorder="1" applyAlignment="1">
      <alignment horizontal="left"/>
    </xf>
    <xf numFmtId="0" fontId="8" fillId="0" borderId="0" xfId="0" applyFont="1" applyAlignment="1">
      <alignment horizontal="left"/>
    </xf>
    <xf numFmtId="0" fontId="9" fillId="0" borderId="0" xfId="0" applyFont="1"/>
    <xf numFmtId="164" fontId="9" fillId="0" borderId="0" xfId="0" applyNumberFormat="1" applyFont="1"/>
    <xf numFmtId="165" fontId="9" fillId="0" borderId="0" xfId="0" applyNumberFormat="1" applyFont="1"/>
    <xf numFmtId="16" fontId="9" fillId="0" borderId="0" xfId="0" applyNumberFormat="1" applyFont="1"/>
    <xf numFmtId="0" fontId="10" fillId="0" borderId="1" xfId="0" applyFont="1" applyBorder="1"/>
    <xf numFmtId="164" fontId="9" fillId="0" borderId="1" xfId="0" applyNumberFormat="1" applyFont="1" applyBorder="1"/>
    <xf numFmtId="0" fontId="11" fillId="0" borderId="0" xfId="0" applyFont="1" applyAlignment="1">
      <alignment horizontal="centerContinuous"/>
    </xf>
    <xf numFmtId="166" fontId="9" fillId="0" borderId="0" xfId="0" applyNumberFormat="1" applyFont="1"/>
    <xf numFmtId="0" fontId="9" fillId="0" borderId="0" xfId="0" applyFont="1" applyBorder="1"/>
    <xf numFmtId="166" fontId="9" fillId="0" borderId="0" xfId="0" applyNumberFormat="1" applyFont="1" applyBorder="1"/>
    <xf numFmtId="0" fontId="12" fillId="0" borderId="1" xfId="0" applyFont="1" applyBorder="1"/>
    <xf numFmtId="0" fontId="13" fillId="0" borderId="0" xfId="0" applyFont="1"/>
    <xf numFmtId="0" fontId="0" fillId="0" borderId="4" xfId="0" applyBorder="1"/>
    <xf numFmtId="0" fontId="0" fillId="0" borderId="0" xfId="0" applyBorder="1"/>
    <xf numFmtId="0" fontId="14" fillId="0" borderId="0" xfId="0" applyFont="1"/>
    <xf numFmtId="0" fontId="8" fillId="0" borderId="0" xfId="0" applyFont="1"/>
    <xf numFmtId="0" fontId="15" fillId="0" borderId="0" xfId="1" quotePrefix="1" applyFont="1" applyAlignment="1" applyProtection="1"/>
    <xf numFmtId="167" fontId="14" fillId="0" borderId="0" xfId="0" applyNumberFormat="1" applyFont="1" applyAlignment="1">
      <alignment horizontal="left" wrapText="1"/>
    </xf>
    <xf numFmtId="167" fontId="0" fillId="0" borderId="0" xfId="0" applyNumberFormat="1" applyAlignment="1">
      <alignment horizontal="left" wrapText="1"/>
    </xf>
    <xf numFmtId="0" fontId="18" fillId="0" borderId="0" xfId="0" applyFont="1"/>
  </cellXfs>
  <cellStyles count="3">
    <cellStyle name="Hyperlink" xfId="1" builtinId="8"/>
    <cellStyle name="Normal" xfId="0" builtinId="0"/>
    <cellStyle name="Normal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A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900" b="1" i="0" u="none" strike="noStrike" baseline="0">
                <a:solidFill>
                  <a:srgbClr val="0080C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en-AU"/>
              <a:t>Annual change  –  per cent</a:t>
            </a:r>
          </a:p>
        </c:rich>
      </c:tx>
      <c:layout>
        <c:manualLayout>
          <c:xMode val="edge"/>
          <c:yMode val="edge"/>
          <c:x val="1.65842793224055E-3"/>
          <c:y val="1.7123248286543689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7.8518431464724023E-2"/>
          <c:y val="0.12451731204832255"/>
          <c:w val="0.85886133636282846"/>
          <c:h val="0.7447565162610118"/>
        </c:manualLayout>
      </c:layout>
      <c:lineChart>
        <c:grouping val="standard"/>
        <c:varyColors val="0"/>
        <c:ser>
          <c:idx val="0"/>
          <c:order val="0"/>
          <c:spPr>
            <a:ln w="31750">
              <a:solidFill>
                <a:srgbClr val="0070C0"/>
              </a:solidFill>
              <a:prstDash val="solid"/>
            </a:ln>
          </c:spPr>
          <c:marker>
            <c:symbol val="none"/>
          </c:marker>
          <c:cat>
            <c:numRef>
              <c:f>'[1]Data 4.1'!$A$86:$A$146</c:f>
              <c:numCache>
                <c:formatCode>mmm\ yy</c:formatCode>
                <c:ptCount val="61"/>
                <c:pt idx="0">
                  <c:v>39600</c:v>
                </c:pt>
                <c:pt idx="1">
                  <c:v>39630</c:v>
                </c:pt>
                <c:pt idx="2">
                  <c:v>39661</c:v>
                </c:pt>
                <c:pt idx="3">
                  <c:v>39692</c:v>
                </c:pt>
                <c:pt idx="4">
                  <c:v>39722</c:v>
                </c:pt>
                <c:pt idx="5">
                  <c:v>39753</c:v>
                </c:pt>
                <c:pt idx="6">
                  <c:v>39783</c:v>
                </c:pt>
                <c:pt idx="7">
                  <c:v>39814</c:v>
                </c:pt>
                <c:pt idx="8">
                  <c:v>39845</c:v>
                </c:pt>
                <c:pt idx="9">
                  <c:v>39873</c:v>
                </c:pt>
                <c:pt idx="10">
                  <c:v>39904</c:v>
                </c:pt>
                <c:pt idx="11">
                  <c:v>39934</c:v>
                </c:pt>
                <c:pt idx="12">
                  <c:v>39965</c:v>
                </c:pt>
                <c:pt idx="13">
                  <c:v>39995</c:v>
                </c:pt>
                <c:pt idx="14">
                  <c:v>40026</c:v>
                </c:pt>
                <c:pt idx="15">
                  <c:v>40057</c:v>
                </c:pt>
                <c:pt idx="16">
                  <c:v>40087</c:v>
                </c:pt>
                <c:pt idx="17">
                  <c:v>40118</c:v>
                </c:pt>
                <c:pt idx="18">
                  <c:v>40148</c:v>
                </c:pt>
                <c:pt idx="19">
                  <c:v>40179</c:v>
                </c:pt>
                <c:pt idx="20">
                  <c:v>40210</c:v>
                </c:pt>
                <c:pt idx="21">
                  <c:v>40238</c:v>
                </c:pt>
                <c:pt idx="22">
                  <c:v>40269</c:v>
                </c:pt>
                <c:pt idx="23">
                  <c:v>40299</c:v>
                </c:pt>
                <c:pt idx="24">
                  <c:v>40330</c:v>
                </c:pt>
                <c:pt idx="25">
                  <c:v>40360</c:v>
                </c:pt>
                <c:pt idx="26">
                  <c:v>40391</c:v>
                </c:pt>
                <c:pt idx="27">
                  <c:v>40422</c:v>
                </c:pt>
                <c:pt idx="28">
                  <c:v>40452</c:v>
                </c:pt>
                <c:pt idx="29">
                  <c:v>40483</c:v>
                </c:pt>
                <c:pt idx="30">
                  <c:v>40513</c:v>
                </c:pt>
                <c:pt idx="31">
                  <c:v>40544</c:v>
                </c:pt>
                <c:pt idx="32">
                  <c:v>40575</c:v>
                </c:pt>
                <c:pt idx="33">
                  <c:v>40603</c:v>
                </c:pt>
                <c:pt idx="34">
                  <c:v>40634</c:v>
                </c:pt>
                <c:pt idx="35">
                  <c:v>40664</c:v>
                </c:pt>
                <c:pt idx="36">
                  <c:v>40695</c:v>
                </c:pt>
                <c:pt idx="37">
                  <c:v>40725</c:v>
                </c:pt>
                <c:pt idx="38">
                  <c:v>40756</c:v>
                </c:pt>
                <c:pt idx="39">
                  <c:v>40787</c:v>
                </c:pt>
                <c:pt idx="40">
                  <c:v>40817</c:v>
                </c:pt>
                <c:pt idx="41">
                  <c:v>40848</c:v>
                </c:pt>
                <c:pt idx="42">
                  <c:v>40878</c:v>
                </c:pt>
                <c:pt idx="43">
                  <c:v>40909</c:v>
                </c:pt>
                <c:pt idx="44">
                  <c:v>40940</c:v>
                </c:pt>
                <c:pt idx="45">
                  <c:v>40969</c:v>
                </c:pt>
                <c:pt idx="46">
                  <c:v>41000</c:v>
                </c:pt>
                <c:pt idx="47">
                  <c:v>41030</c:v>
                </c:pt>
                <c:pt idx="48">
                  <c:v>41061</c:v>
                </c:pt>
                <c:pt idx="49">
                  <c:v>41091</c:v>
                </c:pt>
                <c:pt idx="50">
                  <c:v>41122</c:v>
                </c:pt>
                <c:pt idx="51">
                  <c:v>41153</c:v>
                </c:pt>
                <c:pt idx="52">
                  <c:v>41183</c:v>
                </c:pt>
                <c:pt idx="53">
                  <c:v>41214</c:v>
                </c:pt>
                <c:pt idx="54">
                  <c:v>41244</c:v>
                </c:pt>
                <c:pt idx="55">
                  <c:v>41275</c:v>
                </c:pt>
                <c:pt idx="56">
                  <c:v>41306</c:v>
                </c:pt>
                <c:pt idx="57">
                  <c:v>41334</c:v>
                </c:pt>
                <c:pt idx="58">
                  <c:v>41365</c:v>
                </c:pt>
                <c:pt idx="59">
                  <c:v>41395</c:v>
                </c:pt>
                <c:pt idx="60">
                  <c:v>41426</c:v>
                </c:pt>
              </c:numCache>
            </c:numRef>
          </c:cat>
          <c:val>
            <c:numRef>
              <c:f>'[1]Data 4.1'!$D$86:$D$146</c:f>
              <c:numCache>
                <c:formatCode>0.0</c:formatCode>
                <c:ptCount val="61"/>
                <c:pt idx="0">
                  <c:v>3.1325030853809039</c:v>
                </c:pt>
                <c:pt idx="1">
                  <c:v>4.0173772591829362</c:v>
                </c:pt>
                <c:pt idx="2">
                  <c:v>2.8955200761221676</c:v>
                </c:pt>
                <c:pt idx="3">
                  <c:v>1.5058243113608398</c:v>
                </c:pt>
                <c:pt idx="4">
                  <c:v>2.3032178353141717</c:v>
                </c:pt>
                <c:pt idx="5">
                  <c:v>1.9094128894876263</c:v>
                </c:pt>
                <c:pt idx="6">
                  <c:v>5.7223746961798696</c:v>
                </c:pt>
                <c:pt idx="7">
                  <c:v>5.6853557211502164</c:v>
                </c:pt>
                <c:pt idx="8">
                  <c:v>4.336325963099938</c:v>
                </c:pt>
                <c:pt idx="9">
                  <c:v>6.5778013405536342</c:v>
                </c:pt>
                <c:pt idx="10">
                  <c:v>6.9401911027908056</c:v>
                </c:pt>
                <c:pt idx="11">
                  <c:v>7.6383716034588787</c:v>
                </c:pt>
                <c:pt idx="12">
                  <c:v>7.7772459258936806</c:v>
                </c:pt>
                <c:pt idx="13">
                  <c:v>4.9084912025187748</c:v>
                </c:pt>
                <c:pt idx="14">
                  <c:v>5.5571087550270022</c:v>
                </c:pt>
                <c:pt idx="15">
                  <c:v>6.088393493616735</c:v>
                </c:pt>
                <c:pt idx="16">
                  <c:v>5.635089856838249</c:v>
                </c:pt>
                <c:pt idx="17">
                  <c:v>7.2770691300245716</c:v>
                </c:pt>
                <c:pt idx="18">
                  <c:v>2.3317733561356135</c:v>
                </c:pt>
                <c:pt idx="19">
                  <c:v>3.04204362930993</c:v>
                </c:pt>
                <c:pt idx="20">
                  <c:v>3.5205072278933613</c:v>
                </c:pt>
                <c:pt idx="21">
                  <c:v>1.4080646471209377</c:v>
                </c:pt>
                <c:pt idx="22">
                  <c:v>1.7409650440933149</c:v>
                </c:pt>
                <c:pt idx="23">
                  <c:v>1.051084934282116</c:v>
                </c:pt>
                <c:pt idx="24">
                  <c:v>2.0747746565594269</c:v>
                </c:pt>
                <c:pt idx="25">
                  <c:v>3.7784866658159899</c:v>
                </c:pt>
                <c:pt idx="26">
                  <c:v>3.8333027728541396</c:v>
                </c:pt>
                <c:pt idx="27">
                  <c:v>3.7990083788929354</c:v>
                </c:pt>
                <c:pt idx="28">
                  <c:v>2.2911228474878271</c:v>
                </c:pt>
                <c:pt idx="29">
                  <c:v>1.0300365208317714</c:v>
                </c:pt>
                <c:pt idx="30">
                  <c:v>2.1505483948442929</c:v>
                </c:pt>
                <c:pt idx="31">
                  <c:v>1.7201452212931372</c:v>
                </c:pt>
                <c:pt idx="32">
                  <c:v>3.6557279776331768</c:v>
                </c:pt>
                <c:pt idx="33">
                  <c:v>2.4947192439759363</c:v>
                </c:pt>
                <c:pt idx="34">
                  <c:v>2.839027301208418</c:v>
                </c:pt>
                <c:pt idx="35">
                  <c:v>2.1433285858199866</c:v>
                </c:pt>
                <c:pt idx="36">
                  <c:v>1.3255674823117687</c:v>
                </c:pt>
                <c:pt idx="37">
                  <c:v>1.6411905886056104</c:v>
                </c:pt>
                <c:pt idx="38">
                  <c:v>1.9307557221203098</c:v>
                </c:pt>
                <c:pt idx="39">
                  <c:v>2.2313875307122402</c:v>
                </c:pt>
                <c:pt idx="40">
                  <c:v>3.3119853613906827</c:v>
                </c:pt>
                <c:pt idx="41">
                  <c:v>2.9931932640856189</c:v>
                </c:pt>
                <c:pt idx="42">
                  <c:v>2.5059513896372323</c:v>
                </c:pt>
                <c:pt idx="43">
                  <c:v>2.8092885714145979</c:v>
                </c:pt>
                <c:pt idx="44">
                  <c:v>1.8157915162805267</c:v>
                </c:pt>
                <c:pt idx="45">
                  <c:v>3.4532100055673283</c:v>
                </c:pt>
                <c:pt idx="46">
                  <c:v>2.5348285049734187</c:v>
                </c:pt>
                <c:pt idx="47">
                  <c:v>3.5665701459471251</c:v>
                </c:pt>
                <c:pt idx="48">
                  <c:v>5.1221368830940577</c:v>
                </c:pt>
                <c:pt idx="49">
                  <c:v>3.5971257832724461</c:v>
                </c:pt>
                <c:pt idx="50">
                  <c:v>3.2840216753130278</c:v>
                </c:pt>
                <c:pt idx="51">
                  <c:v>3.3905947932207283</c:v>
                </c:pt>
                <c:pt idx="52">
                  <c:v>3.0909230165340631</c:v>
                </c:pt>
                <c:pt idx="53">
                  <c:v>2.7151957366747155</c:v>
                </c:pt>
                <c:pt idx="54">
                  <c:v>2.319491565919634</c:v>
                </c:pt>
                <c:pt idx="55">
                  <c:v>3.1787379338917816</c:v>
                </c:pt>
                <c:pt idx="56">
                  <c:v>4.5835934038183979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9346816"/>
        <c:axId val="89348352"/>
      </c:lineChart>
      <c:catAx>
        <c:axId val="89346816"/>
        <c:scaling>
          <c:orientation val="minMax"/>
        </c:scaling>
        <c:delete val="0"/>
        <c:axPos val="b"/>
        <c:numFmt formatCode="mmm\ yy" sourceLinked="1"/>
        <c:majorTickMark val="out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1" i="0" u="none" strike="noStrike" baseline="0">
                <a:solidFill>
                  <a:srgbClr val="0080C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89348352"/>
        <c:crosses val="autoZero"/>
        <c:auto val="0"/>
        <c:lblAlgn val="ctr"/>
        <c:lblOffset val="100"/>
        <c:tickLblSkip val="12"/>
        <c:tickMarkSkip val="3"/>
        <c:noMultiLvlLbl val="0"/>
      </c:catAx>
      <c:valAx>
        <c:axId val="89348352"/>
        <c:scaling>
          <c:orientation val="minMax"/>
          <c:max val="9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0" sourceLinked="0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1" i="0" u="none" strike="noStrike" baseline="0">
                <a:solidFill>
                  <a:srgbClr val="0080C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89346816"/>
        <c:crosses val="autoZero"/>
        <c:crossBetween val="midCat"/>
      </c:valAx>
      <c:spPr>
        <a:noFill/>
        <a:ln w="25400">
          <a:noFill/>
        </a:ln>
      </c:spPr>
    </c:plotArea>
    <c:plotVisOnly val="1"/>
    <c:dispBlanksAs val="gap"/>
    <c:showDLblsOverMax val="0"/>
  </c:chart>
  <c:spPr>
    <a:gradFill>
      <a:gsLst>
        <a:gs pos="0">
          <a:srgbClr val="4F81BD">
            <a:tint val="66000"/>
            <a:satMod val="160000"/>
          </a:srgbClr>
        </a:gs>
        <a:gs pos="50000">
          <a:srgbClr val="4F81BD">
            <a:tint val="44500"/>
            <a:satMod val="160000"/>
          </a:srgbClr>
        </a:gs>
        <a:gs pos="100000">
          <a:srgbClr val="4F81BD">
            <a:tint val="23500"/>
            <a:satMod val="160000"/>
          </a:srgbClr>
        </a:gs>
      </a:gsLst>
      <a:lin ang="7800000" scaled="0"/>
    </a:gradFill>
    <a:ln w="9525">
      <a:noFill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en-US"/>
    </a:p>
  </c:txPr>
  <c:printSettings>
    <c:headerFooter alignWithMargins="0">
      <c:oddHeader>&amp;A</c:oddHeader>
      <c:oddFooter>Page &amp;P</c:oddFooter>
    </c:headerFooter>
    <c:pageMargins b="0.98425196850393659" l="0.74803149606302388" r="0.74803149606302388" t="0.98425196850393659" header="0.51181102362204722" footer="0.51181102362204722"/>
    <c:pageSetup paperSize="9" orientation="landscape" horizontalDpi="-4"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</xdr:row>
      <xdr:rowOff>76200</xdr:rowOff>
    </xdr:from>
    <xdr:to>
      <xdr:col>6</xdr:col>
      <xdr:colOff>9525</xdr:colOff>
      <xdr:row>17</xdr:row>
      <xdr:rowOff>104775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0</xdr:colOff>
          <xdr:row>4</xdr:row>
          <xdr:rowOff>47625</xdr:rowOff>
        </xdr:from>
        <xdr:to>
          <xdr:col>11</xdr:col>
          <xdr:colOff>66675</xdr:colOff>
          <xdr:row>54</xdr:row>
          <xdr:rowOff>114300</xdr:rowOff>
        </xdr:to>
        <xdr:sp macro="" textlink="">
          <xdr:nvSpPr>
            <xdr:cNvPr id="1025" name="Object 1" hidden="1">
              <a:extLst>
                <a:ext uri="{63B3BB69-23CF-44E3-9099-C40C66FF867C}">
                  <a14:compatExt spid="_x0000_s102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OME6\DPS-Publishing\MSB%20Monthly%20Statistical%20Bulletin\May13\MSB%20Chapter%204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OME6\DPS-Publishing\MSB%20Monthly%20Statistical%20Bulletin\May13\4.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able 4.1"/>
      <sheetName val="Data 4.1"/>
      <sheetName val="Table 4.2"/>
      <sheetName val="Data 4.2"/>
      <sheetName val="Table 4.3"/>
      <sheetName val="Data 4.3"/>
      <sheetName val="Table 4.4"/>
      <sheetName val="Data 4.4"/>
      <sheetName val="Table 4.5"/>
      <sheetName val="Data 4.5"/>
      <sheetName val="Module1"/>
    </sheetNames>
    <sheetDataSet>
      <sheetData sheetId="0"/>
      <sheetData sheetId="1">
        <row r="86">
          <cell r="A86">
            <v>39600</v>
          </cell>
          <cell r="C86">
            <v>220517.9</v>
          </cell>
          <cell r="D86">
            <v>3.1325030853809039</v>
          </cell>
        </row>
        <row r="87">
          <cell r="A87">
            <v>39630</v>
          </cell>
          <cell r="B87">
            <v>18675.8</v>
          </cell>
          <cell r="D87">
            <v>4.0173772591829362</v>
          </cell>
        </row>
        <row r="88">
          <cell r="A88">
            <v>39661</v>
          </cell>
          <cell r="B88">
            <v>18599.599999999999</v>
          </cell>
          <cell r="D88">
            <v>2.8955200761221676</v>
          </cell>
        </row>
        <row r="89">
          <cell r="A89">
            <v>39692</v>
          </cell>
          <cell r="B89">
            <v>18517.2</v>
          </cell>
          <cell r="D89">
            <v>1.5058243113608398</v>
          </cell>
        </row>
        <row r="90">
          <cell r="A90">
            <v>39722</v>
          </cell>
          <cell r="B90">
            <v>18713.099999999999</v>
          </cell>
          <cell r="D90">
            <v>2.3032178353141717</v>
          </cell>
        </row>
        <row r="91">
          <cell r="A91">
            <v>39753</v>
          </cell>
          <cell r="B91">
            <v>18760.3</v>
          </cell>
          <cell r="D91">
            <v>1.9094128894876263</v>
          </cell>
        </row>
        <row r="92">
          <cell r="A92">
            <v>39783</v>
          </cell>
          <cell r="B92">
            <v>19530.2</v>
          </cell>
          <cell r="D92">
            <v>5.7223746961798696</v>
          </cell>
        </row>
        <row r="93">
          <cell r="A93">
            <v>39814</v>
          </cell>
          <cell r="B93">
            <v>19486.900000000001</v>
          </cell>
          <cell r="D93">
            <v>5.6853557211502164</v>
          </cell>
        </row>
        <row r="94">
          <cell r="A94">
            <v>39845</v>
          </cell>
          <cell r="B94">
            <v>19210.3</v>
          </cell>
          <cell r="D94">
            <v>4.336325963099938</v>
          </cell>
        </row>
        <row r="95">
          <cell r="A95">
            <v>39873</v>
          </cell>
          <cell r="B95">
            <v>19700.8</v>
          </cell>
          <cell r="D95">
            <v>6.5778013405536342</v>
          </cell>
        </row>
        <row r="96">
          <cell r="A96">
            <v>39904</v>
          </cell>
          <cell r="B96">
            <v>19764.900000000001</v>
          </cell>
          <cell r="D96">
            <v>6.9401911027908056</v>
          </cell>
        </row>
        <row r="97">
          <cell r="A97">
            <v>39934</v>
          </cell>
          <cell r="B97">
            <v>19941.3</v>
          </cell>
          <cell r="D97">
            <v>7.6383716034588787</v>
          </cell>
        </row>
        <row r="98">
          <cell r="A98">
            <v>39965</v>
          </cell>
          <cell r="B98">
            <v>19814.2</v>
          </cell>
          <cell r="C98">
            <v>230597.8</v>
          </cell>
          <cell r="D98">
            <v>7.7772459258936806</v>
          </cell>
        </row>
        <row r="99">
          <cell r="A99">
            <v>39995</v>
          </cell>
          <cell r="B99">
            <v>19592.5</v>
          </cell>
          <cell r="D99">
            <v>4.9084912025187748</v>
          </cell>
        </row>
        <row r="100">
          <cell r="A100">
            <v>40026</v>
          </cell>
          <cell r="B100">
            <v>19633.2</v>
          </cell>
          <cell r="D100">
            <v>5.5571087550270022</v>
          </cell>
        </row>
        <row r="101">
          <cell r="A101">
            <v>40057</v>
          </cell>
          <cell r="B101">
            <v>19644.599999999999</v>
          </cell>
          <cell r="D101">
            <v>6.088393493616735</v>
          </cell>
        </row>
        <row r="102">
          <cell r="A102">
            <v>40087</v>
          </cell>
          <cell r="B102">
            <v>19767.599999999999</v>
          </cell>
          <cell r="D102">
            <v>5.635089856838249</v>
          </cell>
        </row>
        <row r="103">
          <cell r="A103">
            <v>40118</v>
          </cell>
          <cell r="B103">
            <v>20125.5</v>
          </cell>
          <cell r="D103">
            <v>7.2770691300245716</v>
          </cell>
        </row>
        <row r="104">
          <cell r="A104">
            <v>40148</v>
          </cell>
          <cell r="B104">
            <v>19985.599999999999</v>
          </cell>
          <cell r="D104">
            <v>2.3317733561356135</v>
          </cell>
        </row>
        <row r="105">
          <cell r="A105">
            <v>40179</v>
          </cell>
          <cell r="B105">
            <v>20079.7</v>
          </cell>
          <cell r="D105">
            <v>3.04204362930993</v>
          </cell>
        </row>
        <row r="106">
          <cell r="A106">
            <v>40210</v>
          </cell>
          <cell r="B106">
            <v>19886.599999999999</v>
          </cell>
          <cell r="D106">
            <v>3.5205072278933613</v>
          </cell>
        </row>
        <row r="107">
          <cell r="A107">
            <v>40238</v>
          </cell>
          <cell r="B107">
            <v>19978.2</v>
          </cell>
          <cell r="D107">
            <v>1.4080646471209377</v>
          </cell>
        </row>
        <row r="108">
          <cell r="A108">
            <v>40269</v>
          </cell>
          <cell r="B108">
            <v>20109</v>
          </cell>
          <cell r="D108">
            <v>1.7409650440933149</v>
          </cell>
        </row>
        <row r="109">
          <cell r="A109">
            <v>40299</v>
          </cell>
          <cell r="B109">
            <v>20150.900000000001</v>
          </cell>
          <cell r="D109">
            <v>1.051084934282116</v>
          </cell>
        </row>
        <row r="110">
          <cell r="A110">
            <v>40330</v>
          </cell>
          <cell r="B110">
            <v>20225.3</v>
          </cell>
          <cell r="C110">
            <v>239133.8</v>
          </cell>
          <cell r="D110">
            <v>2.0747746565594269</v>
          </cell>
        </row>
        <row r="111">
          <cell r="A111">
            <v>40360</v>
          </cell>
          <cell r="B111">
            <v>20332.8</v>
          </cell>
          <cell r="D111">
            <v>3.7784866658159899</v>
          </cell>
        </row>
        <row r="112">
          <cell r="A112">
            <v>40391</v>
          </cell>
          <cell r="B112">
            <v>20385.8</v>
          </cell>
          <cell r="D112">
            <v>3.8333027728541396</v>
          </cell>
        </row>
        <row r="113">
          <cell r="A113">
            <v>40422</v>
          </cell>
          <cell r="B113">
            <v>20390.900000000001</v>
          </cell>
          <cell r="D113">
            <v>3.7990083788929354</v>
          </cell>
        </row>
        <row r="114">
          <cell r="A114">
            <v>40452</v>
          </cell>
          <cell r="B114">
            <v>20220.5</v>
          </cell>
          <cell r="D114">
            <v>2.2911228474878271</v>
          </cell>
        </row>
        <row r="115">
          <cell r="A115">
            <v>40483</v>
          </cell>
          <cell r="B115">
            <v>20332.8</v>
          </cell>
          <cell r="D115">
            <v>1.0300365208317714</v>
          </cell>
        </row>
        <row r="116">
          <cell r="A116">
            <v>40513</v>
          </cell>
          <cell r="B116">
            <v>20415.400000000001</v>
          </cell>
          <cell r="D116">
            <v>2.1505483948442929</v>
          </cell>
        </row>
        <row r="117">
          <cell r="A117">
            <v>40544</v>
          </cell>
          <cell r="B117">
            <v>20425.099999999999</v>
          </cell>
          <cell r="D117">
            <v>1.7201452212931372</v>
          </cell>
        </row>
        <row r="118">
          <cell r="A118">
            <v>40575</v>
          </cell>
          <cell r="B118">
            <v>20613.599999999999</v>
          </cell>
          <cell r="D118">
            <v>3.6557279776331768</v>
          </cell>
        </row>
        <row r="119">
          <cell r="A119">
            <v>40603</v>
          </cell>
          <cell r="B119">
            <v>20476.599999999999</v>
          </cell>
          <cell r="D119">
            <v>2.4947192439759363</v>
          </cell>
        </row>
        <row r="120">
          <cell r="A120">
            <v>40634</v>
          </cell>
          <cell r="B120">
            <v>20679.900000000001</v>
          </cell>
          <cell r="D120">
            <v>2.839027301208418</v>
          </cell>
        </row>
        <row r="121">
          <cell r="A121">
            <v>40664</v>
          </cell>
          <cell r="B121">
            <v>20582.8</v>
          </cell>
          <cell r="D121">
            <v>2.1433285858199866</v>
          </cell>
        </row>
        <row r="122">
          <cell r="A122">
            <v>40695</v>
          </cell>
          <cell r="B122">
            <v>20493.400000000001</v>
          </cell>
          <cell r="C122">
            <v>245346.5</v>
          </cell>
          <cell r="D122">
            <v>1.3255674823117687</v>
          </cell>
        </row>
        <row r="123">
          <cell r="A123">
            <v>40725</v>
          </cell>
          <cell r="B123">
            <v>20666.5</v>
          </cell>
          <cell r="D123">
            <v>1.6411905886056104</v>
          </cell>
        </row>
        <row r="124">
          <cell r="A124">
            <v>40756</v>
          </cell>
          <cell r="B124">
            <v>20779.400000000001</v>
          </cell>
          <cell r="D124">
            <v>1.9307557221203098</v>
          </cell>
        </row>
        <row r="125">
          <cell r="A125">
            <v>40787</v>
          </cell>
          <cell r="B125">
            <v>20845.900000000001</v>
          </cell>
          <cell r="D125">
            <v>2.2313875307122402</v>
          </cell>
        </row>
        <row r="126">
          <cell r="A126">
            <v>40817</v>
          </cell>
          <cell r="B126">
            <v>20890.2</v>
          </cell>
          <cell r="D126">
            <v>3.3119853613906827</v>
          </cell>
        </row>
        <row r="127">
          <cell r="A127">
            <v>40848</v>
          </cell>
          <cell r="B127">
            <v>20941.400000000001</v>
          </cell>
          <cell r="D127">
            <v>2.9931932640856189</v>
          </cell>
        </row>
        <row r="128">
          <cell r="A128">
            <v>40878</v>
          </cell>
          <cell r="B128">
            <v>20927</v>
          </cell>
          <cell r="D128">
            <v>2.5059513896372323</v>
          </cell>
        </row>
        <row r="129">
          <cell r="A129">
            <v>40909</v>
          </cell>
          <cell r="B129">
            <v>20998.9</v>
          </cell>
          <cell r="D129">
            <v>2.8092885714145979</v>
          </cell>
        </row>
        <row r="130">
          <cell r="A130">
            <v>40940</v>
          </cell>
          <cell r="B130">
            <v>20987.9</v>
          </cell>
          <cell r="D130">
            <v>1.8157915162805267</v>
          </cell>
        </row>
        <row r="131">
          <cell r="A131">
            <v>40969</v>
          </cell>
          <cell r="B131">
            <v>21183.7</v>
          </cell>
          <cell r="D131">
            <v>3.4532100055673283</v>
          </cell>
        </row>
        <row r="132">
          <cell r="A132">
            <v>41000</v>
          </cell>
          <cell r="B132">
            <v>21204.1</v>
          </cell>
          <cell r="D132">
            <v>2.5348285049734187</v>
          </cell>
        </row>
        <row r="133">
          <cell r="A133">
            <v>41030</v>
          </cell>
          <cell r="B133">
            <v>21316.9</v>
          </cell>
          <cell r="D133">
            <v>3.5665701459471251</v>
          </cell>
        </row>
        <row r="134">
          <cell r="A134">
            <v>41061</v>
          </cell>
          <cell r="B134">
            <v>21543.1</v>
          </cell>
          <cell r="C134">
            <v>253020.69999999995</v>
          </cell>
          <cell r="D134">
            <v>5.1221368830940577</v>
          </cell>
        </row>
        <row r="135">
          <cell r="A135">
            <v>41091</v>
          </cell>
          <cell r="B135">
            <v>21409.9</v>
          </cell>
          <cell r="D135">
            <v>3.5971257832724461</v>
          </cell>
        </row>
        <row r="136">
          <cell r="A136">
            <v>41122</v>
          </cell>
          <cell r="B136">
            <v>21461.8</v>
          </cell>
          <cell r="D136">
            <v>3.2840216753130278</v>
          </cell>
        </row>
        <row r="137">
          <cell r="A137">
            <v>41153</v>
          </cell>
          <cell r="B137">
            <v>21552.7</v>
          </cell>
          <cell r="D137">
            <v>3.3905947932207283</v>
          </cell>
        </row>
        <row r="138">
          <cell r="A138">
            <v>41183</v>
          </cell>
          <cell r="B138">
            <v>21535.9</v>
          </cell>
          <cell r="D138">
            <v>3.0909230165340631</v>
          </cell>
        </row>
        <row r="139">
          <cell r="A139">
            <v>41214</v>
          </cell>
          <cell r="B139">
            <v>21510</v>
          </cell>
          <cell r="D139">
            <v>2.7151957366747155</v>
          </cell>
        </row>
        <row r="140">
          <cell r="A140">
            <v>41244</v>
          </cell>
          <cell r="B140">
            <v>21412.400000000001</v>
          </cell>
          <cell r="D140">
            <v>2.319491565919634</v>
          </cell>
        </row>
        <row r="141">
          <cell r="A141">
            <v>41275</v>
          </cell>
          <cell r="B141">
            <v>21666.400000000001</v>
          </cell>
          <cell r="D141">
            <v>3.1787379338917816</v>
          </cell>
        </row>
        <row r="142">
          <cell r="A142">
            <v>41306</v>
          </cell>
          <cell r="B142">
            <v>21949.9</v>
          </cell>
          <cell r="D142">
            <v>4.5835934038183979</v>
          </cell>
        </row>
        <row r="143">
          <cell r="A143">
            <v>41334</v>
          </cell>
        </row>
        <row r="144">
          <cell r="A144">
            <v>41365</v>
          </cell>
        </row>
        <row r="145">
          <cell r="A145">
            <v>41395</v>
          </cell>
        </row>
        <row r="146">
          <cell r="A146">
            <v>41426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4.1a Retail turnover - seas adj"/>
      <sheetName val="4.1b Retail turnover - ann %"/>
      <sheetName val="Graph"/>
      <sheetName val="4.1 Raw data"/>
    </sheetNames>
    <sheetDataSet>
      <sheetData sheetId="0">
        <row r="40">
          <cell r="B40">
            <v>41400</v>
          </cell>
        </row>
      </sheetData>
      <sheetData sheetId="1"/>
      <sheetData sheetId="2" refreshError="1"/>
      <sheetData sheetId="3">
        <row r="235">
          <cell r="B235">
            <v>12364.5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7" Type="http://schemas.openxmlformats.org/officeDocument/2006/relationships/image" Target="../media/image1.emf"/><Relationship Id="rId2" Type="http://schemas.openxmlformats.org/officeDocument/2006/relationships/hyperlink" Target="http://www.abs.gov.au/AUSSTATS/abs@.nsf/DetailsPage/8501.0Jan%202009?OpenDocument" TargetMode="External"/><Relationship Id="rId1" Type="http://schemas.openxmlformats.org/officeDocument/2006/relationships/hyperlink" Target="http://www.aph.gov.au/About_Parliament/Parliamentary_Departments/Parliamentary_Library/pubs/MSB" TargetMode="External"/><Relationship Id="rId6" Type="http://schemas.openxmlformats.org/officeDocument/2006/relationships/oleObject" Target="../embeddings/Microsoft_Word_97_-_2003_Document1.doc"/><Relationship Id="rId5" Type="http://schemas.openxmlformats.org/officeDocument/2006/relationships/vmlDrawing" Target="../drawings/vmlDrawing1.vm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O61"/>
  <sheetViews>
    <sheetView tabSelected="1" zoomScaleNormal="100" workbookViewId="0">
      <selection activeCell="C63" sqref="C63"/>
    </sheetView>
  </sheetViews>
  <sheetFormatPr defaultRowHeight="12.75" x14ac:dyDescent="0.2"/>
  <cols>
    <col min="1" max="1" width="11.7109375" customWidth="1"/>
    <col min="2" max="2" width="9.140625" customWidth="1"/>
    <col min="7" max="8" width="1.7109375" customWidth="1"/>
    <col min="9" max="11" width="8.7109375" customWidth="1"/>
    <col min="12" max="12" width="1.7109375" customWidth="1"/>
  </cols>
  <sheetData>
    <row r="1" spans="1:11" ht="15" x14ac:dyDescent="0.25">
      <c r="A1" s="1" t="s">
        <v>0</v>
      </c>
    </row>
    <row r="3" spans="1:11" ht="22.9" customHeight="1" x14ac:dyDescent="0.3">
      <c r="A3" s="2" t="s">
        <v>1</v>
      </c>
      <c r="B3" s="3"/>
      <c r="C3" s="3"/>
      <c r="D3" s="3"/>
      <c r="E3" s="3"/>
      <c r="F3" s="3"/>
      <c r="G3" s="4"/>
      <c r="H3" s="4"/>
      <c r="I3" s="4"/>
      <c r="J3" s="4"/>
      <c r="K3" s="4"/>
    </row>
    <row r="4" spans="1:11" ht="15.6" customHeight="1" x14ac:dyDescent="0.2">
      <c r="A4" s="5"/>
      <c r="B4" s="5"/>
      <c r="C4" s="5"/>
      <c r="D4" s="5"/>
      <c r="E4" s="5"/>
      <c r="F4" s="5"/>
    </row>
    <row r="5" spans="1:11" ht="15.6" customHeight="1" x14ac:dyDescent="0.2">
      <c r="A5" s="5"/>
      <c r="B5" s="5"/>
      <c r="C5" s="5"/>
      <c r="D5" s="5"/>
      <c r="E5" s="5"/>
      <c r="F5" s="5"/>
      <c r="H5" s="6"/>
    </row>
    <row r="6" spans="1:11" ht="15.6" customHeight="1" x14ac:dyDescent="0.2">
      <c r="A6" s="5"/>
      <c r="B6" s="5"/>
      <c r="C6" s="5"/>
      <c r="D6" s="5"/>
      <c r="E6" s="5"/>
      <c r="F6" s="5"/>
      <c r="H6" s="6"/>
    </row>
    <row r="7" spans="1:11" ht="15.6" customHeight="1" x14ac:dyDescent="0.2">
      <c r="A7" s="5"/>
      <c r="B7" s="5"/>
      <c r="C7" s="5"/>
      <c r="D7" s="5"/>
      <c r="E7" s="5"/>
      <c r="F7" s="5"/>
      <c r="H7" s="6"/>
    </row>
    <row r="8" spans="1:11" ht="15.6" customHeight="1" x14ac:dyDescent="0.2">
      <c r="A8" s="5"/>
      <c r="B8" s="5"/>
      <c r="C8" s="5"/>
      <c r="D8" s="5"/>
      <c r="E8" s="5"/>
      <c r="F8" s="5"/>
      <c r="H8" s="6"/>
    </row>
    <row r="9" spans="1:11" ht="15.6" customHeight="1" x14ac:dyDescent="0.2">
      <c r="A9" s="5"/>
      <c r="B9" s="5"/>
      <c r="C9" s="5"/>
      <c r="D9" s="5"/>
      <c r="E9" s="5"/>
      <c r="F9" s="5"/>
      <c r="H9" s="6"/>
    </row>
    <row r="10" spans="1:11" ht="15.6" customHeight="1" x14ac:dyDescent="0.2">
      <c r="A10" s="5"/>
      <c r="B10" s="5"/>
      <c r="C10" s="5"/>
      <c r="D10" s="5"/>
      <c r="E10" s="5"/>
      <c r="F10" s="5"/>
      <c r="H10" s="6"/>
    </row>
    <row r="11" spans="1:11" ht="15.6" customHeight="1" x14ac:dyDescent="0.2">
      <c r="A11" s="5"/>
      <c r="B11" s="5"/>
      <c r="C11" s="5"/>
      <c r="D11" s="5"/>
      <c r="E11" s="5"/>
      <c r="F11" s="5"/>
      <c r="H11" s="6"/>
    </row>
    <row r="12" spans="1:11" ht="15.6" customHeight="1" x14ac:dyDescent="0.2">
      <c r="A12" s="5"/>
      <c r="B12" s="5"/>
      <c r="C12" s="5"/>
      <c r="D12" s="5"/>
      <c r="E12" s="5"/>
      <c r="F12" s="5"/>
      <c r="H12" s="6"/>
    </row>
    <row r="13" spans="1:11" ht="15.6" customHeight="1" x14ac:dyDescent="0.2">
      <c r="A13" s="5"/>
      <c r="B13" s="5"/>
      <c r="C13" s="5"/>
      <c r="D13" s="5"/>
      <c r="E13" s="5"/>
      <c r="F13" s="5"/>
      <c r="H13" s="6"/>
    </row>
    <row r="14" spans="1:11" ht="15.6" customHeight="1" x14ac:dyDescent="0.2">
      <c r="A14" s="5"/>
      <c r="B14" s="5"/>
      <c r="C14" s="5"/>
      <c r="D14" s="5"/>
      <c r="E14" s="5"/>
      <c r="F14" s="5"/>
      <c r="H14" s="6"/>
    </row>
    <row r="15" spans="1:11" ht="15.6" customHeight="1" x14ac:dyDescent="0.2">
      <c r="A15" s="5"/>
      <c r="B15" s="5"/>
      <c r="C15" s="5"/>
      <c r="D15" s="5"/>
      <c r="E15" s="5"/>
      <c r="F15" s="5"/>
      <c r="H15" s="6"/>
    </row>
    <row r="16" spans="1:11" ht="15.6" customHeight="1" x14ac:dyDescent="0.2">
      <c r="A16" s="5"/>
      <c r="B16" s="5"/>
      <c r="C16" s="5"/>
      <c r="D16" s="5"/>
      <c r="E16" s="5"/>
      <c r="F16" s="5"/>
      <c r="H16" s="6"/>
    </row>
    <row r="17" spans="1:15" ht="15.6" customHeight="1" x14ac:dyDescent="0.2">
      <c r="A17" s="5"/>
      <c r="B17" s="5"/>
      <c r="C17" s="5"/>
      <c r="D17" s="5"/>
      <c r="E17" s="5"/>
      <c r="F17" s="5"/>
      <c r="H17" s="6"/>
    </row>
    <row r="18" spans="1:15" ht="15.6" customHeight="1" x14ac:dyDescent="0.2">
      <c r="A18" s="5"/>
      <c r="B18" s="5"/>
      <c r="C18" s="5"/>
      <c r="D18" s="5"/>
      <c r="E18" s="5"/>
      <c r="F18" s="5"/>
      <c r="H18" s="6"/>
    </row>
    <row r="19" spans="1:15" ht="16.5" customHeight="1" x14ac:dyDescent="0.2">
      <c r="A19" s="7" t="s">
        <v>2</v>
      </c>
      <c r="B19" s="8" t="s">
        <v>3</v>
      </c>
      <c r="C19" s="8" t="s">
        <v>4</v>
      </c>
      <c r="D19" s="8" t="s">
        <v>5</v>
      </c>
      <c r="E19" s="8" t="s">
        <v>6</v>
      </c>
      <c r="F19" s="8" t="s">
        <v>7</v>
      </c>
      <c r="H19" s="6"/>
    </row>
    <row r="20" spans="1:15" s="10" customFormat="1" ht="19.899999999999999" customHeight="1" x14ac:dyDescent="0.2">
      <c r="A20" s="9" t="s">
        <v>8</v>
      </c>
      <c r="B20"/>
      <c r="C20"/>
      <c r="D20"/>
      <c r="H20" s="11"/>
    </row>
    <row r="21" spans="1:15" ht="3" customHeight="1" x14ac:dyDescent="0.2">
      <c r="A21" s="12"/>
      <c r="H21" s="6"/>
    </row>
    <row r="22" spans="1:15" ht="13.5" customHeight="1" x14ac:dyDescent="0.2">
      <c r="A22" s="13" t="s">
        <v>9</v>
      </c>
      <c r="B22" s="14">
        <f>IF('[1]Data 4.1'!B87=0," ",'[1]Data 4.1'!B87)</f>
        <v>18675.8</v>
      </c>
      <c r="C22" s="14">
        <f>IF('[1]Data 4.1'!B99=0," ",'[1]Data 4.1'!B99)</f>
        <v>19592.5</v>
      </c>
      <c r="D22" s="14">
        <f>IF('[1]Data 4.1'!B111=0," ",'[1]Data 4.1'!B111)</f>
        <v>20332.8</v>
      </c>
      <c r="E22" s="14">
        <f>IF('[1]Data 4.1'!B123=0," ",'[1]Data 4.1'!B123)</f>
        <v>20666.5</v>
      </c>
      <c r="F22" s="14">
        <f>IF('[1]Data 4.1'!B135=0," ",'[1]Data 4.1'!B135)</f>
        <v>21409.9</v>
      </c>
      <c r="H22" s="6"/>
      <c r="N22" s="15"/>
      <c r="O22" s="15"/>
    </row>
    <row r="23" spans="1:15" ht="10.5" customHeight="1" x14ac:dyDescent="0.2">
      <c r="A23" s="13" t="s">
        <v>10</v>
      </c>
      <c r="B23" s="14">
        <f>IF('[1]Data 4.1'!B88=0," ",'[1]Data 4.1'!B88)</f>
        <v>18599.599999999999</v>
      </c>
      <c r="C23" s="14">
        <f>IF('[1]Data 4.1'!B100=0," ",'[1]Data 4.1'!B100)</f>
        <v>19633.2</v>
      </c>
      <c r="D23" s="14">
        <f>IF('[1]Data 4.1'!B112=0," ",'[1]Data 4.1'!B112)</f>
        <v>20385.8</v>
      </c>
      <c r="E23" s="14">
        <f>IF('[1]Data 4.1'!B124=0," ",'[1]Data 4.1'!B124)</f>
        <v>20779.400000000001</v>
      </c>
      <c r="F23" s="14">
        <f>IF('[1]Data 4.1'!B136=0," ",'[1]Data 4.1'!B136)</f>
        <v>21461.8</v>
      </c>
      <c r="H23" s="6"/>
      <c r="N23" s="15"/>
    </row>
    <row r="24" spans="1:15" ht="10.5" customHeight="1" x14ac:dyDescent="0.2">
      <c r="A24" s="13" t="s">
        <v>11</v>
      </c>
      <c r="B24" s="14">
        <f>IF('[1]Data 4.1'!B89=0," ",'[1]Data 4.1'!B89)</f>
        <v>18517.2</v>
      </c>
      <c r="C24" s="14">
        <f>IF('[1]Data 4.1'!B101=0," ",'[1]Data 4.1'!B101)</f>
        <v>19644.599999999999</v>
      </c>
      <c r="D24" s="14">
        <f>IF('[1]Data 4.1'!B113=0," ",'[1]Data 4.1'!B113)</f>
        <v>20390.900000000001</v>
      </c>
      <c r="E24" s="14">
        <f>IF('[1]Data 4.1'!B125=0," ",'[1]Data 4.1'!B125)</f>
        <v>20845.900000000001</v>
      </c>
      <c r="F24" s="14">
        <f>IF('[1]Data 4.1'!B137=0," ",'[1]Data 4.1'!B137)</f>
        <v>21552.7</v>
      </c>
      <c r="H24" s="6"/>
      <c r="N24" s="15"/>
    </row>
    <row r="25" spans="1:15" ht="13.5" customHeight="1" x14ac:dyDescent="0.2">
      <c r="A25" s="13" t="s">
        <v>12</v>
      </c>
      <c r="B25" s="14">
        <f>IF('[1]Data 4.1'!B90=0," ",'[1]Data 4.1'!B90)</f>
        <v>18713.099999999999</v>
      </c>
      <c r="C25" s="14">
        <f>IF('[1]Data 4.1'!B102=0," ",'[1]Data 4.1'!B102)</f>
        <v>19767.599999999999</v>
      </c>
      <c r="D25" s="14">
        <f>IF('[1]Data 4.1'!B114=0," ",'[1]Data 4.1'!B114)</f>
        <v>20220.5</v>
      </c>
      <c r="E25" s="14">
        <f>IF('[1]Data 4.1'!B126=0," ",'[1]Data 4.1'!B126)</f>
        <v>20890.2</v>
      </c>
      <c r="F25" s="14">
        <f>IF('[1]Data 4.1'!B138=0," ",'[1]Data 4.1'!B138)</f>
        <v>21535.9</v>
      </c>
      <c r="H25" s="6"/>
      <c r="N25" s="15"/>
    </row>
    <row r="26" spans="1:15" ht="10.5" customHeight="1" x14ac:dyDescent="0.2">
      <c r="A26" s="13" t="s">
        <v>13</v>
      </c>
      <c r="B26" s="14">
        <f>IF('[1]Data 4.1'!B91=0," ",'[1]Data 4.1'!B91)</f>
        <v>18760.3</v>
      </c>
      <c r="C26" s="14">
        <f>IF('[1]Data 4.1'!B103=0," ",'[1]Data 4.1'!B103)</f>
        <v>20125.5</v>
      </c>
      <c r="D26" s="14">
        <f>IF('[1]Data 4.1'!B115=0," ",'[1]Data 4.1'!B115)</f>
        <v>20332.8</v>
      </c>
      <c r="E26" s="14">
        <f>IF('[1]Data 4.1'!B127=0," ",'[1]Data 4.1'!B127)</f>
        <v>20941.400000000001</v>
      </c>
      <c r="F26" s="14">
        <f>IF('[1]Data 4.1'!B139=0," ",'[1]Data 4.1'!B139)</f>
        <v>21510</v>
      </c>
      <c r="H26" s="6"/>
      <c r="N26" s="15"/>
    </row>
    <row r="27" spans="1:15" ht="10.5" customHeight="1" x14ac:dyDescent="0.2">
      <c r="A27" s="13" t="s">
        <v>14</v>
      </c>
      <c r="B27" s="14">
        <f>IF('[1]Data 4.1'!B92=0," ",'[1]Data 4.1'!B92)</f>
        <v>19530.2</v>
      </c>
      <c r="C27" s="14">
        <f>IF('[1]Data 4.1'!B104=0," ",'[1]Data 4.1'!B104)</f>
        <v>19985.599999999999</v>
      </c>
      <c r="D27" s="14">
        <f>IF('[1]Data 4.1'!B116=0," ",'[1]Data 4.1'!B116)</f>
        <v>20415.400000000001</v>
      </c>
      <c r="E27" s="14">
        <f>IF('[1]Data 4.1'!B128=0," ",'[1]Data 4.1'!B128)</f>
        <v>20927</v>
      </c>
      <c r="F27" s="14">
        <f>IF('[1]Data 4.1'!B140=0," ",'[1]Data 4.1'!B140)</f>
        <v>21412.400000000001</v>
      </c>
      <c r="H27" s="6"/>
      <c r="N27" s="15"/>
    </row>
    <row r="28" spans="1:15" ht="13.5" customHeight="1" x14ac:dyDescent="0.2">
      <c r="A28" s="16" t="s">
        <v>15</v>
      </c>
      <c r="B28" s="14">
        <f>IF('[1]Data 4.1'!B93=0," ",'[1]Data 4.1'!B93)</f>
        <v>19486.900000000001</v>
      </c>
      <c r="C28" s="14">
        <f>IF('[1]Data 4.1'!B105=0," ",'[1]Data 4.1'!B105)</f>
        <v>20079.7</v>
      </c>
      <c r="D28" s="14">
        <f>IF('[1]Data 4.1'!B117=0," ",'[1]Data 4.1'!B117)</f>
        <v>20425.099999999999</v>
      </c>
      <c r="E28" s="14">
        <f>IF('[1]Data 4.1'!B129=0," ",'[1]Data 4.1'!B129)</f>
        <v>20998.9</v>
      </c>
      <c r="F28" s="14">
        <f>IF('[1]Data 4.1'!B141=0," ",'[1]Data 4.1'!B141)</f>
        <v>21666.400000000001</v>
      </c>
      <c r="H28" s="6"/>
      <c r="N28" s="15"/>
    </row>
    <row r="29" spans="1:15" s="10" customFormat="1" ht="10.5" customHeight="1" x14ac:dyDescent="0.2">
      <c r="A29" s="13" t="s">
        <v>16</v>
      </c>
      <c r="B29" s="14">
        <f>IF('[1]Data 4.1'!B94=0," ",'[1]Data 4.1'!B94)</f>
        <v>19210.3</v>
      </c>
      <c r="C29" s="14">
        <f>IF('[1]Data 4.1'!B106=0," ",'[1]Data 4.1'!B106)</f>
        <v>19886.599999999999</v>
      </c>
      <c r="D29" s="14">
        <f>IF('[1]Data 4.1'!B118=0," ",'[1]Data 4.1'!B118)</f>
        <v>20613.599999999999</v>
      </c>
      <c r="E29" s="14">
        <f>IF('[1]Data 4.1'!B130=0," ",'[1]Data 4.1'!B130)</f>
        <v>20987.9</v>
      </c>
      <c r="F29" s="14">
        <f>IF('[1]Data 4.1'!B142=0," ",'[1]Data 4.1'!B142)</f>
        <v>21949.9</v>
      </c>
      <c r="H29" s="11"/>
    </row>
    <row r="30" spans="1:15" ht="10.5" customHeight="1" x14ac:dyDescent="0.2">
      <c r="A30" s="13" t="s">
        <v>17</v>
      </c>
      <c r="B30" s="14">
        <f>IF('[1]Data 4.1'!B95=0," ",'[1]Data 4.1'!B95)</f>
        <v>19700.8</v>
      </c>
      <c r="C30" s="14">
        <f>IF('[1]Data 4.1'!B107=0," ",'[1]Data 4.1'!B107)</f>
        <v>19978.2</v>
      </c>
      <c r="D30" s="14">
        <f>IF('[1]Data 4.1'!B119=0," ",'[1]Data 4.1'!B119)</f>
        <v>20476.599999999999</v>
      </c>
      <c r="E30" s="14">
        <f>IF('[1]Data 4.1'!B131=0," ",'[1]Data 4.1'!B131)</f>
        <v>21183.7</v>
      </c>
      <c r="F30" s="14" t="str">
        <f>IF('[1]Data 4.1'!B143=0," ",'[1]Data 4.1'!B143)</f>
        <v xml:space="preserve"> </v>
      </c>
      <c r="H30" s="6"/>
    </row>
    <row r="31" spans="1:15" ht="13.5" customHeight="1" x14ac:dyDescent="0.2">
      <c r="A31" s="13" t="s">
        <v>18</v>
      </c>
      <c r="B31" s="14">
        <f>IF('[1]Data 4.1'!B96=0," ",'[1]Data 4.1'!B96)</f>
        <v>19764.900000000001</v>
      </c>
      <c r="C31" s="14">
        <f>IF('[1]Data 4.1'!B108=0," ",'[1]Data 4.1'!B108)</f>
        <v>20109</v>
      </c>
      <c r="D31" s="14">
        <f>IF('[1]Data 4.1'!B120=0," ",'[1]Data 4.1'!B120)</f>
        <v>20679.900000000001</v>
      </c>
      <c r="E31" s="14">
        <f>IF('[1]Data 4.1'!B132=0," ",'[1]Data 4.1'!B132)</f>
        <v>21204.1</v>
      </c>
      <c r="F31" s="14" t="str">
        <f>IF('[1]Data 4.1'!B144=0," ",'[1]Data 4.1'!B144)</f>
        <v xml:space="preserve"> </v>
      </c>
      <c r="H31" s="6"/>
    </row>
    <row r="32" spans="1:15" ht="10.5" customHeight="1" x14ac:dyDescent="0.2">
      <c r="A32" s="13" t="s">
        <v>19</v>
      </c>
      <c r="B32" s="14">
        <f>IF('[1]Data 4.1'!B97=0," ",'[1]Data 4.1'!B97)</f>
        <v>19941.3</v>
      </c>
      <c r="C32" s="14">
        <f>IF('[1]Data 4.1'!B109=0," ",'[1]Data 4.1'!B109)</f>
        <v>20150.900000000001</v>
      </c>
      <c r="D32" s="14">
        <f>IF('[1]Data 4.1'!B121=0," ",'[1]Data 4.1'!B121)</f>
        <v>20582.8</v>
      </c>
      <c r="E32" s="14">
        <f>IF('[1]Data 4.1'!B133=0," ",'[1]Data 4.1'!B133)</f>
        <v>21316.9</v>
      </c>
      <c r="F32" s="14" t="str">
        <f>IF('[1]Data 4.1'!B145=0," ",'[1]Data 4.1'!B145)</f>
        <v xml:space="preserve"> </v>
      </c>
      <c r="H32" s="6"/>
    </row>
    <row r="33" spans="1:15" ht="10.5" customHeight="1" x14ac:dyDescent="0.2">
      <c r="A33" s="13" t="s">
        <v>20</v>
      </c>
      <c r="B33" s="14">
        <f>IF('[1]Data 4.1'!B98=0," ",'[1]Data 4.1'!B98)</f>
        <v>19814.2</v>
      </c>
      <c r="C33" s="14">
        <f>IF('[1]Data 4.1'!B110=0," ",'[1]Data 4.1'!B110)</f>
        <v>20225.3</v>
      </c>
      <c r="D33" s="14">
        <f>IF('[1]Data 4.1'!B122=0," ",'[1]Data 4.1'!B122)</f>
        <v>20493.400000000001</v>
      </c>
      <c r="E33" s="14">
        <f>IF('[1]Data 4.1'!B134=0," ",'[1]Data 4.1'!B134)</f>
        <v>21543.1</v>
      </c>
      <c r="F33" s="14" t="str">
        <f>IF('[1]Data 4.1'!B146=0," ",'[1]Data 4.1'!B146)</f>
        <v xml:space="preserve"> </v>
      </c>
      <c r="H33" s="6"/>
    </row>
    <row r="34" spans="1:15" ht="11.1" customHeight="1" x14ac:dyDescent="0.2">
      <c r="A34" s="13"/>
      <c r="B34" s="14"/>
      <c r="C34" s="14"/>
      <c r="D34" s="14"/>
      <c r="H34" s="6"/>
    </row>
    <row r="35" spans="1:15" x14ac:dyDescent="0.2">
      <c r="A35" s="13" t="s">
        <v>21</v>
      </c>
      <c r="B35" s="14">
        <f>IF('[1]Data 4.1'!C98=0,"",'[1]Data 4.1'!C98)</f>
        <v>230597.8</v>
      </c>
      <c r="C35" s="14">
        <f>IF('[1]Data 4.1'!C110=0,"",'[1]Data 4.1'!C110)</f>
        <v>239133.8</v>
      </c>
      <c r="D35" s="14">
        <f>IF('[1]Data 4.1'!C122=0,"",'[1]Data 4.1'!C122)</f>
        <v>245346.5</v>
      </c>
      <c r="E35" s="14">
        <f>IF('[1]Data 4.1'!C134=0,"",'[1]Data 4.1'!C134)</f>
        <v>253020.69999999995</v>
      </c>
      <c r="H35" s="6"/>
    </row>
    <row r="36" spans="1:15" ht="10.5" customHeight="1" x14ac:dyDescent="0.2">
      <c r="A36" s="17"/>
      <c r="B36" s="18"/>
      <c r="C36" s="18"/>
      <c r="D36" s="18"/>
      <c r="E36" s="18"/>
      <c r="F36" s="18"/>
      <c r="H36" s="6"/>
      <c r="O36" s="14"/>
    </row>
    <row r="37" spans="1:15" ht="19.5" customHeight="1" x14ac:dyDescent="0.2">
      <c r="A37" s="9" t="s">
        <v>22</v>
      </c>
      <c r="H37" s="6"/>
    </row>
    <row r="38" spans="1:15" ht="3" customHeight="1" x14ac:dyDescent="0.2">
      <c r="A38" s="19"/>
      <c r="H38" s="6"/>
    </row>
    <row r="39" spans="1:15" ht="13.5" customHeight="1" x14ac:dyDescent="0.2">
      <c r="A39" s="13" t="s">
        <v>9</v>
      </c>
      <c r="B39" s="20">
        <f>IF('[1]Data 4.1'!D87=0," ",'[1]Data 4.1'!D87)</f>
        <v>4.0173772591829362</v>
      </c>
      <c r="C39" s="20">
        <f>IF('[1]Data 4.1'!D99=0," ",'[1]Data 4.1'!D99)</f>
        <v>4.9084912025187748</v>
      </c>
      <c r="D39" s="20">
        <f>IF('[1]Data 4.1'!D111=0," ",'[1]Data 4.1'!D111)</f>
        <v>3.7784866658159899</v>
      </c>
      <c r="E39" s="20">
        <f>IF('[1]Data 4.1'!D123=0," ",'[1]Data 4.1'!D123)</f>
        <v>1.6411905886056104</v>
      </c>
      <c r="F39" s="20">
        <f>IF('[1]Data 4.1'!D135=0," ",'[1]Data 4.1'!D135)</f>
        <v>3.5971257832724461</v>
      </c>
      <c r="H39" s="6"/>
    </row>
    <row r="40" spans="1:15" ht="10.5" customHeight="1" x14ac:dyDescent="0.2">
      <c r="A40" s="13" t="s">
        <v>10</v>
      </c>
      <c r="B40" s="20">
        <f>IF('[1]Data 4.1'!D88=0," ",'[1]Data 4.1'!D88)</f>
        <v>2.8955200761221676</v>
      </c>
      <c r="C40" s="20">
        <f>IF('[1]Data 4.1'!D100=0," ",'[1]Data 4.1'!D100)</f>
        <v>5.5571087550270022</v>
      </c>
      <c r="D40" s="20">
        <f>IF('[1]Data 4.1'!D112=0," ",'[1]Data 4.1'!D112)</f>
        <v>3.8333027728541396</v>
      </c>
      <c r="E40" s="20">
        <f>IF('[1]Data 4.1'!D124=0," ",'[1]Data 4.1'!D124)</f>
        <v>1.9307557221203098</v>
      </c>
      <c r="F40" s="20">
        <f>IF('[1]Data 4.1'!D136=0," ",'[1]Data 4.1'!D136)</f>
        <v>3.2840216753130278</v>
      </c>
      <c r="H40" s="6"/>
    </row>
    <row r="41" spans="1:15" ht="10.5" customHeight="1" x14ac:dyDescent="0.2">
      <c r="A41" s="13" t="s">
        <v>11</v>
      </c>
      <c r="B41" s="20">
        <f>IF('[1]Data 4.1'!D89=0," ",'[1]Data 4.1'!D89)</f>
        <v>1.5058243113608398</v>
      </c>
      <c r="C41" s="20">
        <f>IF('[1]Data 4.1'!D101=0," ",'[1]Data 4.1'!D101)</f>
        <v>6.088393493616735</v>
      </c>
      <c r="D41" s="20">
        <f>IF('[1]Data 4.1'!D113=0," ",'[1]Data 4.1'!D113)</f>
        <v>3.7990083788929354</v>
      </c>
      <c r="E41" s="20">
        <f>IF('[1]Data 4.1'!D125=0," ",'[1]Data 4.1'!D125)</f>
        <v>2.2313875307122402</v>
      </c>
      <c r="F41" s="20">
        <f>IF('[1]Data 4.1'!D137=0," ",'[1]Data 4.1'!D137)</f>
        <v>3.3905947932207283</v>
      </c>
      <c r="H41" s="6"/>
    </row>
    <row r="42" spans="1:15" ht="13.5" customHeight="1" x14ac:dyDescent="0.2">
      <c r="A42" s="13" t="s">
        <v>12</v>
      </c>
      <c r="B42" s="20">
        <f>IF('[1]Data 4.1'!D90=0," ",'[1]Data 4.1'!D90)</f>
        <v>2.3032178353141717</v>
      </c>
      <c r="C42" s="20">
        <f>IF('[1]Data 4.1'!D102=0," ",'[1]Data 4.1'!D102)</f>
        <v>5.635089856838249</v>
      </c>
      <c r="D42" s="20">
        <f>IF('[1]Data 4.1'!D114=0," ",'[1]Data 4.1'!D114)</f>
        <v>2.2911228474878271</v>
      </c>
      <c r="E42" s="20">
        <f>IF('[1]Data 4.1'!D126=0," ",'[1]Data 4.1'!D126)</f>
        <v>3.3119853613906827</v>
      </c>
      <c r="F42" s="20">
        <f>IF('[1]Data 4.1'!D138=0," ",'[1]Data 4.1'!D138)</f>
        <v>3.0909230165340631</v>
      </c>
      <c r="H42" s="6"/>
    </row>
    <row r="43" spans="1:15" ht="10.5" customHeight="1" x14ac:dyDescent="0.2">
      <c r="A43" s="13" t="s">
        <v>13</v>
      </c>
      <c r="B43" s="20">
        <f>IF('[1]Data 4.1'!D91=0," ",'[1]Data 4.1'!D91)</f>
        <v>1.9094128894876263</v>
      </c>
      <c r="C43" s="20">
        <f>IF('[1]Data 4.1'!D103=0," ",'[1]Data 4.1'!D103)</f>
        <v>7.2770691300245716</v>
      </c>
      <c r="D43" s="20">
        <f>IF('[1]Data 4.1'!D115=0," ",'[1]Data 4.1'!D115)</f>
        <v>1.0300365208317714</v>
      </c>
      <c r="E43" s="20">
        <f>IF('[1]Data 4.1'!D127=0," ",'[1]Data 4.1'!D127)</f>
        <v>2.9931932640856189</v>
      </c>
      <c r="F43" s="20">
        <f>IF('[1]Data 4.1'!D139=0," ",'[1]Data 4.1'!D139)</f>
        <v>2.7151957366747155</v>
      </c>
      <c r="H43" s="6"/>
    </row>
    <row r="44" spans="1:15" ht="10.5" customHeight="1" x14ac:dyDescent="0.2">
      <c r="A44" s="13" t="s">
        <v>14</v>
      </c>
      <c r="B44" s="20">
        <f>IF('[1]Data 4.1'!D92=0," ",'[1]Data 4.1'!D92)</f>
        <v>5.7223746961798696</v>
      </c>
      <c r="C44" s="20">
        <f>IF('[1]Data 4.1'!D104=0," ",'[1]Data 4.1'!D104)</f>
        <v>2.3317733561356135</v>
      </c>
      <c r="D44" s="20">
        <f>IF('[1]Data 4.1'!D116=0," ",'[1]Data 4.1'!D116)</f>
        <v>2.1505483948442929</v>
      </c>
      <c r="E44" s="20">
        <f>IF('[1]Data 4.1'!D128=0," ",'[1]Data 4.1'!D128)</f>
        <v>2.5059513896372323</v>
      </c>
      <c r="F44" s="20">
        <f>IF('[1]Data 4.1'!D140=0," ",'[1]Data 4.1'!D140)</f>
        <v>2.319491565919634</v>
      </c>
      <c r="H44" s="6"/>
    </row>
    <row r="45" spans="1:15" ht="13.5" customHeight="1" x14ac:dyDescent="0.2">
      <c r="A45" s="16" t="s">
        <v>15</v>
      </c>
      <c r="B45" s="20">
        <f>IF('[1]Data 4.1'!D93=0," ",'[1]Data 4.1'!D93)</f>
        <v>5.6853557211502164</v>
      </c>
      <c r="C45" s="20">
        <f>IF('[1]Data 4.1'!D105=0," ",'[1]Data 4.1'!D105)</f>
        <v>3.04204362930993</v>
      </c>
      <c r="D45" s="20">
        <f>IF('[1]Data 4.1'!D117=0," ",'[1]Data 4.1'!D117)</f>
        <v>1.7201452212931372</v>
      </c>
      <c r="E45" s="20">
        <f>IF('[1]Data 4.1'!D129=0," ",'[1]Data 4.1'!D129)</f>
        <v>2.8092885714145979</v>
      </c>
      <c r="F45" s="20">
        <f>IF('[1]Data 4.1'!D141=0," ",'[1]Data 4.1'!D141)</f>
        <v>3.1787379338917816</v>
      </c>
      <c r="H45" s="6"/>
    </row>
    <row r="46" spans="1:15" ht="10.5" customHeight="1" x14ac:dyDescent="0.2">
      <c r="A46" s="13" t="s">
        <v>16</v>
      </c>
      <c r="B46" s="20">
        <f>IF('[1]Data 4.1'!D94=0," ",'[1]Data 4.1'!D94)</f>
        <v>4.336325963099938</v>
      </c>
      <c r="C46" s="20">
        <f>IF('[1]Data 4.1'!D106=0," ",'[1]Data 4.1'!D106)</f>
        <v>3.5205072278933613</v>
      </c>
      <c r="D46" s="20">
        <f>IF('[1]Data 4.1'!D118=0," ",'[1]Data 4.1'!D118)</f>
        <v>3.6557279776331768</v>
      </c>
      <c r="E46" s="20">
        <f>IF('[1]Data 4.1'!D130=0," ",'[1]Data 4.1'!D130)</f>
        <v>1.8157915162805267</v>
      </c>
      <c r="F46" s="20">
        <f>IF('[1]Data 4.1'!D142=0," ",'[1]Data 4.1'!D142)</f>
        <v>4.5835934038183979</v>
      </c>
      <c r="H46" s="6"/>
    </row>
    <row r="47" spans="1:15" ht="10.5" customHeight="1" x14ac:dyDescent="0.2">
      <c r="A47" s="13" t="s">
        <v>17</v>
      </c>
      <c r="B47" s="20">
        <f>IF('[1]Data 4.1'!D95=0," ",'[1]Data 4.1'!D95)</f>
        <v>6.5778013405536342</v>
      </c>
      <c r="C47" s="20">
        <f>IF('[1]Data 4.1'!D107=0," ",'[1]Data 4.1'!D107)</f>
        <v>1.4080646471209377</v>
      </c>
      <c r="D47" s="20">
        <f>IF('[1]Data 4.1'!D119=0," ",'[1]Data 4.1'!D119)</f>
        <v>2.4947192439759363</v>
      </c>
      <c r="E47" s="20">
        <f>IF('[1]Data 4.1'!D131=0," ",'[1]Data 4.1'!D131)</f>
        <v>3.4532100055673283</v>
      </c>
      <c r="F47" s="20" t="str">
        <f>IF('[1]Data 4.1'!D143=0," ",'[1]Data 4.1'!D143)</f>
        <v xml:space="preserve"> </v>
      </c>
      <c r="H47" s="6"/>
    </row>
    <row r="48" spans="1:15" ht="13.5" customHeight="1" x14ac:dyDescent="0.2">
      <c r="A48" s="13" t="s">
        <v>18</v>
      </c>
      <c r="B48" s="20">
        <f>IF('[1]Data 4.1'!D96=0," ",'[1]Data 4.1'!D96)</f>
        <v>6.9401911027908056</v>
      </c>
      <c r="C48" s="20">
        <f>IF('[1]Data 4.1'!D108=0," ",'[1]Data 4.1'!D108)</f>
        <v>1.7409650440933149</v>
      </c>
      <c r="D48" s="20">
        <f>IF('[1]Data 4.1'!D120=0," ",'[1]Data 4.1'!D120)</f>
        <v>2.839027301208418</v>
      </c>
      <c r="E48" s="20">
        <f>IF('[1]Data 4.1'!D132=0," ",'[1]Data 4.1'!D132)</f>
        <v>2.5348285049734187</v>
      </c>
      <c r="F48" s="20" t="str">
        <f>IF('[1]Data 4.1'!D144=0," ",'[1]Data 4.1'!D144)</f>
        <v xml:space="preserve"> </v>
      </c>
      <c r="H48" s="6"/>
    </row>
    <row r="49" spans="1:15" ht="10.5" customHeight="1" x14ac:dyDescent="0.2">
      <c r="A49" s="13" t="s">
        <v>19</v>
      </c>
      <c r="B49" s="20">
        <f>IF('[1]Data 4.1'!D97=0," ",'[1]Data 4.1'!D97)</f>
        <v>7.6383716034588787</v>
      </c>
      <c r="C49" s="20">
        <f>IF('[1]Data 4.1'!D109=0," ",'[1]Data 4.1'!D109)</f>
        <v>1.051084934282116</v>
      </c>
      <c r="D49" s="20">
        <f>IF('[1]Data 4.1'!D121=0," ",'[1]Data 4.1'!D121)</f>
        <v>2.1433285858199866</v>
      </c>
      <c r="E49" s="20">
        <f>IF('[1]Data 4.1'!D133=0," ",'[1]Data 4.1'!D133)</f>
        <v>3.5665701459471251</v>
      </c>
      <c r="F49" s="20" t="str">
        <f>IF('[1]Data 4.1'!D145=0," ",'[1]Data 4.1'!D145)</f>
        <v xml:space="preserve"> </v>
      </c>
      <c r="H49" s="6"/>
    </row>
    <row r="50" spans="1:15" ht="10.5" customHeight="1" x14ac:dyDescent="0.2">
      <c r="A50" s="21" t="s">
        <v>20</v>
      </c>
      <c r="B50" s="20">
        <f>IF('[1]Data 4.1'!D98=0," ",'[1]Data 4.1'!D98)</f>
        <v>7.7772459258936806</v>
      </c>
      <c r="C50" s="20">
        <f>IF('[1]Data 4.1'!D110=0," ",'[1]Data 4.1'!D110)</f>
        <v>2.0747746565594269</v>
      </c>
      <c r="D50" s="20">
        <f>IF('[1]Data 4.1'!D122=0," ",'[1]Data 4.1'!D122)</f>
        <v>1.3255674823117687</v>
      </c>
      <c r="E50" s="20">
        <f>IF('[1]Data 4.1'!D134=0," ",'[1]Data 4.1'!D134)</f>
        <v>5.1221368830940577</v>
      </c>
      <c r="F50" s="20" t="str">
        <f>IF('[1]Data 4.1'!D146=0," ",'[1]Data 4.1'!D146)</f>
        <v xml:space="preserve"> </v>
      </c>
      <c r="H50" s="6"/>
    </row>
    <row r="51" spans="1:15" ht="11.1" customHeight="1" x14ac:dyDescent="0.2">
      <c r="A51" s="21"/>
      <c r="B51" s="22"/>
      <c r="C51" s="22"/>
      <c r="D51" s="22"/>
      <c r="H51" s="6"/>
    </row>
    <row r="52" spans="1:15" ht="11.1" customHeight="1" x14ac:dyDescent="0.2">
      <c r="A52" s="21" t="s">
        <v>21</v>
      </c>
      <c r="B52" s="22">
        <f>IF('[1]Data 4.1'!C98="","",(('[1]Data 4.1'!C98/'[1]Data 4.1'!C86)-1)*100)</f>
        <v>4.5710121491271183</v>
      </c>
      <c r="C52" s="22">
        <f>IF('[1]Data 4.1'!C110="","",(('[1]Data 4.1'!C110/'[1]Data 4.1'!C98)-1)*100)</f>
        <v>3.7016831903860403</v>
      </c>
      <c r="D52" s="22">
        <f>IF('[1]Data 4.1'!C122="","",(('[1]Data 4.1'!C122/'[1]Data 4.1'!C110)-1)*100)</f>
        <v>2.5980016208499324</v>
      </c>
      <c r="E52" s="22">
        <f>IF('[1]Data 4.1'!C134="","",(('[1]Data 4.1'!C134/'[1]Data 4.1'!C122)-1)*100)</f>
        <v>3.1279027823914118</v>
      </c>
      <c r="H52" s="6"/>
    </row>
    <row r="53" spans="1:15" ht="11.1" customHeight="1" x14ac:dyDescent="0.2">
      <c r="A53" s="23"/>
      <c r="B53" s="3"/>
      <c r="C53" s="3"/>
      <c r="D53" s="3"/>
      <c r="E53" s="3"/>
      <c r="F53" s="3"/>
      <c r="H53" s="6"/>
      <c r="O53" s="20"/>
    </row>
    <row r="54" spans="1:15" ht="8.1" customHeight="1" x14ac:dyDescent="0.2">
      <c r="A54" s="24"/>
      <c r="B54" s="5"/>
      <c r="C54" s="5"/>
      <c r="D54" s="5"/>
      <c r="E54" s="5"/>
      <c r="F54" s="5"/>
      <c r="G54" s="25"/>
      <c r="H54" s="26"/>
    </row>
    <row r="55" spans="1:15" ht="11.1" customHeight="1" x14ac:dyDescent="0.2">
      <c r="A55" s="27" t="s">
        <v>23</v>
      </c>
      <c r="B55" s="5"/>
      <c r="C55" s="5"/>
      <c r="D55" s="5"/>
      <c r="E55" s="5"/>
      <c r="F55" s="5"/>
      <c r="G55" s="25"/>
    </row>
    <row r="56" spans="1:15" ht="11.1" customHeight="1" x14ac:dyDescent="0.2">
      <c r="A56" s="27" t="s">
        <v>24</v>
      </c>
      <c r="B56" s="5"/>
      <c r="C56" s="5"/>
      <c r="D56" s="5"/>
      <c r="E56" s="5"/>
      <c r="F56" s="5"/>
      <c r="G56" s="25"/>
    </row>
    <row r="57" spans="1:15" ht="11.1" customHeight="1" x14ac:dyDescent="0.2">
      <c r="A57" s="27" t="s">
        <v>25</v>
      </c>
      <c r="G57" s="25"/>
    </row>
    <row r="58" spans="1:15" ht="11.1" customHeight="1" x14ac:dyDescent="0.2">
      <c r="A58" s="27" t="s">
        <v>26</v>
      </c>
      <c r="G58" s="25"/>
      <c r="I58" s="28" t="s">
        <v>27</v>
      </c>
    </row>
    <row r="59" spans="1:15" ht="11.1" customHeight="1" x14ac:dyDescent="0.2">
      <c r="A59" s="29" t="s">
        <v>28</v>
      </c>
      <c r="G59" s="25"/>
      <c r="I59" s="30">
        <f>'[2]4.1a Retail turnover - seas adj'!$B$40</f>
        <v>41400</v>
      </c>
      <c r="J59" s="31"/>
    </row>
    <row r="61" spans="1:15" x14ac:dyDescent="0.2">
      <c r="A61" s="32"/>
    </row>
  </sheetData>
  <mergeCells count="1">
    <mergeCell ref="I59:J59"/>
  </mergeCells>
  <hyperlinks>
    <hyperlink ref="A1" r:id="rId1"/>
    <hyperlink ref="A59" r:id="rId2" display="Source: ABS, Retail trade Australia, Cat. no. 8502.0"/>
  </hyperlinks>
  <printOptions horizontalCentered="1"/>
  <pageMargins left="0.82677165354330717" right="0.55118110236220474" top="0.98425196850393704" bottom="0.51181102362204722" header="0.59055118110236227" footer="0.59055118110236227"/>
  <pageSetup paperSize="9" orientation="portrait" r:id="rId3"/>
  <headerFooter alignWithMargins="0">
    <oddHeader>&amp;R&amp;"Times New Roman,Italic"Monthly statistical bulletin</oddHeader>
    <oddFooter>&amp;R&amp;"Times New Roman,Regular"&amp;12 19</oddFooter>
  </headerFooter>
  <drawing r:id="rId4"/>
  <legacyDrawing r:id="rId5"/>
  <oleObjects>
    <mc:AlternateContent xmlns:mc="http://schemas.openxmlformats.org/markup-compatibility/2006">
      <mc:Choice Requires="x14">
        <oleObject progId="Word.Document.8" shapeId="1025" r:id="rId6">
          <objectPr defaultSize="0" r:id="rId7">
            <anchor moveWithCells="1">
              <from>
                <xdr:col>8</xdr:col>
                <xdr:colOff>0</xdr:colOff>
                <xdr:row>4</xdr:row>
                <xdr:rowOff>47625</xdr:rowOff>
              </from>
              <to>
                <xdr:col>11</xdr:col>
                <xdr:colOff>66675</xdr:colOff>
                <xdr:row>54</xdr:row>
                <xdr:rowOff>114300</xdr:rowOff>
              </to>
            </anchor>
          </objectPr>
        </oleObject>
      </mc:Choice>
      <mc:Fallback>
        <oleObject progId="Word.Document.8" shapeId="1025" r:id="rId6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Table 4.1</vt:lpstr>
      <vt:lpstr>'Table 4.1'!Print_Area</vt:lpstr>
    </vt:vector>
  </TitlesOfParts>
  <Company>Parliament of Australia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Maryanne Lawless</dc:creator>
  <cp:lastModifiedBy>Maryanne Lawless</cp:lastModifiedBy>
  <dcterms:created xsi:type="dcterms:W3CDTF">2013-05-02T23:05:06Z</dcterms:created>
  <dcterms:modified xsi:type="dcterms:W3CDTF">2013-05-02T23:05:17Z</dcterms:modified>
</cp:coreProperties>
</file>