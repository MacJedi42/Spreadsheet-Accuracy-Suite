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60" windowWidth="11340" windowHeight="5010" tabRatio="931"/>
  </bookViews>
  <sheets>
    <sheet name="Index &amp; Totals" sheetId="17" r:id="rId1"/>
    <sheet name="Salaries" sheetId="2" r:id="rId2"/>
    <sheet name="Benefits" sheetId="19" r:id="rId3"/>
    <sheet name="Supplies" sheetId="4" r:id="rId4"/>
    <sheet name="Printing" sheetId="5" r:id="rId5"/>
    <sheet name="Equipment" sheetId="6" r:id="rId6"/>
    <sheet name="Depreciation" sheetId="7" r:id="rId7"/>
    <sheet name="Staff Training" sheetId="8" r:id="rId8"/>
    <sheet name="Provider Training" sheetId="9" r:id="rId9"/>
    <sheet name="Contracted Services" sheetId="10" r:id="rId10"/>
    <sheet name="In-State Travel" sheetId="13" r:id="rId11"/>
    <sheet name="Out-State Travel" sheetId="14" r:id="rId12"/>
    <sheet name="Occupancy" sheetId="11" r:id="rId13"/>
    <sheet name="Communications" sheetId="12" r:id="rId14"/>
    <sheet name="Alt Funding Source" sheetId="15" r:id="rId15"/>
    <sheet name="Carry Over" sheetId="18" r:id="rId16"/>
  </sheets>
  <definedNames>
    <definedName name="_xlnm.Print_Area" localSheetId="14">'Alt Funding Source'!$A$22:$N$39</definedName>
    <definedName name="_xlnm.Print_Area" localSheetId="13">Communications!$A$1:$H$36</definedName>
    <definedName name="_xlnm.Print_Area" localSheetId="0">'Index &amp; Totals'!$A$1:$I$34</definedName>
    <definedName name="_xlnm.Print_Area" localSheetId="1">Salaries!$A$1:$N$21</definedName>
    <definedName name="_xlnm.Print_Area" localSheetId="7">'Staff Training'!$A$1:$N$19</definedName>
    <definedName name="_xlnm.Print_Area" localSheetId="3">Supplies!$A$1:$L$24</definedName>
  </definedNames>
  <calcPr calcId="145621"/>
</workbook>
</file>

<file path=xl/calcChain.xml><?xml version="1.0" encoding="utf-8"?>
<calcChain xmlns="http://schemas.openxmlformats.org/spreadsheetml/2006/main">
  <c r="L10" i="19" l="1"/>
  <c r="L32" i="19" l="1"/>
  <c r="L31" i="19"/>
  <c r="L30" i="19"/>
  <c r="L29" i="19"/>
  <c r="L28" i="19"/>
  <c r="L27" i="19"/>
  <c r="L26" i="19"/>
  <c r="L25" i="19"/>
  <c r="L24" i="19"/>
  <c r="L23" i="19"/>
  <c r="L22" i="19"/>
  <c r="L21" i="19"/>
  <c r="L20" i="19"/>
  <c r="L19" i="19"/>
  <c r="L18" i="19"/>
  <c r="L17" i="19"/>
  <c r="L16" i="19"/>
  <c r="L15" i="19"/>
  <c r="L14" i="19"/>
  <c r="L13" i="19"/>
  <c r="L12" i="19"/>
  <c r="L11" i="19"/>
  <c r="L33" i="19"/>
  <c r="C10" i="17" s="1"/>
  <c r="F20" i="15" l="1"/>
  <c r="F19" i="15"/>
  <c r="F18" i="15"/>
  <c r="F17" i="15"/>
  <c r="F16" i="15"/>
  <c r="F15" i="15"/>
  <c r="F14" i="15"/>
  <c r="F13" i="15"/>
  <c r="F12" i="15"/>
  <c r="F10" i="15"/>
  <c r="H51" i="18" l="1"/>
  <c r="C38" i="18"/>
  <c r="B38" i="18"/>
  <c r="H37" i="18"/>
  <c r="G37" i="18"/>
  <c r="F37" i="18"/>
  <c r="E37" i="18"/>
  <c r="D37" i="18" s="1"/>
  <c r="H36" i="18"/>
  <c r="G36" i="18"/>
  <c r="F36" i="18"/>
  <c r="E36" i="18"/>
  <c r="H35" i="18"/>
  <c r="G35" i="18"/>
  <c r="F35" i="18"/>
  <c r="E35" i="18"/>
  <c r="D35" i="18"/>
  <c r="H34" i="18"/>
  <c r="G34" i="18"/>
  <c r="F34" i="18"/>
  <c r="E34" i="18"/>
  <c r="D34" i="18" s="1"/>
  <c r="H33" i="18"/>
  <c r="F33" i="18"/>
  <c r="G33" i="18" s="1"/>
  <c r="E33" i="18"/>
  <c r="H32" i="18"/>
  <c r="F32" i="18"/>
  <c r="E32" i="18"/>
  <c r="H31" i="18"/>
  <c r="F31" i="18"/>
  <c r="G31" i="18" s="1"/>
  <c r="E31" i="18"/>
  <c r="H30" i="18"/>
  <c r="F30" i="18"/>
  <c r="G30" i="18" s="1"/>
  <c r="E30" i="18"/>
  <c r="H29" i="18"/>
  <c r="F29" i="18"/>
  <c r="E29" i="18"/>
  <c r="H28" i="18"/>
  <c r="F28" i="18"/>
  <c r="E28" i="18"/>
  <c r="H27" i="18"/>
  <c r="F27" i="18"/>
  <c r="E27" i="18"/>
  <c r="H26" i="18"/>
  <c r="G26" i="18"/>
  <c r="F26" i="18"/>
  <c r="E26" i="18"/>
  <c r="D26" i="18" s="1"/>
  <c r="E21" i="18"/>
  <c r="D20" i="18"/>
  <c r="D22" i="18" s="1"/>
  <c r="C20" i="18"/>
  <c r="C22" i="18" s="1"/>
  <c r="B20" i="18"/>
  <c r="B22" i="18" s="1"/>
  <c r="E19" i="18"/>
  <c r="E18" i="18"/>
  <c r="E17" i="18"/>
  <c r="E16" i="18"/>
  <c r="E15" i="18"/>
  <c r="E14" i="18"/>
  <c r="E13" i="18"/>
  <c r="E12" i="18"/>
  <c r="E11" i="18"/>
  <c r="E10" i="18"/>
  <c r="E9" i="18"/>
  <c r="E8" i="18"/>
  <c r="E7" i="18"/>
  <c r="G27" i="18" l="1"/>
  <c r="D27" i="18" s="1"/>
  <c r="G29" i="18"/>
  <c r="D30" i="18"/>
  <c r="D36" i="18"/>
  <c r="E20" i="18"/>
  <c r="E22" i="18" s="1"/>
  <c r="D40" i="18" s="1"/>
  <c r="D42" i="18" s="1"/>
  <c r="D46" i="18" s="1"/>
  <c r="D31" i="18"/>
  <c r="G28" i="18"/>
  <c r="D28" i="18" s="1"/>
  <c r="D29" i="18"/>
  <c r="G32" i="18"/>
  <c r="D32" i="18" s="1"/>
  <c r="D33" i="18"/>
  <c r="D38" i="18" l="1"/>
  <c r="D45" i="18" s="1"/>
  <c r="D49" i="18" s="1"/>
  <c r="D47" i="18" l="1"/>
  <c r="D51" i="18" s="1"/>
  <c r="H29" i="15" l="1"/>
  <c r="F30" i="15" l="1"/>
  <c r="H30" i="15" s="1"/>
  <c r="F31" i="15"/>
  <c r="H31" i="15" s="1"/>
  <c r="F32" i="15"/>
  <c r="H32" i="15" s="1"/>
  <c r="F33" i="15"/>
  <c r="H33" i="15" s="1"/>
  <c r="F34" i="15"/>
  <c r="H34" i="15" s="1"/>
  <c r="F35" i="15"/>
  <c r="H35" i="15" s="1"/>
  <c r="F36" i="15"/>
  <c r="H36" i="15" s="1"/>
  <c r="F37" i="15"/>
  <c r="H37" i="15" s="1"/>
  <c r="F38" i="15"/>
  <c r="H38" i="15" s="1"/>
  <c r="G39" i="15" l="1"/>
  <c r="K8" i="2" l="1"/>
  <c r="K9" i="2"/>
  <c r="M9" i="2" s="1"/>
  <c r="K10" i="2"/>
  <c r="M8" i="2"/>
  <c r="N8" i="2" s="1"/>
  <c r="K11" i="2"/>
  <c r="K12" i="2"/>
  <c r="M12" i="2" s="1"/>
  <c r="N12" i="2" s="1"/>
  <c r="K13" i="2"/>
  <c r="K14" i="2"/>
  <c r="M14" i="2" s="1"/>
  <c r="N14" i="2" s="1"/>
  <c r="K15" i="2"/>
  <c r="K16" i="2"/>
  <c r="M16" i="2" s="1"/>
  <c r="N16" i="2" s="1"/>
  <c r="K17" i="2"/>
  <c r="K18" i="2"/>
  <c r="M18" i="2" s="1"/>
  <c r="N18" i="2" s="1"/>
  <c r="M10" i="2"/>
  <c r="N10" i="2" s="1"/>
  <c r="M11" i="2"/>
  <c r="N11" i="2" s="1"/>
  <c r="M13" i="2"/>
  <c r="N13" i="2"/>
  <c r="M15" i="2"/>
  <c r="N15" i="2"/>
  <c r="M17" i="2"/>
  <c r="N17" i="2"/>
  <c r="F6" i="4"/>
  <c r="H6" i="4" s="1"/>
  <c r="E6" i="5"/>
  <c r="G6" i="5" s="1"/>
  <c r="E7" i="5"/>
  <c r="G7" i="5" s="1"/>
  <c r="H10" i="6"/>
  <c r="F19" i="6"/>
  <c r="I7" i="7"/>
  <c r="L6" i="8"/>
  <c r="N6" i="8" s="1"/>
  <c r="L7" i="8"/>
  <c r="N7" i="8" s="1"/>
  <c r="L8" i="8"/>
  <c r="N8" i="8" s="1"/>
  <c r="L9" i="8"/>
  <c r="N9" i="8" s="1"/>
  <c r="L10" i="8"/>
  <c r="N10" i="8" s="1"/>
  <c r="L11" i="8"/>
  <c r="N11" i="8" s="1"/>
  <c r="L12" i="8"/>
  <c r="N12" i="8" s="1"/>
  <c r="L13" i="8"/>
  <c r="N13" i="8" s="1"/>
  <c r="L14" i="8"/>
  <c r="N14" i="8" s="1"/>
  <c r="L15" i="8"/>
  <c r="N15" i="8" s="1"/>
  <c r="L16" i="8"/>
  <c r="N16" i="8" s="1"/>
  <c r="L17" i="8"/>
  <c r="N17" i="8" s="1"/>
  <c r="L5" i="9"/>
  <c r="N5" i="9" s="1"/>
  <c r="L6" i="9"/>
  <c r="N6" i="9" s="1"/>
  <c r="L7" i="9"/>
  <c r="N7" i="9" s="1"/>
  <c r="L8" i="9"/>
  <c r="N8" i="9" s="1"/>
  <c r="L9" i="9"/>
  <c r="N9" i="9" s="1"/>
  <c r="L10" i="9"/>
  <c r="N10" i="9" s="1"/>
  <c r="L11" i="9"/>
  <c r="N11" i="9" s="1"/>
  <c r="L12" i="9"/>
  <c r="N12" i="9" s="1"/>
  <c r="L13" i="9"/>
  <c r="N13" i="9" s="1"/>
  <c r="L14" i="9"/>
  <c r="N14" i="9" s="1"/>
  <c r="L15" i="9"/>
  <c r="N15" i="9" s="1"/>
  <c r="L16" i="9"/>
  <c r="N16" i="9" s="1"/>
  <c r="I9" i="10"/>
  <c r="I10" i="10"/>
  <c r="I11" i="10"/>
  <c r="I12" i="10"/>
  <c r="I13" i="10"/>
  <c r="I14" i="10"/>
  <c r="I15" i="10"/>
  <c r="I16" i="10"/>
  <c r="I17" i="10"/>
  <c r="I18" i="10"/>
  <c r="I19" i="10"/>
  <c r="I20" i="10"/>
  <c r="I21" i="10"/>
  <c r="I22" i="10"/>
  <c r="I23" i="10"/>
  <c r="I24" i="10"/>
  <c r="I25" i="10"/>
  <c r="H8" i="13"/>
  <c r="F13" i="12"/>
  <c r="F14" i="12"/>
  <c r="F15" i="12"/>
  <c r="F16" i="12"/>
  <c r="F17" i="12"/>
  <c r="F18" i="12"/>
  <c r="F19" i="12"/>
  <c r="F20" i="12"/>
  <c r="F21" i="12"/>
  <c r="F22" i="12"/>
  <c r="F23" i="12"/>
  <c r="F24" i="12"/>
  <c r="F25" i="12"/>
  <c r="F26" i="12"/>
  <c r="F27" i="12"/>
  <c r="F28" i="12"/>
  <c r="F29" i="12"/>
  <c r="F30" i="12"/>
  <c r="F31" i="12"/>
  <c r="F12" i="12"/>
  <c r="F32" i="12" s="1"/>
  <c r="C21" i="17" s="1"/>
  <c r="I24" i="11"/>
  <c r="I25" i="11"/>
  <c r="I23" i="11"/>
  <c r="F10" i="11"/>
  <c r="F19" i="11" s="1"/>
  <c r="F11" i="11"/>
  <c r="F12" i="11"/>
  <c r="F13" i="11"/>
  <c r="F14" i="11"/>
  <c r="F15" i="11"/>
  <c r="F16" i="11"/>
  <c r="F17" i="11"/>
  <c r="F18" i="11"/>
  <c r="F9" i="11"/>
  <c r="E8" i="7"/>
  <c r="E9" i="7"/>
  <c r="E10" i="7"/>
  <c r="E11" i="7"/>
  <c r="E12" i="7"/>
  <c r="E13" i="7"/>
  <c r="E14" i="7"/>
  <c r="E15" i="7"/>
  <c r="E16" i="7"/>
  <c r="E17" i="7"/>
  <c r="E18" i="7"/>
  <c r="E19" i="7"/>
  <c r="E20" i="7"/>
  <c r="E21" i="7"/>
  <c r="E22" i="7"/>
  <c r="E7" i="7"/>
  <c r="E16" i="5"/>
  <c r="G16" i="5" s="1"/>
  <c r="I8" i="7"/>
  <c r="F22" i="4"/>
  <c r="F21" i="4"/>
  <c r="F20" i="4"/>
  <c r="F19" i="4"/>
  <c r="F18" i="4"/>
  <c r="F17" i="4"/>
  <c r="F16" i="4"/>
  <c r="H16" i="4" s="1"/>
  <c r="F15" i="4"/>
  <c r="H15" i="4" s="1"/>
  <c r="F14" i="4"/>
  <c r="H14" i="4" s="1"/>
  <c r="F13" i="4"/>
  <c r="H13" i="4" s="1"/>
  <c r="F12" i="4"/>
  <c r="H12" i="4" s="1"/>
  <c r="F11" i="4"/>
  <c r="H11" i="4" s="1"/>
  <c r="F10" i="4"/>
  <c r="H10" i="4" s="1"/>
  <c r="F9" i="4"/>
  <c r="H9" i="4" s="1"/>
  <c r="F8" i="4"/>
  <c r="H8" i="4" s="1"/>
  <c r="F7" i="4"/>
  <c r="H7" i="4" s="1"/>
  <c r="E21" i="5"/>
  <c r="G21" i="5" s="1"/>
  <c r="E20" i="5"/>
  <c r="G20" i="5" s="1"/>
  <c r="E19" i="5"/>
  <c r="G19" i="5" s="1"/>
  <c r="E18" i="5"/>
  <c r="G18" i="5" s="1"/>
  <c r="E17" i="5"/>
  <c r="G17" i="5" s="1"/>
  <c r="E15" i="5"/>
  <c r="G15" i="5" s="1"/>
  <c r="E14" i="5"/>
  <c r="G14" i="5" s="1"/>
  <c r="E13" i="5"/>
  <c r="G13" i="5" s="1"/>
  <c r="E12" i="5"/>
  <c r="G12" i="5" s="1"/>
  <c r="E11" i="5"/>
  <c r="G11" i="5" s="1"/>
  <c r="E10" i="5"/>
  <c r="G10" i="5" s="1"/>
  <c r="E9" i="5"/>
  <c r="G9" i="5" s="1"/>
  <c r="E8" i="5"/>
  <c r="G8" i="5" s="1"/>
  <c r="F22" i="6"/>
  <c r="F21" i="6"/>
  <c r="F20" i="6"/>
  <c r="H14" i="6"/>
  <c r="H13" i="6"/>
  <c r="H12" i="6"/>
  <c r="H11" i="6"/>
  <c r="M14" i="14"/>
  <c r="M13" i="14"/>
  <c r="M12" i="14"/>
  <c r="M11" i="14"/>
  <c r="M10" i="14"/>
  <c r="M9" i="14"/>
  <c r="M8" i="14"/>
  <c r="M7" i="14"/>
  <c r="M6" i="14"/>
  <c r="M15" i="14" s="1"/>
  <c r="C19" i="17" s="1"/>
  <c r="M5" i="14"/>
  <c r="L17" i="9"/>
  <c r="K18" i="8"/>
  <c r="J18" i="8"/>
  <c r="I18" i="8"/>
  <c r="H18" i="8"/>
  <c r="G18" i="8"/>
  <c r="F18" i="8"/>
  <c r="E18" i="8"/>
  <c r="D18" i="8"/>
  <c r="H17" i="4"/>
  <c r="I22" i="7"/>
  <c r="I21" i="7"/>
  <c r="I20" i="7"/>
  <c r="I19" i="7"/>
  <c r="I18" i="7"/>
  <c r="I17" i="7"/>
  <c r="I16" i="7"/>
  <c r="I15" i="7"/>
  <c r="I14" i="7"/>
  <c r="I13" i="7"/>
  <c r="I12" i="7"/>
  <c r="I11" i="7"/>
  <c r="I10" i="7"/>
  <c r="I9" i="7"/>
  <c r="H23" i="13"/>
  <c r="H22" i="13"/>
  <c r="H21" i="13"/>
  <c r="H20" i="13"/>
  <c r="H19" i="13"/>
  <c r="H18" i="13"/>
  <c r="H17" i="13"/>
  <c r="H16" i="13"/>
  <c r="H15" i="13"/>
  <c r="H14" i="13"/>
  <c r="H13" i="13"/>
  <c r="H12" i="13"/>
  <c r="H11" i="13"/>
  <c r="H10" i="13"/>
  <c r="H9" i="13"/>
  <c r="L18" i="8"/>
  <c r="F23" i="6" l="1"/>
  <c r="H15" i="6"/>
  <c r="H24" i="13"/>
  <c r="C18" i="17" s="1"/>
  <c r="I28" i="11"/>
  <c r="I30" i="11" s="1"/>
  <c r="C20" i="17" s="1"/>
  <c r="I26" i="10"/>
  <c r="C17" i="17" s="1"/>
  <c r="F39" i="15"/>
  <c r="I23" i="7"/>
  <c r="C14" i="17" s="1"/>
  <c r="N9" i="2"/>
  <c r="N19" i="2" s="1"/>
  <c r="C9" i="17" s="1"/>
  <c r="N18" i="9"/>
  <c r="C16" i="17" s="1"/>
  <c r="N19" i="8"/>
  <c r="C15" i="17" s="1"/>
  <c r="G22" i="5"/>
  <c r="C12" i="17" s="1"/>
  <c r="H23" i="4"/>
  <c r="C11" i="17" s="1"/>
  <c r="C27" i="17" l="1"/>
  <c r="H39" i="15"/>
  <c r="F25" i="6"/>
  <c r="C13" i="17" s="1"/>
  <c r="C24" i="17"/>
  <c r="C29" i="17" s="1"/>
  <c r="E27" i="17" s="1"/>
</calcChain>
</file>

<file path=xl/comments1.xml><?xml version="1.0" encoding="utf-8"?>
<comments xmlns="http://schemas.openxmlformats.org/spreadsheetml/2006/main">
  <authors>
    <author>schurack</author>
  </authors>
  <commentList>
    <comment ref="D1" authorId="0">
      <text>
        <r>
          <rPr>
            <sz val="8"/>
            <color indexed="81"/>
            <rFont val="Tahoma"/>
            <family val="2"/>
          </rPr>
          <t xml:space="preserve">Prior approval is needed for travel and registration fees for attending meetings and conferences devoted solely to the CACFP
</t>
        </r>
      </text>
    </comment>
    <comment ref="E1" authorId="0">
      <text>
        <r>
          <rPr>
            <sz val="8"/>
            <color indexed="81"/>
            <rFont val="Tahoma"/>
            <family val="2"/>
          </rPr>
          <t xml:space="preserve">Specific Prior Written (SPWA) is needed to prorate a share of travel and registration fees when the CACFP is only a portion of a larger CACFP related agenda
</t>
        </r>
      </text>
    </comment>
  </commentList>
</comments>
</file>

<file path=xl/comments2.xml><?xml version="1.0" encoding="utf-8"?>
<comments xmlns="http://schemas.openxmlformats.org/spreadsheetml/2006/main">
  <authors>
    <author>schurack</author>
  </authors>
  <commentList>
    <comment ref="E1" authorId="0">
      <text>
        <r>
          <rPr>
            <sz val="8"/>
            <color indexed="81"/>
            <rFont val="Tahoma"/>
            <family val="2"/>
          </rPr>
          <t>Prior approval is needed for travel and registration fees for attending meetings and conferences devoted solely to the CACFP. Specific Prior Written approval is needed to prorate a share of travel and registration fees when the CACFP is only a protion of a larger CACFP related agenda</t>
        </r>
      </text>
    </comment>
  </commentList>
</comments>
</file>

<file path=xl/comments3.xml><?xml version="1.0" encoding="utf-8"?>
<comments xmlns="http://schemas.openxmlformats.org/spreadsheetml/2006/main">
  <authors>
    <author>DEBRAH</author>
  </authors>
  <commentList>
    <comment ref="A3" authorId="0">
      <text>
        <r>
          <rPr>
            <sz val="10"/>
            <color indexed="81"/>
            <rFont val="Tahoma"/>
            <family val="2"/>
          </rPr>
          <t xml:space="preserve">Costs to pursue administrative and judicial recovery of funds requires specific prior written approval
</t>
        </r>
      </text>
    </comment>
    <comment ref="A5" authorId="0">
      <text>
        <r>
          <rPr>
            <b/>
            <sz val="10"/>
            <color indexed="81"/>
            <rFont val="Tahoma"/>
            <family val="2"/>
          </rPr>
          <t>Costs for services performed by individuals who are not officers, employees or member of the institution requires specific prior written approval</t>
        </r>
      </text>
    </comment>
    <comment ref="A6" authorId="0">
      <text>
        <r>
          <rPr>
            <sz val="10"/>
            <color indexed="81"/>
            <rFont val="Tahoma"/>
            <family val="2"/>
          </rPr>
          <t xml:space="preserve">"Stop payment" Charges and Program account reconciliation and analysis fees must have specific prior written approval.
</t>
        </r>
      </text>
    </comment>
    <comment ref="A7" authorId="0">
      <text>
        <r>
          <rPr>
            <sz val="10"/>
            <color indexed="81"/>
            <rFont val="Tahoma"/>
            <family val="2"/>
          </rPr>
          <t xml:space="preserve">the costs of studies directly related to the program requires specific prior approval.
</t>
        </r>
      </text>
    </comment>
  </commentList>
</comments>
</file>

<file path=xl/comments4.xml><?xml version="1.0" encoding="utf-8"?>
<comments xmlns="http://schemas.openxmlformats.org/spreadsheetml/2006/main">
  <authors>
    <author>schurack</author>
  </authors>
  <commentList>
    <comment ref="A1" authorId="0">
      <text>
        <r>
          <rPr>
            <sz val="8"/>
            <color indexed="81"/>
            <rFont val="Tahoma"/>
            <family val="2"/>
          </rPr>
          <t xml:space="preserve">Prior approval is needed for travel and registration fees for attending meetings and conferences devoted solely to the CACFP
</t>
        </r>
      </text>
    </comment>
    <comment ref="E1" authorId="0">
      <text>
        <r>
          <rPr>
            <sz val="8"/>
            <color indexed="81"/>
            <rFont val="Tahoma"/>
            <family val="2"/>
          </rPr>
          <t>Specific prior Written approval is needed to prorate a share of travel and registration fees when the CACFP is only a potion of a larger CACFP  related agenda</t>
        </r>
      </text>
    </comment>
  </commentList>
</comments>
</file>

<file path=xl/comments5.xml><?xml version="1.0" encoding="utf-8"?>
<comments xmlns="http://schemas.openxmlformats.org/spreadsheetml/2006/main">
  <authors>
    <author>schurack</author>
  </authors>
  <commentList>
    <comment ref="A22" authorId="0">
      <text>
        <r>
          <rPr>
            <sz val="8"/>
            <color indexed="81"/>
            <rFont val="Tahoma"/>
            <family val="2"/>
          </rPr>
          <t xml:space="preserve">
The costs of insurance required by the State agency that are identified in the insitution's program agreement and maintained pursuant to that program agreement requires Specific Prior Written Approval (SPWA)</t>
        </r>
      </text>
    </comment>
  </commentList>
</comments>
</file>

<file path=xl/comments6.xml><?xml version="1.0" encoding="utf-8"?>
<comments xmlns="http://schemas.openxmlformats.org/spreadsheetml/2006/main">
  <authors>
    <author>DEBRAH</author>
  </authors>
  <commentList>
    <comment ref="A12" authorId="0">
      <text>
        <r>
          <rPr>
            <sz val="10"/>
            <color indexed="81"/>
            <rFont val="Tahoma"/>
            <family val="2"/>
          </rPr>
          <t xml:space="preserve">Public relation costs which are costs for pamphlets, news releases and other information service must have prior approval.
</t>
        </r>
      </text>
    </comment>
    <comment ref="A17" authorId="0">
      <text>
        <r>
          <rPr>
            <sz val="10"/>
            <color indexed="81"/>
            <rFont val="Tahoma"/>
            <family val="2"/>
          </rPr>
          <t xml:space="preserve">Cell Phones leased or owned by the insitution must have prior approval. List line item for each phone or number of phones for a particular position title. Example 7-Monitors
</t>
        </r>
      </text>
    </comment>
    <comment ref="A18" authorId="0">
      <text>
        <r>
          <rPr>
            <sz val="10"/>
            <color indexed="81"/>
            <rFont val="Tahoma"/>
            <family val="2"/>
          </rPr>
          <t xml:space="preserve">Cell Phones leased or owned by the insitution must have prior approval.
</t>
        </r>
      </text>
    </comment>
    <comment ref="A19" authorId="0">
      <text>
        <r>
          <rPr>
            <sz val="10"/>
            <color indexed="81"/>
            <rFont val="Tahoma"/>
            <family val="2"/>
          </rPr>
          <t xml:space="preserve">Cell Phones leased or owned by the insitution must have prior approval.
</t>
        </r>
      </text>
    </comment>
    <comment ref="A20" authorId="0">
      <text>
        <r>
          <rPr>
            <b/>
            <sz val="10"/>
            <color indexed="81"/>
            <rFont val="Tahoma"/>
            <family val="2"/>
          </rPr>
          <t>The costs of public and not for profit insitution memberships in civic or community organizaitons would need specific prior written approval of FNSRO</t>
        </r>
      </text>
    </comment>
  </commentList>
</comments>
</file>

<file path=xl/sharedStrings.xml><?xml version="1.0" encoding="utf-8"?>
<sst xmlns="http://schemas.openxmlformats.org/spreadsheetml/2006/main" count="386" uniqueCount="309">
  <si>
    <t>Salaries</t>
  </si>
  <si>
    <t>Benefits</t>
  </si>
  <si>
    <t>Supplies</t>
  </si>
  <si>
    <t>Printing</t>
  </si>
  <si>
    <t>Equipment</t>
  </si>
  <si>
    <t>Depreciation</t>
  </si>
  <si>
    <t>Staff Training</t>
  </si>
  <si>
    <t>Provider Training</t>
  </si>
  <si>
    <t>Contracted Services</t>
  </si>
  <si>
    <t>Occupancy</t>
  </si>
  <si>
    <t>Communications</t>
  </si>
  <si>
    <t>In-State Travel</t>
  </si>
  <si>
    <t>Out state travel</t>
  </si>
  <si>
    <t>Sponsor Name:</t>
  </si>
  <si>
    <t>Sponsor ID:</t>
  </si>
  <si>
    <t>Fiscal Year:</t>
  </si>
  <si>
    <t>Employee Name</t>
  </si>
  <si>
    <t>Mileage</t>
  </si>
  <si>
    <t>Lodging</t>
  </si>
  <si>
    <t>Meals</t>
  </si>
  <si>
    <t>Total Annual</t>
  </si>
  <si>
    <t xml:space="preserve">Total </t>
  </si>
  <si>
    <t>Rate</t>
  </si>
  <si>
    <t>Cost to CACFP</t>
  </si>
  <si>
    <t>Total IN-STATE Travel</t>
  </si>
  <si>
    <t>Purpose of Travel</t>
  </si>
  <si>
    <t>Travel Purpose</t>
  </si>
  <si>
    <t>Airfare</t>
  </si>
  <si>
    <t xml:space="preserve"> Total OUT-STATE Travel</t>
  </si>
  <si>
    <t>Taxes</t>
  </si>
  <si>
    <t>Provide information for ALL CACFP-related employees.</t>
  </si>
  <si>
    <t>Health Insurance</t>
  </si>
  <si>
    <t>Dental Insurance</t>
  </si>
  <si>
    <t>Life Insurance</t>
  </si>
  <si>
    <t>Retirement</t>
  </si>
  <si>
    <t>Type of Service</t>
  </si>
  <si>
    <t>% Allocated to CACFP</t>
  </si>
  <si>
    <t>Total Contracted Services</t>
  </si>
  <si>
    <t>Company Name</t>
  </si>
  <si>
    <t>Total Annual Cost to CACFP</t>
  </si>
  <si>
    <t>Mileage Rate</t>
  </si>
  <si>
    <t>Ground Transport</t>
  </si>
  <si>
    <t>Total Annual Cost</t>
  </si>
  <si>
    <t>Include the following types of communication-related expenses</t>
  </si>
  <si>
    <t>•  Dues, subscription, memberships, etc.</t>
  </si>
  <si>
    <t>•  Advertising media, ie, newspapers, magazines, radio, television, direct mail and similar goods</t>
  </si>
  <si>
    <t>•  Telephone expenses, ie, monthly service charges, long distance charges, cell phones, pagers, Internet charges, etc.</t>
  </si>
  <si>
    <t>•  Postage charges, ie, stamps, bulk mailings, certified mail charges, monthly postage meter costs, etc.  The cost of</t>
  </si>
  <si>
    <t xml:space="preserve">    the postage meter should be listed with leased equipment.</t>
  </si>
  <si>
    <t>Item</t>
  </si>
  <si>
    <t xml:space="preserve">Purpose (indicate if </t>
  </si>
  <si>
    <t>Quantity</t>
  </si>
  <si>
    <t>for a group or individual)</t>
  </si>
  <si>
    <t>to CACFP</t>
  </si>
  <si>
    <t>Advertising</t>
  </si>
  <si>
    <t>Telephone</t>
  </si>
  <si>
    <t>Internet Service</t>
  </si>
  <si>
    <t>Cell Phone</t>
  </si>
  <si>
    <t>Postage</t>
  </si>
  <si>
    <t>Shipping (UPS, FedEx, etc)</t>
  </si>
  <si>
    <t>Other (Specify)</t>
  </si>
  <si>
    <t xml:space="preserve">    Monthly  Service Charge</t>
  </si>
  <si>
    <t xml:space="preserve">    Long Distance Charge</t>
  </si>
  <si>
    <t>Total Cost to CACFP</t>
  </si>
  <si>
    <t>Utilities/Office Space</t>
  </si>
  <si>
    <t>Annual Cost to CACFP</t>
  </si>
  <si>
    <t>Cleaning Cost</t>
  </si>
  <si>
    <t>Utilities</t>
  </si>
  <si>
    <t>*Office Rental Lease (Rented Facility)</t>
  </si>
  <si>
    <t xml:space="preserve">**Other (Specify) </t>
  </si>
  <si>
    <t>Sub-Total Utilities/Office Space</t>
  </si>
  <si>
    <t>lawn mowing</t>
  </si>
  <si>
    <t>Snow removal</t>
  </si>
  <si>
    <t>*Office Rental Depreciation (Owned Facility)</t>
  </si>
  <si>
    <t>Insurance</t>
  </si>
  <si>
    <t>Type of Insurance</t>
  </si>
  <si>
    <t>Policy Number</t>
  </si>
  <si>
    <t>Monthly Amt to Organization</t>
  </si>
  <si>
    <t>Total Amount to CACFP</t>
  </si>
  <si>
    <t>Property/Casualty</t>
  </si>
  <si>
    <t>Liability</t>
  </si>
  <si>
    <t>Sub-Total Insurance</t>
  </si>
  <si>
    <t>Total Occupancy</t>
  </si>
  <si>
    <t>Effective Date</t>
  </si>
  <si>
    <t>Cost/Unit</t>
  </si>
  <si>
    <t>Purchase Date</t>
  </si>
  <si>
    <t xml:space="preserve">List cost of printing services.  </t>
  </si>
  <si>
    <t>Total PRINTING</t>
  </si>
  <si>
    <t xml:space="preserve">Do NOT include cost of  copying (cost of copying should be listed under "Supplies") </t>
  </si>
  <si>
    <t xml:space="preserve">Printing costs are services paid for printing forms, brochures, monitoring forms and newsletters.   </t>
  </si>
  <si>
    <t>Purchased Equipment</t>
  </si>
  <si>
    <t>Rented/Leased Equipment</t>
  </si>
  <si>
    <t>List all rented/leased equipment.  Attach or send copies of all equipment leases.</t>
  </si>
  <si>
    <t>Total Cost</t>
  </si>
  <si>
    <t>Sub-Total Rented/Leased Equipment</t>
  </si>
  <si>
    <t xml:space="preserve"> Total EQUIPMENT</t>
  </si>
  <si>
    <t>life of more than one year and an acquisition cost of $5,000 or more per unit.</t>
  </si>
  <si>
    <t>Bank charges may be listed here.  Include a copy of bank agreement of applicable charges to be placed in the management plan with FNS.</t>
  </si>
  <si>
    <t>If position is hourly place an "X" in this box</t>
  </si>
  <si>
    <t>Daily work hours (include beginning &amp; end times)</t>
  </si>
  <si>
    <t>For Hourly Employees</t>
  </si>
  <si>
    <t>Gross Hourly rate (before deductions)</t>
  </si>
  <si>
    <t>Nature of Increase</t>
  </si>
  <si>
    <t>Total Work Hours per month</t>
  </si>
  <si>
    <t>Total Work Hours for CACFP per month</t>
  </si>
  <si>
    <t>Percent of Total Work Hours for CACFP</t>
  </si>
  <si>
    <t>Total Required Employer Taxes per month*</t>
  </si>
  <si>
    <t xml:space="preserve">Total Annual Cost to CACFP ** * </t>
  </si>
  <si>
    <t>Include a copy of newinsurance policies or renewed  insurance policies.</t>
  </si>
  <si>
    <t>Enter the above totals into your sponsor application in CLiCS</t>
  </si>
  <si>
    <t xml:space="preserve"> Total Staff Training </t>
  </si>
  <si>
    <t xml:space="preserve"> Total Provider Training </t>
  </si>
  <si>
    <t># of months service will be provided</t>
  </si>
  <si>
    <t xml:space="preserve"> Cost Facility Rental</t>
  </si>
  <si>
    <t>Cost Training Supplies</t>
  </si>
  <si>
    <t xml:space="preserve">Cost Equipment </t>
  </si>
  <si>
    <t>Cost Meals</t>
  </si>
  <si>
    <t>Cost Registation Fees</t>
  </si>
  <si>
    <t>Cost  Milage</t>
  </si>
  <si>
    <t xml:space="preserve"> Cost Lodging</t>
  </si>
  <si>
    <t>Cost Other</t>
  </si>
  <si>
    <t>Annual Cost</t>
  </si>
  <si>
    <t>Total Supplies</t>
  </si>
  <si>
    <t>Expected Purchase Date</t>
  </si>
  <si>
    <t xml:space="preserve">Total Annual Cost to CACFP </t>
  </si>
  <si>
    <t xml:space="preserve"> Quanity</t>
  </si>
  <si>
    <t>Printing Item</t>
  </si>
  <si>
    <t>Total  Cost to CACFP</t>
  </si>
  <si>
    <t xml:space="preserve">Cost for contracted services may be charged over the period of the contract.  </t>
  </si>
  <si>
    <t>Total Cost Provider Training</t>
  </si>
  <si>
    <t>Total Cost Staff Training</t>
  </si>
  <si>
    <t>Annual Costs</t>
  </si>
  <si>
    <t xml:space="preserve">Beginning / Ending Dates </t>
  </si>
  <si>
    <t>* Note: Total cost (see equation) does not include the amount for Registration Fee</t>
  </si>
  <si>
    <t>Type of Equipment Purchased</t>
  </si>
  <si>
    <t xml:space="preserve">Company Name </t>
  </si>
  <si>
    <t>Total  CACFP Salaries</t>
  </si>
  <si>
    <t xml:space="preserve"> Supply Item</t>
  </si>
  <si>
    <t>Indicate the following information regarding office space:</t>
  </si>
  <si>
    <t xml:space="preserve">* If office space is rented or leased. If more than one office is rented/leased, provide information on all offices. Attach a copy of each new or renewal lease agreement that includes name of lessor, relationship of lessor to lessee, contact information, length of agreement, beginning and ending dates of agreement, total square footage of office space, and, if office space is utilized for non-CACFP purposes, description of allocation method.
* If office space is partially or fully owned by the organization or its administrative personnel. Attach an explanation that details the method for determining the monthly use fee.  NOTE: Costs associated with less than arms lengths lease arrangements are limited to depreciation or use allowance.
* If office maintenance is included in rental or lease agreement.
* If utilities are included in rental or lease agreement.
</t>
  </si>
  <si>
    <t>COL</t>
  </si>
  <si>
    <t>Total</t>
  </si>
  <si>
    <t>GRAND Total of CACFP Administrative Budget</t>
  </si>
  <si>
    <t>Budget Detail Worksheet and contracts are to be placed in section V8 of your management plan binder</t>
  </si>
  <si>
    <t xml:space="preserve">Submit a copy of this entire budget detail worksheet electronically to FNS </t>
  </si>
  <si>
    <t>Source or Company Name</t>
  </si>
  <si>
    <t>Printing Company Name</t>
  </si>
  <si>
    <t xml:space="preserve">Quantity </t>
  </si>
  <si>
    <t>% of cost allocated to CACFP</t>
  </si>
  <si>
    <t>Complete Description of Equipment or Item to Depreciate (Specify model #)</t>
  </si>
  <si>
    <t>Cost per Item</t>
  </si>
  <si>
    <t>Total Annual DEPRECIATION</t>
  </si>
  <si>
    <t>List all equipment that your sponsorship owns or will purchase with other funds and is not directly expensing that is considered nonexpendable property with a useful</t>
  </si>
  <si>
    <t>Number or Letter for each contract listed for FNS Matching purposes</t>
  </si>
  <si>
    <t xml:space="preserve">List below all contracted or paid services for administrative and operating functions not performed by any organization personnel.  </t>
  </si>
  <si>
    <t xml:space="preserve">Total Monthly Cost </t>
  </si>
  <si>
    <t>Number of Months</t>
  </si>
  <si>
    <t>Note:  Cell Phones leased or owned by the insitution must have prior approval. List a line item for each phone or indicate number of phones for a particular position title. Example 7-Monitors and then the total cost for all 7 monitoring phones.</t>
  </si>
  <si>
    <t>Dues/Memberships:</t>
  </si>
  <si>
    <t>Subscription(s):</t>
  </si>
  <si>
    <t>FDCH Detail Budget Worsheet Summary - to be transcribed into CLiCS</t>
  </si>
  <si>
    <t>Instructions:</t>
  </si>
  <si>
    <t>Family Day Care Home Budget Worksheet</t>
  </si>
  <si>
    <t xml:space="preserve">Edit check for "other funding" values </t>
  </si>
  <si>
    <t xml:space="preserve">CACFP Admin Costs for Reimbursement </t>
  </si>
  <si>
    <t>Identification of other funding sources. Please list other funding sources below:</t>
  </si>
  <si>
    <t>Position Title</t>
  </si>
  <si>
    <t>Merit</t>
  </si>
  <si>
    <t>Do Not Enter values in any field that is shaded Yellow. These fields are calculated based on detailed entries. Only make entries to the tabbed worksheets. Be sure to remove any sample cost items.</t>
  </si>
  <si>
    <t>Assign a number or letter to each contract to be placed in the management plan behind tab V8. Clearly display the number or letter on the copy of the contract for matching purposes.</t>
  </si>
  <si>
    <t xml:space="preserve">Copies of all contracts must be on file at FNS. Sponsors are responsible to ensure updated copies are submitted to FNS annually or whenever the contract is revised or renewed.   </t>
  </si>
  <si>
    <t>Contracted services must be directly related to the CACFP or the expense will be disallowed.</t>
  </si>
  <si>
    <t>Contract Begin Date</t>
  </si>
  <si>
    <t>Contract End Date</t>
  </si>
  <si>
    <t xml:space="preserve"> Contract/Policy Number if Applicable </t>
  </si>
  <si>
    <t>Employee Name: First and Last</t>
  </si>
  <si>
    <t>List expenses incurred for program monitoring and all other program-related activities.</t>
  </si>
  <si>
    <t>Include mileage for facility reviews and other local travel required to manage the program.</t>
  </si>
  <si>
    <t>Maximum allowable rate is current state rate.</t>
  </si>
  <si>
    <t xml:space="preserve">Quanity of Purchase Units </t>
  </si>
  <si>
    <t>Annual Cost of Supply</t>
  </si>
  <si>
    <t>1.  List any equipment over $5,000 that you intend to purchase in the upcoming fiscal year and maintain documentation of three bids/quotes and justification of need for each item.  If you are a private organization and plan on purchasing equipment over $100,000, additional procurement steps must be followed (see procurement worksheet in management plan binder).  If you are a public organization, state threshold requirements and procedures must be followed.                                                                                                                                                                                            2.  For all items you intend to purchase later, which are not included here, please provide a written request.  Certain expenditures require specific prior written approval.</t>
  </si>
  <si>
    <t>Durable Supplies Purchased over $5000</t>
  </si>
  <si>
    <t>Life Expectancy of Equipment (Years)</t>
  </si>
  <si>
    <t xml:space="preserve"> Cost of Equipment</t>
  </si>
  <si>
    <t>Type of Equipment Rented/Leased</t>
  </si>
  <si>
    <t>Estimated Total Annual Cost</t>
  </si>
  <si>
    <t>Life Expectancy (Years)</t>
  </si>
  <si>
    <t>Annual Amount to Depreciate</t>
  </si>
  <si>
    <t>Facility Rental</t>
  </si>
  <si>
    <t>Training Supplies</t>
  </si>
  <si>
    <t>Registation Fees</t>
  </si>
  <si>
    <t>Other</t>
  </si>
  <si>
    <t xml:space="preserve">Include travel related costs for attendance at staff training as well as any costs incurred to conduct training. </t>
  </si>
  <si>
    <t xml:space="preserve">Attach copies of training report forms and agendas when required training is held. The records will maintained in your organization's management plan. </t>
  </si>
  <si>
    <t>Examples of training supplies include paper, brochures, folders, handouts, etc.</t>
  </si>
  <si>
    <t>Milage Cost</t>
  </si>
  <si>
    <t>Equipment Costs</t>
  </si>
  <si>
    <t>Date(s) of Training</t>
  </si>
  <si>
    <t>Title and Description of Training Session</t>
  </si>
  <si>
    <t>STAFF TRAINING</t>
  </si>
  <si>
    <t>List each training separately using the same title as the corresponding training form provided for inclusion in the management plan.</t>
  </si>
  <si>
    <t>Travel and transportation costs for daycare home providers are not allowable administrative costs to CACFP.</t>
  </si>
  <si>
    <t xml:space="preserve">Provider Training Title and Description </t>
  </si>
  <si>
    <t>Cost of living increases in pay must be based on current, generally acepted statistical data. Provide explanation in cost allocation plan.</t>
  </si>
  <si>
    <t>Provide information for all CACFP-related employees.  If you have employees that are not paid based on a monthly salary or hourly rate, please attach additional information (i.e., dollar rate per home).</t>
  </si>
  <si>
    <t xml:space="preserve">For all employees, if salaries are increased since last year provide the following for each applicable employee: Date increase is effective; percentage and nature of increase. </t>
  </si>
  <si>
    <t>For Salaried Employees</t>
  </si>
  <si>
    <t>Gross Monthly Rate (before deductions)</t>
  </si>
  <si>
    <t>Annual Percentage of Increase</t>
  </si>
  <si>
    <t>(Cost-of-living or Merit)</t>
  </si>
  <si>
    <t xml:space="preserve">Total Employer Taxes Paid Per month by CACFP.             </t>
  </si>
  <si>
    <t>BENEFITS</t>
  </si>
  <si>
    <t>SUPPLIES</t>
  </si>
  <si>
    <t>PRINTING</t>
  </si>
  <si>
    <t>EQUIPMENT</t>
  </si>
  <si>
    <t>DEPRECIATION</t>
  </si>
  <si>
    <t>PROVIDER TRAINING</t>
  </si>
  <si>
    <t>CONTRACTED SERVICES</t>
  </si>
  <si>
    <t>IN-STATE TRAVEL</t>
  </si>
  <si>
    <t>OCCUPANCY</t>
  </si>
  <si>
    <t>COMMUNICATIONS</t>
  </si>
  <si>
    <t xml:space="preserve"> OUT-OF-STATE TRAVEL </t>
  </si>
  <si>
    <t>SALARIES</t>
  </si>
  <si>
    <t>100000___________</t>
  </si>
  <si>
    <t>Amount</t>
  </si>
  <si>
    <t>Alternate Funding Source</t>
  </si>
  <si>
    <t>Make sure that the items listed below are not already accounted for in any other area of the FDCH budget.</t>
  </si>
  <si>
    <t xml:space="preserve">The total cost of these funds should match the amount of $$ identified by CACFP Reimbursement (including carry forward amounts) minus </t>
  </si>
  <si>
    <t>Make sure that the items listed below are not already accounted for in any other area of the budget.</t>
  </si>
  <si>
    <t>Cost</t>
  </si>
  <si>
    <t xml:space="preserve">Expenditures of ALTERNATE FUNDING SOURCE for CACFP Admin </t>
  </si>
  <si>
    <t>ALTERNATE FUNDING SOURCE Description</t>
  </si>
  <si>
    <t>Carry Over</t>
  </si>
  <si>
    <t>% Allocated to FDCH Admin Costs</t>
  </si>
  <si>
    <t>FDCH Admin Amount</t>
  </si>
  <si>
    <t>MINNESOTA DEPARTMENT OF EDUCATION</t>
  </si>
  <si>
    <t>Calculation of FDCA Sponsor Administrative Expense Carryforward</t>
  </si>
  <si>
    <t>For the Federal Year Ending September 30, 2012</t>
  </si>
  <si>
    <t>Budget</t>
  </si>
  <si>
    <t>Actual Y-T-D as of:</t>
  </si>
  <si>
    <t>Projected Remaining Expenses Through 09/30/12</t>
  </si>
  <si>
    <t>Projected Total Administrative Costs</t>
  </si>
  <si>
    <t>07/01/11-06/30/12</t>
  </si>
  <si>
    <t>07/01/12-06/30/13</t>
  </si>
  <si>
    <t>Actual Costs</t>
  </si>
  <si>
    <t>Homes, 0-50</t>
  </si>
  <si>
    <t>Wages &amp; Salaries</t>
  </si>
  <si>
    <t>Homes, 51-200</t>
  </si>
  <si>
    <t>Employee Benefits</t>
  </si>
  <si>
    <t>Homes, 201-1,000</t>
  </si>
  <si>
    <t>Homes, Over 1,000</t>
  </si>
  <si>
    <t>Rates effective July 1, 2012 are estimates</t>
  </si>
  <si>
    <t>until USDA publishes new rates.</t>
  </si>
  <si>
    <t>1) Include all costs that have been claimed in</t>
  </si>
  <si>
    <t>CLiCS</t>
  </si>
  <si>
    <t>2)  Estimate costs to be incurred through the end</t>
  </si>
  <si>
    <t>Out-of-State Travel</t>
  </si>
  <si>
    <t>of September, 2012.</t>
  </si>
  <si>
    <t>Rent &amp; Occupancy</t>
  </si>
  <si>
    <t>3)  Enter estimates in green shaded cells only.</t>
  </si>
  <si>
    <t>Claim Total</t>
  </si>
  <si>
    <t>Income/Rev Adjust</t>
  </si>
  <si>
    <t>Adjusted Total</t>
  </si>
  <si>
    <t>Month</t>
  </si>
  <si>
    <t>Actual Homes Sponsored</t>
  </si>
  <si>
    <t>Projected Homes Sponsored</t>
  </si>
  <si>
    <t>Projected Homes Times Rate</t>
  </si>
  <si>
    <t>Projected administrative costs</t>
  </si>
  <si>
    <t>Prior year (FFY 2011) carryforward</t>
  </si>
  <si>
    <t>Projected current year expenditures (net of carryforward)</t>
  </si>
  <si>
    <t>Estimated Costs in Excess of Administrative Reimbursement</t>
  </si>
  <si>
    <r>
      <t>Note:</t>
    </r>
    <r>
      <rPr>
        <sz val="11"/>
        <color theme="1"/>
        <rFont val="Gill Sans MT"/>
        <family val="2"/>
      </rPr>
      <t xml:space="preserve"> </t>
    </r>
    <r>
      <rPr>
        <i/>
        <sz val="8"/>
        <rFont val="Tahoma"/>
        <family val="2"/>
      </rPr>
      <t xml:space="preserve"> If the estimated administrative costs exceed the</t>
    </r>
  </si>
  <si>
    <t>projected administrative reimbursement (homes times rate), the</t>
  </si>
  <si>
    <t>Estimated homes times rate</t>
  </si>
  <si>
    <t>sponsoring organization must identify the source of non-CACFP</t>
  </si>
  <si>
    <t>funds needed to fully fund administrative costs:</t>
  </si>
  <si>
    <t>Projected FDCH administrative funds in excess of homes times rate</t>
  </si>
  <si>
    <t>Source:</t>
  </si>
  <si>
    <t>Maximum allowable carryforward (10% homes times rate)</t>
  </si>
  <si>
    <t>Estimated administrative carryforward</t>
  </si>
  <si>
    <t>Total funding, non-CACFP sources</t>
  </si>
  <si>
    <t>Other: Identify</t>
  </si>
  <si>
    <t xml:space="preserve">Employee </t>
  </si>
  <si>
    <t>Name</t>
  </si>
  <si>
    <t>Monthly</t>
  </si>
  <si>
    <t xml:space="preserve">Cost to </t>
  </si>
  <si>
    <t>Amt Paid  by</t>
  </si>
  <si>
    <t>CACFP***</t>
  </si>
  <si>
    <t>CACFP*</t>
  </si>
  <si>
    <t>CACFP**</t>
  </si>
  <si>
    <t xml:space="preserve">Total Benefits </t>
  </si>
  <si>
    <t>*Do not include amounts paid by employees</t>
  </si>
  <si>
    <t>**Attach a copy of the retirement plan.  Indicate what percentage of the plan is paid by CACFP program funds</t>
  </si>
  <si>
    <t>*  Include Worker's Compensation, Unemployment Insurance, Social Security Tax and any other required tax.</t>
  </si>
  <si>
    <t>forms, office supplies, computer software, equipment such as desks, chairs, file cabinets, fax machines, computers, copiers.</t>
  </si>
  <si>
    <t>List any item with a unit value of under $5,000 or a life expectancy of one year or less is considered a supply.  Include paper</t>
  </si>
  <si>
    <t>Registration Fee can be included in training budget.</t>
  </si>
  <si>
    <t>Monthly Cost</t>
  </si>
  <si>
    <t>Identify the Item of Cost</t>
  </si>
  <si>
    <t>Allocation % (if applicable)</t>
  </si>
  <si>
    <t>Total Cost for Operation of CACFP Using Other Funding Source</t>
  </si>
  <si>
    <t xml:space="preserve">List the costs that will be paid for with an alternate funding source should you exceed the CACFP adminstrative funds allocated to your organization.  </t>
  </si>
  <si>
    <t>expenditures.</t>
  </si>
  <si>
    <t>Frequency of Funding (weekly, monthly)</t>
  </si>
  <si>
    <t>List the Sources of the Alternate Funding Source or Unrestricted Fund</t>
  </si>
  <si>
    <t xml:space="preserve">List the current and projected alternate funding source should you exceed the CACFP adminstrative funds allocated to your organization.  </t>
  </si>
  <si>
    <t>Activities Supported by Funding Source</t>
  </si>
  <si>
    <t>Food and Nutrition Service</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</si>
</sst>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
    <numFmt numFmtId="167" formatCode="_(&quot;$&quot;* #,##0.00_);_(&quot;$&quot;* \(#,##0.00\);_(&quot;$&quot;* &quot;-&quot;_);_(@_)"/>
    <numFmt numFmtId="168" formatCode="&quot;$&quot;#,##0.00"/>
    <numFmt numFmtId="169" formatCode="@*."/>
    <numFmt numFmtId="170" formatCode="[$-409]mmmm\ d\,\ yyyy;@"/>
  </numFmts>
  <fonts count="56">
    <font>
      <sz val="11"/>
      <color theme="1"/>
      <name val="Gill Sans MT"/>
      <family val="2"/>
    </font>
    <font>
      <sz val="9"/>
      <name val="Geneva"/>
    </font>
    <font>
      <u/>
      <sz val="9"/>
      <color indexed="12"/>
      <name val="Geneva"/>
    </font>
    <font>
      <sz val="12"/>
      <name val="Times New Roman"/>
      <family val="1"/>
    </font>
    <font>
      <sz val="9"/>
      <name val="Times New Roman"/>
      <family val="1"/>
    </font>
    <font>
      <b/>
      <sz val="12"/>
      <name val="Times New Roman"/>
      <family val="1"/>
    </font>
    <font>
      <sz val="10"/>
      <name val="Times New Roman"/>
      <family val="1"/>
    </font>
    <font>
      <sz val="9"/>
      <name val="Bookman Old Style"/>
      <family val="1"/>
    </font>
    <font>
      <b/>
      <sz val="9"/>
      <name val="Times New Roman"/>
      <family val="1"/>
    </font>
    <font>
      <b/>
      <sz val="14"/>
      <name val="Times New Roman"/>
      <family val="1"/>
    </font>
    <font>
      <sz val="10"/>
      <color indexed="81"/>
      <name val="Tahoma"/>
      <family val="2"/>
    </font>
    <font>
      <b/>
      <sz val="10"/>
      <color indexed="81"/>
      <name val="Tahoma"/>
      <family val="2"/>
    </font>
    <font>
      <sz val="14"/>
      <name val="Times New Roman"/>
      <family val="1"/>
    </font>
    <font>
      <sz val="9"/>
      <color indexed="8"/>
      <name val="Gill Sans MT"/>
      <family val="2"/>
    </font>
    <font>
      <sz val="11"/>
      <name val="Gill Sans MT"/>
      <family val="2"/>
    </font>
    <font>
      <sz val="8"/>
      <color indexed="81"/>
      <name val="Tahoma"/>
      <family val="2"/>
    </font>
    <font>
      <b/>
      <sz val="11"/>
      <color indexed="8"/>
      <name val="Times New Roman"/>
      <family val="1"/>
    </font>
    <font>
      <sz val="14"/>
      <color indexed="8"/>
      <name val="Gill Sans MT"/>
      <family val="2"/>
    </font>
    <font>
      <b/>
      <sz val="10"/>
      <name val="Times New Roman"/>
      <family val="1"/>
    </font>
    <font>
      <sz val="9"/>
      <color indexed="8"/>
      <name val="Times New Roman"/>
      <family val="1"/>
    </font>
    <font>
      <sz val="11"/>
      <color indexed="8"/>
      <name val="Times New Roman"/>
      <family val="1"/>
    </font>
    <font>
      <sz val="11"/>
      <color indexed="8"/>
      <name val="Gill Sans MT"/>
      <family val="2"/>
    </font>
    <font>
      <sz val="8"/>
      <name val="Gill Sans MT"/>
      <family val="2"/>
    </font>
    <font>
      <sz val="11"/>
      <name val="Times New Roman"/>
      <family val="1"/>
    </font>
    <font>
      <sz val="11"/>
      <color indexed="8"/>
      <name val="Gill Sans MT"/>
      <family val="2"/>
    </font>
    <font>
      <sz val="14"/>
      <color indexed="8"/>
      <name val="Times New Roman"/>
      <family val="1"/>
    </font>
    <font>
      <b/>
      <sz val="9"/>
      <color indexed="8"/>
      <name val="Times New Roman"/>
      <family val="1"/>
    </font>
    <font>
      <b/>
      <sz val="12"/>
      <color indexed="53"/>
      <name val="Times New Roman"/>
      <family val="1"/>
    </font>
    <font>
      <sz val="11"/>
      <color indexed="8"/>
      <name val="Gill Sans MT"/>
      <family val="2"/>
    </font>
    <font>
      <sz val="12"/>
      <color indexed="8"/>
      <name val="Times New Roman"/>
      <family val="1"/>
    </font>
    <font>
      <b/>
      <sz val="12"/>
      <color indexed="8"/>
      <name val="Times New Roman"/>
      <family val="1"/>
    </font>
    <font>
      <b/>
      <sz val="12"/>
      <color indexed="10"/>
      <name val="Times New Roman"/>
      <family val="1"/>
    </font>
    <font>
      <u/>
      <sz val="12"/>
      <color indexed="12"/>
      <name val="Times New Roman"/>
      <family val="1"/>
    </font>
    <font>
      <b/>
      <sz val="14"/>
      <color indexed="8"/>
      <name val="Times New Roman"/>
      <family val="1"/>
    </font>
    <font>
      <b/>
      <sz val="12"/>
      <color indexed="12"/>
      <name val="Times New Roman"/>
      <family val="1"/>
    </font>
    <font>
      <sz val="12"/>
      <color indexed="10"/>
      <name val="Times New Roman"/>
      <family val="1"/>
    </font>
    <font>
      <sz val="11"/>
      <color indexed="9"/>
      <name val="Times New Roman"/>
      <family val="1"/>
    </font>
    <font>
      <sz val="11"/>
      <color indexed="8"/>
      <name val="Gill Sans MT"/>
      <family val="2"/>
    </font>
    <font>
      <b/>
      <sz val="11"/>
      <name val="Times New Roman"/>
      <family val="1"/>
    </font>
    <font>
      <sz val="11"/>
      <color theme="1"/>
      <name val="Gill Sans MT"/>
      <family val="2"/>
    </font>
    <font>
      <b/>
      <sz val="10"/>
      <name val="Arial"/>
      <family val="2"/>
    </font>
    <font>
      <b/>
      <sz val="10"/>
      <color rgb="FFFF0000"/>
      <name val="Arial"/>
      <family val="2"/>
    </font>
    <font>
      <sz val="8"/>
      <name val="Tahoma"/>
      <family val="2"/>
    </font>
    <font>
      <b/>
      <sz val="8"/>
      <name val="Tahoma"/>
      <family val="2"/>
    </font>
    <font>
      <b/>
      <i/>
      <sz val="8"/>
      <color rgb="FFFF0000"/>
      <name val="Tahoma"/>
      <family val="2"/>
    </font>
    <font>
      <i/>
      <sz val="8"/>
      <name val="Tahoma"/>
      <family val="2"/>
    </font>
    <font>
      <b/>
      <i/>
      <sz val="8"/>
      <name val="Tahoma"/>
      <family val="2"/>
    </font>
    <font>
      <b/>
      <u val="doubleAccounting"/>
      <sz val="8"/>
      <name val="Tahoma"/>
      <family val="2"/>
    </font>
    <font>
      <u val="singleAccounting"/>
      <sz val="8"/>
      <name val="Tahoma"/>
      <family val="2"/>
    </font>
    <font>
      <u val="doubleAccounting"/>
      <sz val="8"/>
      <name val="Tahoma"/>
      <family val="2"/>
    </font>
    <font>
      <b/>
      <sz val="8"/>
      <color theme="0"/>
      <name val="Tahoma"/>
      <family val="2"/>
    </font>
    <font>
      <sz val="12"/>
      <color theme="1"/>
      <name val="Gill Sans MT"/>
      <family val="2"/>
    </font>
    <font>
      <sz val="12"/>
      <name val="Geneva"/>
    </font>
    <font>
      <b/>
      <u val="doubleAccounting"/>
      <sz val="9"/>
      <name val="Tahoma"/>
      <family val="2"/>
    </font>
    <font>
      <sz val="9"/>
      <name val="Tahoma"/>
      <family val="2"/>
    </font>
    <font>
      <b/>
      <sz val="9"/>
      <name val="Tahoma"/>
      <family val="2"/>
    </font>
  </fonts>
  <fills count="20">
    <fill>
      <patternFill patternType="none"/>
    </fill>
    <fill>
      <patternFill patternType="gray125"/>
    </fill>
    <fill>
      <patternFill patternType="solid">
        <fgColor indexed="47"/>
        <bgColor indexed="64"/>
      </patternFill>
    </fill>
    <fill>
      <patternFill patternType="solid">
        <fgColor indexed="53"/>
        <bgColor indexed="64"/>
      </patternFill>
    </fill>
    <fill>
      <patternFill patternType="solid">
        <fgColor indexed="49"/>
        <bgColor indexed="64"/>
      </patternFill>
    </fill>
    <fill>
      <patternFill patternType="solid">
        <fgColor indexed="29"/>
        <bgColor indexed="64"/>
      </patternFill>
    </fill>
    <fill>
      <patternFill patternType="solid">
        <fgColor indexed="51"/>
        <bgColor indexed="64"/>
      </patternFill>
    </fill>
    <fill>
      <patternFill patternType="solid">
        <fgColor indexed="43"/>
        <bgColor indexed="64"/>
      </patternFill>
    </fill>
    <fill>
      <patternFill patternType="solid">
        <fgColor indexed="55"/>
        <bgColor indexed="64"/>
      </patternFill>
    </fill>
    <fill>
      <patternFill patternType="solid">
        <fgColor indexed="8"/>
        <bgColor indexed="64"/>
      </patternFill>
    </fill>
    <fill>
      <patternFill patternType="solid">
        <fgColor indexed="13"/>
        <bgColor indexed="64"/>
      </patternFill>
    </fill>
    <fill>
      <patternFill patternType="solid">
        <fgColor indexed="22"/>
        <bgColor indexed="64"/>
      </patternFill>
    </fill>
    <fill>
      <patternFill patternType="solid">
        <fgColor indexed="61"/>
        <bgColor indexed="64"/>
      </patternFill>
    </fill>
    <fill>
      <patternFill patternType="solid">
        <fgColor theme="0" tint="-0.249977111117893"/>
        <bgColor indexed="64"/>
      </patternFill>
    </fill>
    <fill>
      <patternFill patternType="solid">
        <fgColor rgb="FFFFFF00"/>
        <bgColor indexed="64"/>
      </patternFill>
    </fill>
    <fill>
      <patternFill patternType="solid">
        <fgColor theme="6" tint="0.59999389629810485"/>
        <bgColor indexed="64"/>
      </patternFill>
    </fill>
    <fill>
      <patternFill patternType="solid">
        <fgColor indexed="26"/>
        <bgColor indexed="64"/>
      </patternFill>
    </fill>
    <fill>
      <patternFill patternType="solid">
        <fgColor theme="6" tint="-0.249977111117893"/>
        <bgColor indexed="64"/>
      </patternFill>
    </fill>
    <fill>
      <patternFill patternType="solid">
        <fgColor rgb="FFFFFF99"/>
        <bgColor indexed="64"/>
      </patternFill>
    </fill>
    <fill>
      <patternFill patternType="solid">
        <fgColor rgb="FF7EC2D3"/>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ck">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ck">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double">
        <color rgb="FFC00000"/>
      </top>
      <bottom/>
      <diagonal/>
    </border>
    <border>
      <left style="thin">
        <color indexed="64"/>
      </left>
      <right/>
      <top style="double">
        <color rgb="FFC00000"/>
      </top>
      <bottom/>
      <diagonal/>
    </border>
    <border>
      <left/>
      <right style="thin">
        <color indexed="64"/>
      </right>
      <top style="double">
        <color rgb="FFC00000"/>
      </top>
      <bottom/>
      <diagonal/>
    </border>
    <border>
      <left/>
      <right/>
      <top style="double">
        <color auto="1"/>
      </top>
      <bottom/>
      <diagonal/>
    </border>
    <border>
      <left/>
      <right/>
      <top/>
      <bottom style="hair">
        <color auto="1"/>
      </bottom>
      <diagonal/>
    </border>
    <border>
      <left/>
      <right/>
      <top style="hair">
        <color auto="1"/>
      </top>
      <bottom style="hair">
        <color auto="1"/>
      </bottom>
      <diagonal/>
    </border>
    <border>
      <left style="thick">
        <color indexed="64"/>
      </left>
      <right style="thin">
        <color indexed="64"/>
      </right>
      <top style="thin">
        <color indexed="64"/>
      </top>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 fillId="0" borderId="0" applyNumberFormat="0" applyFill="0" applyBorder="0" applyAlignment="0" applyProtection="0">
      <alignment vertical="top"/>
      <protection locked="0"/>
    </xf>
    <xf numFmtId="0" fontId="1" fillId="0" borderId="0"/>
    <xf numFmtId="0" fontId="39" fillId="0" borderId="0"/>
    <xf numFmtId="9" fontId="28" fillId="0" borderId="0" applyFont="0" applyFill="0" applyBorder="0" applyAlignment="0" applyProtection="0"/>
    <xf numFmtId="9" fontId="1" fillId="0" borderId="0" applyFont="0" applyFill="0" applyBorder="0" applyAlignment="0" applyProtection="0"/>
    <xf numFmtId="44" fontId="39" fillId="0" borderId="0" applyFont="0" applyFill="0" applyBorder="0" applyAlignment="0" applyProtection="0"/>
    <xf numFmtId="43" fontId="39" fillId="0" borderId="0" applyFont="0" applyFill="0" applyBorder="0" applyAlignment="0" applyProtection="0"/>
    <xf numFmtId="169" fontId="42" fillId="0" borderId="0">
      <alignment horizontal="left" indent="1"/>
    </xf>
  </cellStyleXfs>
  <cellXfs count="635">
    <xf numFmtId="0" fontId="0" fillId="0" borderId="0" xfId="0"/>
    <xf numFmtId="0" fontId="5" fillId="0" borderId="0" xfId="6" applyFont="1"/>
    <xf numFmtId="44" fontId="6" fillId="0" borderId="1" xfId="2" applyFont="1" applyFill="1" applyBorder="1"/>
    <xf numFmtId="164" fontId="6" fillId="0" borderId="1" xfId="1" applyNumberFormat="1" applyFont="1" applyFill="1" applyBorder="1"/>
    <xf numFmtId="44" fontId="4" fillId="0" borderId="1" xfId="2" applyFont="1" applyFill="1" applyBorder="1"/>
    <xf numFmtId="44" fontId="6" fillId="0" borderId="2" xfId="2" applyFont="1" applyFill="1" applyBorder="1"/>
    <xf numFmtId="164" fontId="6" fillId="0" borderId="3" xfId="1" applyNumberFormat="1" applyFont="1" applyFill="1" applyBorder="1"/>
    <xf numFmtId="165" fontId="5" fillId="0" borderId="0" xfId="6" applyNumberFormat="1" applyFont="1" applyBorder="1"/>
    <xf numFmtId="0" fontId="0" fillId="0" borderId="1" xfId="0" applyBorder="1"/>
    <xf numFmtId="0" fontId="4" fillId="0" borderId="0" xfId="0" applyFont="1"/>
    <xf numFmtId="0" fontId="7" fillId="0" borderId="0" xfId="0" applyFont="1"/>
    <xf numFmtId="0" fontId="4" fillId="0" borderId="0" xfId="0" applyFont="1" applyBorder="1"/>
    <xf numFmtId="0" fontId="4" fillId="0" borderId="1" xfId="0" applyFont="1" applyBorder="1"/>
    <xf numFmtId="44" fontId="4" fillId="0" borderId="1" xfId="2" applyFont="1" applyBorder="1"/>
    <xf numFmtId="0" fontId="5" fillId="0" borderId="1" xfId="0" applyFont="1" applyBorder="1"/>
    <xf numFmtId="0" fontId="3" fillId="0" borderId="4" xfId="0" applyFont="1" applyBorder="1"/>
    <xf numFmtId="0" fontId="0" fillId="0" borderId="0" xfId="0" applyBorder="1"/>
    <xf numFmtId="0" fontId="0" fillId="0" borderId="5" xfId="0" applyBorder="1"/>
    <xf numFmtId="0" fontId="0" fillId="0" borderId="6" xfId="0" applyBorder="1"/>
    <xf numFmtId="44" fontId="4" fillId="0" borderId="1" xfId="0" applyNumberFormat="1" applyFont="1" applyBorder="1"/>
    <xf numFmtId="0" fontId="9" fillId="0" borderId="0" xfId="0" applyFont="1"/>
    <xf numFmtId="0" fontId="4" fillId="0" borderId="7" xfId="0" applyFont="1" applyBorder="1"/>
    <xf numFmtId="0" fontId="4" fillId="0" borderId="8" xfId="0" applyFont="1" applyBorder="1"/>
    <xf numFmtId="0" fontId="9" fillId="0" borderId="8" xfId="0" applyFont="1" applyBorder="1"/>
    <xf numFmtId="44" fontId="4" fillId="0" borderId="3" xfId="2" applyFont="1" applyBorder="1"/>
    <xf numFmtId="44" fontId="4" fillId="0" borderId="8" xfId="2" applyFont="1" applyBorder="1"/>
    <xf numFmtId="43" fontId="4" fillId="0" borderId="8" xfId="1" applyNumberFormat="1" applyFont="1" applyBorder="1"/>
    <xf numFmtId="9" fontId="4" fillId="0" borderId="8" xfId="9" applyFont="1" applyBorder="1"/>
    <xf numFmtId="0" fontId="6" fillId="0" borderId="0" xfId="0" applyFont="1"/>
    <xf numFmtId="44" fontId="6" fillId="0" borderId="9" xfId="2" applyFont="1" applyBorder="1"/>
    <xf numFmtId="44" fontId="9" fillId="0" borderId="9" xfId="2" applyFont="1" applyBorder="1"/>
    <xf numFmtId="44" fontId="5" fillId="0" borderId="10" xfId="2" applyFont="1" applyBorder="1"/>
    <xf numFmtId="0" fontId="3" fillId="0" borderId="4" xfId="6" applyFont="1" applyBorder="1"/>
    <xf numFmtId="0" fontId="3" fillId="0" borderId="9" xfId="6" applyFont="1" applyBorder="1"/>
    <xf numFmtId="44" fontId="3" fillId="0" borderId="9" xfId="2" applyFont="1" applyBorder="1"/>
    <xf numFmtId="0" fontId="3" fillId="0" borderId="5" xfId="6" applyFont="1" applyBorder="1"/>
    <xf numFmtId="0" fontId="3" fillId="0" borderId="6" xfId="6" applyFont="1" applyBorder="1"/>
    <xf numFmtId="9" fontId="3" fillId="0" borderId="6" xfId="9" applyFont="1" applyBorder="1"/>
    <xf numFmtId="0" fontId="4" fillId="0" borderId="2" xfId="0" applyFont="1" applyBorder="1"/>
    <xf numFmtId="0" fontId="3" fillId="0" borderId="0" xfId="0" applyFont="1"/>
    <xf numFmtId="0" fontId="3" fillId="0" borderId="1" xfId="0" applyFont="1" applyBorder="1"/>
    <xf numFmtId="0" fontId="3" fillId="0" borderId="11" xfId="0" applyFont="1" applyBorder="1"/>
    <xf numFmtId="0" fontId="3" fillId="0" borderId="9" xfId="0" applyFont="1" applyBorder="1"/>
    <xf numFmtId="0" fontId="3" fillId="0" borderId="5" xfId="0" applyFont="1" applyBorder="1"/>
    <xf numFmtId="0" fontId="3" fillId="0" borderId="6" xfId="0" applyFont="1" applyBorder="1"/>
    <xf numFmtId="44" fontId="3" fillId="0" borderId="6" xfId="2" applyFont="1" applyBorder="1"/>
    <xf numFmtId="9" fontId="4" fillId="0" borderId="1" xfId="6" applyNumberFormat="1" applyFont="1" applyBorder="1"/>
    <xf numFmtId="0" fontId="12" fillId="0" borderId="0" xfId="6" applyFont="1" applyBorder="1"/>
    <xf numFmtId="0" fontId="4" fillId="0" borderId="0" xfId="6" applyFont="1"/>
    <xf numFmtId="0" fontId="4" fillId="0" borderId="6" xfId="6" applyFont="1" applyBorder="1"/>
    <xf numFmtId="0" fontId="3" fillId="0" borderId="0" xfId="6" applyFont="1"/>
    <xf numFmtId="0" fontId="5" fillId="0" borderId="9" xfId="6" applyFont="1" applyBorder="1"/>
    <xf numFmtId="0" fontId="9" fillId="0" borderId="0" xfId="6" applyFont="1"/>
    <xf numFmtId="0" fontId="5" fillId="0" borderId="0" xfId="6" applyFont="1" applyBorder="1"/>
    <xf numFmtId="0" fontId="3" fillId="0" borderId="0" xfId="0" applyFont="1" applyBorder="1"/>
    <xf numFmtId="0" fontId="14" fillId="0" borderId="0" xfId="0" applyFont="1"/>
    <xf numFmtId="0" fontId="4" fillId="0" borderId="0" xfId="6" applyFont="1" applyBorder="1"/>
    <xf numFmtId="0" fontId="12" fillId="0" borderId="0" xfId="6" applyFont="1"/>
    <xf numFmtId="44" fontId="6" fillId="0" borderId="0" xfId="2" applyFont="1"/>
    <xf numFmtId="0" fontId="0" fillId="0" borderId="4" xfId="0" applyBorder="1"/>
    <xf numFmtId="0" fontId="4" fillId="0" borderId="7" xfId="6" applyFont="1" applyBorder="1"/>
    <xf numFmtId="0" fontId="4" fillId="0" borderId="8" xfId="6" applyFont="1" applyBorder="1"/>
    <xf numFmtId="0" fontId="3" fillId="3" borderId="13" xfId="0" applyFont="1" applyFill="1" applyBorder="1"/>
    <xf numFmtId="0" fontId="4" fillId="0" borderId="3" xfId="0" applyFont="1" applyFill="1" applyBorder="1"/>
    <xf numFmtId="44" fontId="4" fillId="0" borderId="3" xfId="2" applyFont="1" applyFill="1" applyBorder="1"/>
    <xf numFmtId="9" fontId="4" fillId="0" borderId="3" xfId="9" applyFont="1" applyFill="1" applyBorder="1"/>
    <xf numFmtId="166" fontId="4" fillId="0" borderId="3" xfId="9" applyNumberFormat="1" applyFont="1" applyFill="1" applyBorder="1"/>
    <xf numFmtId="4" fontId="4" fillId="0" borderId="3" xfId="0" applyNumberFormat="1" applyFont="1" applyFill="1" applyBorder="1"/>
    <xf numFmtId="4" fontId="4" fillId="0" borderId="3" xfId="1" applyNumberFormat="1" applyFont="1" applyFill="1" applyBorder="1"/>
    <xf numFmtId="0" fontId="4" fillId="0" borderId="1" xfId="0" applyFont="1" applyFill="1" applyBorder="1"/>
    <xf numFmtId="0" fontId="4" fillId="0" borderId="11" xfId="0" applyFont="1" applyFill="1" applyBorder="1"/>
    <xf numFmtId="0" fontId="4" fillId="0" borderId="18" xfId="0" applyFont="1" applyFill="1" applyBorder="1"/>
    <xf numFmtId="166" fontId="4" fillId="0" borderId="18" xfId="9" applyNumberFormat="1" applyFont="1" applyFill="1" applyBorder="1"/>
    <xf numFmtId="0" fontId="3" fillId="0" borderId="1" xfId="6" applyFont="1" applyFill="1" applyBorder="1"/>
    <xf numFmtId="44" fontId="3" fillId="0" borderId="1" xfId="2" applyFont="1" applyFill="1" applyBorder="1"/>
    <xf numFmtId="44" fontId="3" fillId="0" borderId="11" xfId="2" applyFont="1" applyFill="1" applyBorder="1"/>
    <xf numFmtId="0" fontId="3" fillId="0" borderId="19" xfId="6" applyFont="1" applyFill="1" applyBorder="1"/>
    <xf numFmtId="0" fontId="3" fillId="0" borderId="11" xfId="6" applyFont="1" applyFill="1" applyBorder="1"/>
    <xf numFmtId="44" fontId="3" fillId="0" borderId="19" xfId="2" applyFont="1" applyFill="1" applyBorder="1"/>
    <xf numFmtId="0" fontId="3" fillId="0" borderId="1" xfId="0" applyFont="1" applyFill="1" applyBorder="1"/>
    <xf numFmtId="14" fontId="3" fillId="0" borderId="1" xfId="0" applyNumberFormat="1" applyFont="1" applyFill="1" applyBorder="1"/>
    <xf numFmtId="44" fontId="3" fillId="0" borderId="1" xfId="0" applyNumberFormat="1" applyFont="1" applyFill="1" applyBorder="1"/>
    <xf numFmtId="9" fontId="3" fillId="0" borderId="1" xfId="9" applyFont="1" applyFill="1" applyBorder="1"/>
    <xf numFmtId="0" fontId="3" fillId="0" borderId="1" xfId="2" applyNumberFormat="1" applyFont="1" applyFill="1" applyBorder="1"/>
    <xf numFmtId="0" fontId="3" fillId="0" borderId="11" xfId="0" applyFont="1" applyFill="1" applyBorder="1"/>
    <xf numFmtId="44" fontId="3" fillId="0" borderId="11" xfId="0" applyNumberFormat="1" applyFont="1" applyFill="1" applyBorder="1"/>
    <xf numFmtId="9" fontId="4" fillId="0" borderId="1" xfId="9" applyFont="1" applyFill="1" applyBorder="1"/>
    <xf numFmtId="9" fontId="4" fillId="0" borderId="19" xfId="9" applyFont="1" applyFill="1" applyBorder="1"/>
    <xf numFmtId="0" fontId="3" fillId="0" borderId="13" xfId="6" applyFont="1" applyFill="1" applyBorder="1"/>
    <xf numFmtId="0" fontId="4" fillId="0" borderId="3" xfId="9" applyNumberFormat="1" applyFont="1" applyFill="1" applyBorder="1"/>
    <xf numFmtId="0" fontId="4" fillId="0" borderId="1" xfId="9" applyNumberFormat="1" applyFont="1" applyFill="1" applyBorder="1"/>
    <xf numFmtId="0" fontId="4" fillId="0" borderId="11" xfId="9" applyNumberFormat="1" applyFont="1" applyFill="1" applyBorder="1"/>
    <xf numFmtId="44" fontId="4" fillId="0" borderId="19" xfId="2" applyFont="1" applyFill="1" applyBorder="1"/>
    <xf numFmtId="0" fontId="4" fillId="0" borderId="1" xfId="6" applyFont="1" applyFill="1" applyBorder="1"/>
    <xf numFmtId="0" fontId="4" fillId="0" borderId="11" xfId="6" applyFont="1" applyFill="1" applyBorder="1"/>
    <xf numFmtId="44" fontId="4" fillId="0" borderId="11" xfId="2" applyFont="1" applyFill="1" applyBorder="1"/>
    <xf numFmtId="0" fontId="4" fillId="0" borderId="20" xfId="6" applyFont="1" applyBorder="1"/>
    <xf numFmtId="44" fontId="6" fillId="0" borderId="11" xfId="2" applyFont="1" applyFill="1" applyBorder="1"/>
    <xf numFmtId="0" fontId="4" fillId="0" borderId="12" xfId="6" applyFont="1" applyFill="1" applyBorder="1"/>
    <xf numFmtId="0" fontId="4" fillId="0" borderId="2" xfId="6" applyFont="1" applyFill="1" applyBorder="1"/>
    <xf numFmtId="0" fontId="4" fillId="0" borderId="16" xfId="6" applyFont="1" applyFill="1" applyBorder="1"/>
    <xf numFmtId="44" fontId="6" fillId="0" borderId="1" xfId="2" applyFont="1" applyBorder="1"/>
    <xf numFmtId="0" fontId="4" fillId="0" borderId="19" xfId="9" applyNumberFormat="1" applyFont="1" applyFill="1" applyBorder="1"/>
    <xf numFmtId="44" fontId="6" fillId="0" borderId="19" xfId="2" applyFont="1" applyFill="1" applyBorder="1"/>
    <xf numFmtId="0" fontId="13" fillId="0" borderId="0" xfId="0" applyFont="1"/>
    <xf numFmtId="0" fontId="4" fillId="0" borderId="3" xfId="6" applyFont="1" applyFill="1" applyBorder="1" applyAlignment="1">
      <alignment wrapText="1"/>
    </xf>
    <xf numFmtId="0" fontId="0" fillId="0" borderId="0" xfId="0" applyFill="1"/>
    <xf numFmtId="14" fontId="4" fillId="0" borderId="3" xfId="6" applyNumberFormat="1" applyFont="1" applyFill="1" applyBorder="1"/>
    <xf numFmtId="2" fontId="4" fillId="0" borderId="3" xfId="6" applyNumberFormat="1" applyFont="1" applyFill="1" applyBorder="1"/>
    <xf numFmtId="14" fontId="4" fillId="0" borderId="1" xfId="6" applyNumberFormat="1" applyFont="1" applyFill="1" applyBorder="1"/>
    <xf numFmtId="2" fontId="4" fillId="0" borderId="1" xfId="6" applyNumberFormat="1" applyFont="1" applyFill="1" applyBorder="1"/>
    <xf numFmtId="2" fontId="4" fillId="0" borderId="11" xfId="6" applyNumberFormat="1" applyFont="1" applyFill="1" applyBorder="1"/>
    <xf numFmtId="44" fontId="4" fillId="0" borderId="3" xfId="6" applyNumberFormat="1" applyFont="1" applyFill="1" applyBorder="1" applyAlignment="1">
      <alignment wrapText="1"/>
    </xf>
    <xf numFmtId="0" fontId="13" fillId="0" borderId="22" xfId="0" applyFont="1" applyBorder="1"/>
    <xf numFmtId="14" fontId="4" fillId="0" borderId="3" xfId="6" applyNumberFormat="1" applyFont="1" applyFill="1" applyBorder="1" applyAlignment="1">
      <alignment wrapText="1"/>
    </xf>
    <xf numFmtId="14" fontId="4" fillId="0" borderId="11" xfId="6" applyNumberFormat="1" applyFont="1" applyFill="1" applyBorder="1"/>
    <xf numFmtId="0" fontId="3" fillId="0" borderId="1" xfId="6" applyNumberFormat="1" applyFont="1" applyFill="1" applyBorder="1"/>
    <xf numFmtId="0" fontId="3" fillId="0" borderId="11" xfId="6" applyNumberFormat="1" applyFont="1" applyFill="1" applyBorder="1"/>
    <xf numFmtId="0" fontId="0" fillId="0" borderId="22" xfId="0" applyBorder="1"/>
    <xf numFmtId="14" fontId="3" fillId="0" borderId="3" xfId="6" applyNumberFormat="1" applyFont="1" applyFill="1" applyBorder="1"/>
    <xf numFmtId="14" fontId="3" fillId="0" borderId="1" xfId="6" applyNumberFormat="1" applyFont="1" applyFill="1" applyBorder="1"/>
    <xf numFmtId="14" fontId="3" fillId="0" borderId="11" xfId="6" applyNumberFormat="1" applyFont="1" applyFill="1" applyBorder="1"/>
    <xf numFmtId="0" fontId="3" fillId="0" borderId="3" xfId="6" applyNumberFormat="1" applyFont="1" applyFill="1" applyBorder="1" applyAlignment="1">
      <alignment horizontal="center"/>
    </xf>
    <xf numFmtId="0" fontId="3" fillId="0" borderId="1" xfId="6" applyNumberFormat="1" applyFont="1" applyFill="1" applyBorder="1" applyAlignment="1">
      <alignment horizontal="center"/>
    </xf>
    <xf numFmtId="0" fontId="3" fillId="0" borderId="11" xfId="2" applyNumberFormat="1" applyFont="1" applyFill="1" applyBorder="1"/>
    <xf numFmtId="0" fontId="9" fillId="0" borderId="8" xfId="6" applyFont="1" applyBorder="1"/>
    <xf numFmtId="0" fontId="3" fillId="0" borderId="11" xfId="6" applyNumberFormat="1" applyFont="1" applyFill="1" applyBorder="1" applyAlignment="1">
      <alignment horizontal="center"/>
    </xf>
    <xf numFmtId="0" fontId="0" fillId="0" borderId="7" xfId="0" applyBorder="1"/>
    <xf numFmtId="0" fontId="3" fillId="0" borderId="8" xfId="6" applyFont="1" applyBorder="1"/>
    <xf numFmtId="0" fontId="3" fillId="0" borderId="3" xfId="2" applyNumberFormat="1" applyFont="1" applyFill="1" applyBorder="1"/>
    <xf numFmtId="0" fontId="20" fillId="0" borderId="0" xfId="0" applyFont="1"/>
    <xf numFmtId="10" fontId="6" fillId="0" borderId="1" xfId="2" applyNumberFormat="1" applyFont="1" applyFill="1" applyBorder="1"/>
    <xf numFmtId="0" fontId="5" fillId="0" borderId="6" xfId="6" applyFont="1" applyBorder="1"/>
    <xf numFmtId="44" fontId="6" fillId="0" borderId="21" xfId="2" applyFont="1" applyFill="1" applyBorder="1"/>
    <xf numFmtId="164" fontId="6" fillId="0" borderId="19" xfId="1" applyNumberFormat="1" applyFont="1" applyFill="1" applyBorder="1"/>
    <xf numFmtId="0" fontId="19" fillId="0" borderId="0" xfId="0" applyFont="1"/>
    <xf numFmtId="0" fontId="6" fillId="0" borderId="1" xfId="1" applyNumberFormat="1" applyFont="1" applyFill="1" applyBorder="1"/>
    <xf numFmtId="0" fontId="6" fillId="0" borderId="1" xfId="2" applyNumberFormat="1" applyFont="1" applyFill="1" applyBorder="1"/>
    <xf numFmtId="0" fontId="4" fillId="0" borderId="1" xfId="0" applyNumberFormat="1" applyFont="1" applyBorder="1"/>
    <xf numFmtId="10" fontId="6" fillId="0" borderId="1" xfId="9" applyNumberFormat="1" applyFont="1" applyFill="1" applyBorder="1"/>
    <xf numFmtId="10" fontId="4" fillId="0" borderId="1" xfId="0" applyNumberFormat="1" applyFont="1" applyBorder="1"/>
    <xf numFmtId="44" fontId="6" fillId="0" borderId="1" xfId="2" applyNumberFormat="1" applyFont="1" applyFill="1" applyBorder="1"/>
    <xf numFmtId="44" fontId="6" fillId="0" borderId="2" xfId="2" applyFont="1" applyFill="1" applyBorder="1" applyAlignment="1">
      <alignment horizontal="center"/>
    </xf>
    <xf numFmtId="0" fontId="17" fillId="0" borderId="0" xfId="0" applyFont="1" applyBorder="1" applyAlignment="1">
      <alignment horizontal="center"/>
    </xf>
    <xf numFmtId="0" fontId="4" fillId="0" borderId="11" xfId="0" applyFont="1" applyBorder="1"/>
    <xf numFmtId="10" fontId="4" fillId="0" borderId="11" xfId="0" applyNumberFormat="1" applyFont="1" applyBorder="1"/>
    <xf numFmtId="44" fontId="6" fillId="0" borderId="11" xfId="2" applyFont="1" applyBorder="1"/>
    <xf numFmtId="0" fontId="5" fillId="0" borderId="7" xfId="0" applyFont="1" applyBorder="1"/>
    <xf numFmtId="44" fontId="4" fillId="0" borderId="23" xfId="0" applyNumberFormat="1" applyFont="1" applyBorder="1"/>
    <xf numFmtId="44" fontId="6" fillId="0" borderId="12" xfId="2" applyFont="1" applyFill="1" applyBorder="1"/>
    <xf numFmtId="44" fontId="6" fillId="0" borderId="15" xfId="2" applyFont="1" applyFill="1" applyBorder="1"/>
    <xf numFmtId="0" fontId="0" fillId="0" borderId="24" xfId="0" applyBorder="1"/>
    <xf numFmtId="8" fontId="13" fillId="0" borderId="16" xfId="0" applyNumberFormat="1" applyFont="1" applyBorder="1"/>
    <xf numFmtId="0" fontId="8" fillId="0" borderId="8" xfId="0" applyFont="1" applyBorder="1"/>
    <xf numFmtId="0" fontId="8" fillId="0" borderId="8" xfId="0" applyFont="1" applyBorder="1" applyAlignment="1"/>
    <xf numFmtId="44" fontId="4" fillId="0" borderId="1" xfId="6" applyNumberFormat="1" applyFont="1" applyBorder="1"/>
    <xf numFmtId="0" fontId="4" fillId="0" borderId="1" xfId="6" applyFont="1" applyBorder="1"/>
    <xf numFmtId="0" fontId="8" fillId="0" borderId="0" xfId="6" applyFont="1"/>
    <xf numFmtId="9" fontId="19" fillId="0" borderId="22" xfId="0" applyNumberFormat="1" applyFont="1" applyFill="1" applyBorder="1" applyAlignment="1">
      <alignment wrapText="1"/>
    </xf>
    <xf numFmtId="0" fontId="3" fillId="0" borderId="1" xfId="6" applyFont="1" applyFill="1" applyBorder="1" applyAlignment="1">
      <alignment wrapText="1"/>
    </xf>
    <xf numFmtId="0" fontId="3" fillId="0" borderId="3" xfId="6" applyFont="1" applyFill="1" applyBorder="1" applyAlignment="1">
      <alignment wrapText="1"/>
    </xf>
    <xf numFmtId="0" fontId="3" fillId="0" borderId="1" xfId="9" applyNumberFormat="1" applyFont="1" applyFill="1" applyBorder="1"/>
    <xf numFmtId="0" fontId="3" fillId="0" borderId="11" xfId="9" applyNumberFormat="1" applyFont="1" applyFill="1" applyBorder="1"/>
    <xf numFmtId="14" fontId="4" fillId="0" borderId="1" xfId="2" applyNumberFormat="1" applyFont="1" applyFill="1" applyBorder="1"/>
    <xf numFmtId="14" fontId="4" fillId="0" borderId="1" xfId="2" applyNumberFormat="1" applyFont="1" applyBorder="1"/>
    <xf numFmtId="2" fontId="4" fillId="0" borderId="1" xfId="2" applyNumberFormat="1" applyFont="1" applyBorder="1"/>
    <xf numFmtId="2" fontId="6" fillId="0" borderId="1" xfId="9" applyNumberFormat="1" applyFont="1" applyFill="1" applyBorder="1"/>
    <xf numFmtId="0" fontId="23" fillId="0" borderId="0" xfId="0" applyFont="1"/>
    <xf numFmtId="0" fontId="24" fillId="0" borderId="0" xfId="0" applyFont="1"/>
    <xf numFmtId="0" fontId="25" fillId="0" borderId="0" xfId="0" applyFont="1"/>
    <xf numFmtId="9" fontId="3" fillId="0" borderId="1" xfId="9" applyNumberFormat="1" applyFont="1" applyFill="1" applyBorder="1"/>
    <xf numFmtId="9" fontId="3" fillId="0" borderId="1" xfId="2" applyNumberFormat="1" applyFont="1" applyFill="1" applyBorder="1"/>
    <xf numFmtId="9" fontId="3" fillId="0" borderId="11" xfId="2" applyNumberFormat="1" applyFont="1" applyFill="1" applyBorder="1"/>
    <xf numFmtId="0" fontId="3" fillId="0" borderId="1" xfId="0" applyNumberFormat="1" applyFont="1" applyFill="1" applyBorder="1"/>
    <xf numFmtId="0" fontId="3" fillId="0" borderId="19" xfId="0" applyNumberFormat="1" applyFont="1" applyFill="1" applyBorder="1"/>
    <xf numFmtId="9" fontId="6" fillId="0" borderId="1" xfId="2" applyNumberFormat="1" applyFont="1" applyFill="1" applyBorder="1"/>
    <xf numFmtId="9" fontId="6" fillId="0" borderId="11" xfId="2" applyNumberFormat="1" applyFont="1" applyFill="1" applyBorder="1"/>
    <xf numFmtId="0" fontId="6" fillId="0" borderId="25" xfId="0" applyFont="1" applyBorder="1" applyAlignment="1">
      <alignment horizontal="left" vertical="top"/>
    </xf>
    <xf numFmtId="0" fontId="20" fillId="0" borderId="2" xfId="0" applyFont="1" applyBorder="1" applyAlignment="1"/>
    <xf numFmtId="0" fontId="3" fillId="0" borderId="19" xfId="2" applyNumberFormat="1" applyFont="1" applyFill="1" applyBorder="1"/>
    <xf numFmtId="44" fontId="27" fillId="0" borderId="0" xfId="2" applyFont="1" applyFill="1" applyBorder="1" applyAlignment="1"/>
    <xf numFmtId="0" fontId="4" fillId="0" borderId="0" xfId="0" applyFont="1" applyAlignment="1"/>
    <xf numFmtId="9" fontId="4" fillId="7" borderId="3" xfId="9" applyFont="1" applyFill="1" applyBorder="1"/>
    <xf numFmtId="44" fontId="4" fillId="7" borderId="3" xfId="6" applyNumberFormat="1" applyFont="1" applyFill="1" applyBorder="1" applyAlignment="1">
      <alignment wrapText="1"/>
    </xf>
    <xf numFmtId="44" fontId="4" fillId="7" borderId="1" xfId="2" applyFont="1" applyFill="1" applyBorder="1"/>
    <xf numFmtId="44" fontId="4" fillId="7" borderId="11" xfId="2" applyFont="1" applyFill="1" applyBorder="1"/>
    <xf numFmtId="44" fontId="5" fillId="7" borderId="28" xfId="2" applyNumberFormat="1" applyFont="1" applyFill="1" applyBorder="1"/>
    <xf numFmtId="44" fontId="3" fillId="7" borderId="1" xfId="2" applyFont="1" applyFill="1" applyBorder="1"/>
    <xf numFmtId="44" fontId="3" fillId="7" borderId="1" xfId="2" applyNumberFormat="1" applyFont="1" applyFill="1" applyBorder="1"/>
    <xf numFmtId="44" fontId="5" fillId="7" borderId="29" xfId="2" applyNumberFormat="1" applyFont="1" applyFill="1" applyBorder="1"/>
    <xf numFmtId="9" fontId="4" fillId="0" borderId="0" xfId="9" applyFont="1" applyBorder="1"/>
    <xf numFmtId="0" fontId="5" fillId="0" borderId="30" xfId="6" applyFont="1" applyBorder="1"/>
    <xf numFmtId="0" fontId="4" fillId="0" borderId="31" xfId="6" applyFont="1" applyBorder="1"/>
    <xf numFmtId="9" fontId="4" fillId="0" borderId="31" xfId="9" applyFont="1" applyBorder="1"/>
    <xf numFmtId="44" fontId="5" fillId="7" borderId="32" xfId="2" applyFont="1" applyFill="1" applyBorder="1"/>
    <xf numFmtId="44" fontId="4" fillId="0" borderId="0" xfId="2" applyFont="1" applyFill="1" applyBorder="1"/>
    <xf numFmtId="168" fontId="3" fillId="0" borderId="1" xfId="0" applyNumberFormat="1" applyFont="1" applyFill="1" applyBorder="1"/>
    <xf numFmtId="44" fontId="3" fillId="7" borderId="33" xfId="2" applyFont="1" applyFill="1" applyBorder="1"/>
    <xf numFmtId="0" fontId="3" fillId="0" borderId="1" xfId="1" applyNumberFormat="1" applyFont="1" applyFill="1" applyBorder="1" applyAlignment="1">
      <alignment horizontal="center"/>
    </xf>
    <xf numFmtId="0" fontId="3" fillId="0" borderId="1" xfId="2" applyNumberFormat="1" applyFont="1" applyFill="1" applyBorder="1" applyAlignment="1">
      <alignment horizontal="center"/>
    </xf>
    <xf numFmtId="0" fontId="3" fillId="0" borderId="33" xfId="2" applyNumberFormat="1" applyFont="1" applyFill="1" applyBorder="1" applyAlignment="1">
      <alignment horizontal="center"/>
    </xf>
    <xf numFmtId="168" fontId="3" fillId="0" borderId="19" xfId="0" applyNumberFormat="1" applyFont="1" applyFill="1" applyBorder="1"/>
    <xf numFmtId="44" fontId="6" fillId="7" borderId="1" xfId="2" applyFont="1" applyFill="1" applyBorder="1"/>
    <xf numFmtId="0" fontId="9" fillId="0" borderId="0" xfId="0" applyFont="1" applyAlignment="1"/>
    <xf numFmtId="0" fontId="3" fillId="0" borderId="13" xfId="6" applyFont="1" applyFill="1" applyBorder="1" applyAlignment="1">
      <alignment wrapText="1"/>
    </xf>
    <xf numFmtId="44" fontId="3" fillId="10" borderId="1" xfId="2" applyFont="1" applyFill="1" applyBorder="1"/>
    <xf numFmtId="44" fontId="6" fillId="10" borderId="1" xfId="2" applyFont="1" applyFill="1" applyBorder="1"/>
    <xf numFmtId="44" fontId="6" fillId="10" borderId="19" xfId="2" applyFont="1" applyFill="1" applyBorder="1"/>
    <xf numFmtId="44" fontId="5" fillId="10" borderId="35" xfId="6" applyNumberFormat="1" applyFont="1" applyFill="1" applyBorder="1"/>
    <xf numFmtId="44" fontId="4" fillId="7" borderId="1" xfId="0" applyNumberFormat="1" applyFont="1" applyFill="1" applyBorder="1"/>
    <xf numFmtId="167" fontId="8" fillId="7" borderId="29" xfId="2" applyNumberFormat="1" applyFont="1" applyFill="1" applyBorder="1"/>
    <xf numFmtId="1" fontId="4" fillId="0" borderId="1" xfId="6" applyNumberFormat="1" applyFont="1" applyBorder="1"/>
    <xf numFmtId="0" fontId="13" fillId="0" borderId="25" xfId="0" applyFont="1" applyBorder="1"/>
    <xf numFmtId="44" fontId="8" fillId="0" borderId="1" xfId="2" applyFont="1" applyBorder="1"/>
    <xf numFmtId="8" fontId="26" fillId="0" borderId="1" xfId="0" applyNumberFormat="1" applyFont="1" applyBorder="1"/>
    <xf numFmtId="0" fontId="5" fillId="0" borderId="8" xfId="6" applyFont="1" applyBorder="1"/>
    <xf numFmtId="44" fontId="30" fillId="0" borderId="27" xfId="0" applyNumberFormat="1" applyFont="1" applyBorder="1"/>
    <xf numFmtId="0" fontId="5" fillId="0" borderId="0" xfId="0" applyFont="1" applyBorder="1"/>
    <xf numFmtId="165" fontId="5" fillId="0" borderId="29" xfId="2" applyNumberFormat="1" applyFont="1" applyBorder="1"/>
    <xf numFmtId="44" fontId="3" fillId="7" borderId="0" xfId="2" applyFont="1" applyFill="1" applyBorder="1" applyAlignment="1"/>
    <xf numFmtId="44" fontId="3" fillId="7" borderId="0" xfId="6" applyNumberFormat="1" applyFont="1" applyFill="1" applyBorder="1"/>
    <xf numFmtId="44" fontId="3" fillId="7" borderId="0" xfId="2" applyNumberFormat="1" applyFont="1" applyFill="1" applyBorder="1" applyAlignment="1"/>
    <xf numFmtId="0" fontId="29" fillId="0" borderId="4" xfId="0" applyFont="1" applyBorder="1"/>
    <xf numFmtId="0" fontId="29" fillId="0" borderId="9" xfId="0" applyFont="1" applyBorder="1"/>
    <xf numFmtId="0" fontId="29" fillId="0" borderId="36" xfId="0" applyFont="1" applyBorder="1"/>
    <xf numFmtId="0" fontId="29" fillId="0" borderId="0" xfId="7" applyFont="1" applyBorder="1"/>
    <xf numFmtId="0" fontId="29" fillId="0" borderId="37" xfId="0" applyFont="1" applyBorder="1"/>
    <xf numFmtId="0" fontId="29" fillId="0" borderId="0" xfId="7" applyFont="1"/>
    <xf numFmtId="0" fontId="29" fillId="0" borderId="0" xfId="0" applyFont="1"/>
    <xf numFmtId="0" fontId="29" fillId="7" borderId="27" xfId="0" applyFont="1" applyFill="1" applyBorder="1"/>
    <xf numFmtId="43" fontId="32" fillId="0" borderId="0" xfId="5" applyNumberFormat="1" applyFont="1" applyFill="1" applyBorder="1" applyAlignment="1" applyProtection="1"/>
    <xf numFmtId="0" fontId="32" fillId="0" borderId="0" xfId="5" applyFont="1" applyAlignment="1" applyProtection="1"/>
    <xf numFmtId="0" fontId="29" fillId="7" borderId="0" xfId="0" applyFont="1" applyFill="1"/>
    <xf numFmtId="0" fontId="27" fillId="0" borderId="0" xfId="7" applyFont="1"/>
    <xf numFmtId="0" fontId="27" fillId="0" borderId="0" xfId="0" applyFont="1"/>
    <xf numFmtId="0" fontId="27" fillId="7" borderId="0" xfId="0" applyFont="1" applyFill="1"/>
    <xf numFmtId="0" fontId="27" fillId="7" borderId="0" xfId="7" applyFont="1" applyFill="1"/>
    <xf numFmtId="44" fontId="30" fillId="7" borderId="2" xfId="7" applyNumberFormat="1" applyFont="1" applyFill="1" applyBorder="1"/>
    <xf numFmtId="0" fontId="33" fillId="0" borderId="0" xfId="7" applyFont="1"/>
    <xf numFmtId="0" fontId="27" fillId="0" borderId="15" xfId="7" applyFont="1" applyBorder="1"/>
    <xf numFmtId="0" fontId="27" fillId="0" borderId="17" xfId="7" applyFont="1" applyBorder="1"/>
    <xf numFmtId="0" fontId="27" fillId="0" borderId="17" xfId="0" applyFont="1" applyBorder="1"/>
    <xf numFmtId="0" fontId="27" fillId="0" borderId="16" xfId="0" applyFont="1" applyBorder="1"/>
    <xf numFmtId="44" fontId="27" fillId="0" borderId="13" xfId="7" applyNumberFormat="1" applyFont="1" applyBorder="1"/>
    <xf numFmtId="0" fontId="27" fillId="0" borderId="22" xfId="7" applyFont="1" applyBorder="1"/>
    <xf numFmtId="0" fontId="27" fillId="0" borderId="22" xfId="0" applyFont="1" applyBorder="1"/>
    <xf numFmtId="0" fontId="27" fillId="0" borderId="14" xfId="0" applyFont="1" applyBorder="1"/>
    <xf numFmtId="0" fontId="34" fillId="0" borderId="12" xfId="7" applyFont="1" applyBorder="1" applyAlignment="1">
      <alignment wrapText="1"/>
    </xf>
    <xf numFmtId="0" fontId="30" fillId="0" borderId="38" xfId="7" applyFont="1" applyBorder="1" applyAlignment="1">
      <alignment vertical="center" wrapText="1"/>
    </xf>
    <xf numFmtId="0" fontId="29" fillId="0" borderId="12" xfId="7" applyFont="1" applyBorder="1" applyAlignment="1">
      <alignment wrapText="1"/>
    </xf>
    <xf numFmtId="0" fontId="31" fillId="0" borderId="0" xfId="0" applyFont="1"/>
    <xf numFmtId="0" fontId="35" fillId="0" borderId="0" xfId="0" applyFont="1"/>
    <xf numFmtId="0" fontId="29" fillId="0" borderId="1" xfId="0" applyFont="1" applyBorder="1"/>
    <xf numFmtId="0" fontId="29" fillId="0" borderId="0" xfId="0" applyFont="1" applyBorder="1"/>
    <xf numFmtId="0" fontId="29" fillId="0" borderId="1" xfId="0" applyFont="1" applyBorder="1" applyAlignment="1">
      <alignment horizontal="center"/>
    </xf>
    <xf numFmtId="44" fontId="8" fillId="7" borderId="3" xfId="2" applyNumberFormat="1" applyFont="1" applyFill="1" applyBorder="1"/>
    <xf numFmtId="44" fontId="8" fillId="7" borderId="39" xfId="2" applyNumberFormat="1" applyFont="1" applyFill="1" applyBorder="1"/>
    <xf numFmtId="0" fontId="24" fillId="0" borderId="0" xfId="0" applyFont="1"/>
    <xf numFmtId="7" fontId="5" fillId="7" borderId="29" xfId="2" applyNumberFormat="1" applyFont="1" applyFill="1" applyBorder="1"/>
    <xf numFmtId="44" fontId="5" fillId="0" borderId="28" xfId="2" applyNumberFormat="1" applyFont="1" applyBorder="1"/>
    <xf numFmtId="9" fontId="3" fillId="0" borderId="9" xfId="9" applyFont="1" applyBorder="1"/>
    <xf numFmtId="44" fontId="5" fillId="0" borderId="9" xfId="2" applyFont="1" applyBorder="1"/>
    <xf numFmtId="0" fontId="0" fillId="0" borderId="9" xfId="0" applyBorder="1"/>
    <xf numFmtId="44" fontId="23" fillId="0" borderId="1" xfId="2" applyFont="1" applyFill="1" applyBorder="1"/>
    <xf numFmtId="44" fontId="23" fillId="7" borderId="1" xfId="2" applyFont="1" applyFill="1" applyBorder="1"/>
    <xf numFmtId="9" fontId="23" fillId="0" borderId="1" xfId="2" applyNumberFormat="1" applyFont="1" applyFill="1" applyBorder="1"/>
    <xf numFmtId="44" fontId="23" fillId="0" borderId="11" xfId="2" applyFont="1" applyFill="1" applyBorder="1"/>
    <xf numFmtId="44" fontId="23" fillId="0" borderId="19" xfId="2" applyFont="1" applyFill="1" applyBorder="1"/>
    <xf numFmtId="9" fontId="23" fillId="0" borderId="11" xfId="2" applyNumberFormat="1" applyFont="1" applyFill="1" applyBorder="1"/>
    <xf numFmtId="0" fontId="24" fillId="0" borderId="4" xfId="0" applyFont="1" applyBorder="1"/>
    <xf numFmtId="0" fontId="38" fillId="0" borderId="9" xfId="0" applyFont="1" applyBorder="1"/>
    <xf numFmtId="44" fontId="23" fillId="7" borderId="8" xfId="2" applyFont="1" applyFill="1" applyBorder="1"/>
    <xf numFmtId="44" fontId="23" fillId="9" borderId="2" xfId="0" applyNumberFormat="1" applyFont="1" applyFill="1" applyBorder="1"/>
    <xf numFmtId="0" fontId="24" fillId="0" borderId="5" xfId="0" applyFont="1" applyBorder="1"/>
    <xf numFmtId="0" fontId="24" fillId="0" borderId="6" xfId="0" applyFont="1" applyBorder="1"/>
    <xf numFmtId="44" fontId="16" fillId="7" borderId="29" xfId="0" applyNumberFormat="1" applyFont="1" applyFill="1" applyBorder="1"/>
    <xf numFmtId="44" fontId="23" fillId="9" borderId="47" xfId="0" applyNumberFormat="1" applyFont="1" applyFill="1" applyBorder="1"/>
    <xf numFmtId="0" fontId="0" fillId="0" borderId="48" xfId="0" applyBorder="1"/>
    <xf numFmtId="0" fontId="37" fillId="0" borderId="0" xfId="0" applyFont="1"/>
    <xf numFmtId="0" fontId="0" fillId="0" borderId="0" xfId="0" applyAlignment="1">
      <alignment vertical="center"/>
    </xf>
    <xf numFmtId="0" fontId="4" fillId="0" borderId="0" xfId="0" applyFont="1" applyAlignment="1">
      <alignment vertical="center"/>
    </xf>
    <xf numFmtId="44" fontId="4" fillId="7" borderId="3" xfId="2" applyFont="1" applyFill="1" applyBorder="1"/>
    <xf numFmtId="0" fontId="9" fillId="0" borderId="0" xfId="6" applyFont="1" applyBorder="1"/>
    <xf numFmtId="0" fontId="9" fillId="0" borderId="0" xfId="0" applyFont="1"/>
    <xf numFmtId="0" fontId="2" fillId="0" borderId="12" xfId="5" applyBorder="1" applyAlignment="1" applyProtection="1">
      <alignment vertical="top" wrapText="1"/>
    </xf>
    <xf numFmtId="0" fontId="30" fillId="0" borderId="0" xfId="0" applyFont="1"/>
    <xf numFmtId="0" fontId="29" fillId="11" borderId="1" xfId="0" applyFont="1" applyFill="1" applyBorder="1" applyAlignment="1">
      <alignment horizontal="center" vertical="center" wrapText="1"/>
    </xf>
    <xf numFmtId="0" fontId="29" fillId="0" borderId="0" xfId="0" applyFont="1"/>
    <xf numFmtId="0" fontId="29" fillId="13" borderId="1" xfId="0" applyFont="1" applyFill="1" applyBorder="1" applyAlignment="1">
      <alignment horizontal="center" vertical="center"/>
    </xf>
    <xf numFmtId="44" fontId="29" fillId="7" borderId="0" xfId="10" applyFont="1" applyFill="1"/>
    <xf numFmtId="168" fontId="29" fillId="10" borderId="12" xfId="0" applyNumberFormat="1" applyFont="1" applyFill="1" applyBorder="1"/>
    <xf numFmtId="168" fontId="29" fillId="10" borderId="7" xfId="0" applyNumberFormat="1" applyFont="1" applyFill="1" applyBorder="1"/>
    <xf numFmtId="168" fontId="29" fillId="14" borderId="1" xfId="0" applyNumberFormat="1" applyFont="1" applyFill="1" applyBorder="1"/>
    <xf numFmtId="168" fontId="29" fillId="10" borderId="15" xfId="0" applyNumberFormat="1" applyFont="1" applyFill="1" applyBorder="1"/>
    <xf numFmtId="168" fontId="29" fillId="14" borderId="11" xfId="0" applyNumberFormat="1" applyFont="1" applyFill="1" applyBorder="1"/>
    <xf numFmtId="168" fontId="29" fillId="14" borderId="50" xfId="0" applyNumberFormat="1" applyFont="1" applyFill="1" applyBorder="1"/>
    <xf numFmtId="168" fontId="29" fillId="14" borderId="23" xfId="0" applyNumberFormat="1" applyFont="1" applyFill="1" applyBorder="1"/>
    <xf numFmtId="9" fontId="29" fillId="14" borderId="1" xfId="8" applyFont="1" applyFill="1" applyBorder="1"/>
    <xf numFmtId="9" fontId="29" fillId="14" borderId="11" xfId="8" applyFont="1" applyFill="1" applyBorder="1"/>
    <xf numFmtId="0" fontId="40" fillId="0" borderId="0" xfId="0" applyFont="1" applyBorder="1"/>
    <xf numFmtId="0" fontId="40" fillId="0" borderId="0" xfId="0" applyFont="1" applyBorder="1" applyAlignment="1">
      <alignment horizontal="right"/>
    </xf>
    <xf numFmtId="14" fontId="41" fillId="0" borderId="0" xfId="0" applyNumberFormat="1" applyFont="1" applyBorder="1" applyAlignment="1">
      <alignment horizontal="center"/>
    </xf>
    <xf numFmtId="0" fontId="41" fillId="0" borderId="0" xfId="0" applyFont="1" applyBorder="1" applyAlignment="1">
      <alignment horizontal="center"/>
    </xf>
    <xf numFmtId="0" fontId="40" fillId="0" borderId="6" xfId="0" applyFont="1" applyBorder="1"/>
    <xf numFmtId="0" fontId="2" fillId="0" borderId="0" xfId="5" applyBorder="1" applyAlignment="1" applyProtection="1"/>
    <xf numFmtId="0" fontId="0" fillId="0" borderId="26" xfId="0" applyBorder="1"/>
    <xf numFmtId="0" fontId="0" fillId="0" borderId="51" xfId="0" applyBorder="1"/>
    <xf numFmtId="0" fontId="0" fillId="0" borderId="51" xfId="0" quotePrefix="1" applyBorder="1"/>
    <xf numFmtId="165" fontId="42" fillId="0" borderId="51" xfId="0" applyNumberFormat="1" applyFont="1" applyBorder="1"/>
    <xf numFmtId="0" fontId="0" fillId="0" borderId="53" xfId="0" applyBorder="1"/>
    <xf numFmtId="169" fontId="42" fillId="0" borderId="0" xfId="12" applyFont="1">
      <alignment horizontal="left" indent="1"/>
    </xf>
    <xf numFmtId="44" fontId="42" fillId="0" borderId="0" xfId="10" applyFont="1" applyBorder="1"/>
    <xf numFmtId="44" fontId="42" fillId="15" borderId="0" xfId="10" applyFont="1" applyFill="1" applyBorder="1"/>
    <xf numFmtId="164" fontId="42" fillId="0" borderId="0" xfId="0" applyNumberFormat="1" applyFont="1" applyBorder="1"/>
    <xf numFmtId="0" fontId="0" fillId="0" borderId="25" xfId="0" applyBorder="1"/>
    <xf numFmtId="43" fontId="42" fillId="0" borderId="0" xfId="11" applyFont="1" applyBorder="1"/>
    <xf numFmtId="43" fontId="42" fillId="15" borderId="0" xfId="11" applyFont="1" applyFill="1" applyBorder="1"/>
    <xf numFmtId="164" fontId="0" fillId="0" borderId="22" xfId="0" applyNumberFormat="1" applyFont="1" applyBorder="1"/>
    <xf numFmtId="0" fontId="0" fillId="0" borderId="14" xfId="0" applyBorder="1"/>
    <xf numFmtId="10" fontId="42" fillId="0" borderId="0" xfId="8" applyNumberFormat="1" applyFont="1" applyBorder="1"/>
    <xf numFmtId="10" fontId="44" fillId="0" borderId="0" xfId="8" applyNumberFormat="1" applyFont="1" applyBorder="1"/>
    <xf numFmtId="10" fontId="45" fillId="0" borderId="0" xfId="8" applyNumberFormat="1" applyFont="1" applyBorder="1"/>
    <xf numFmtId="43" fontId="0" fillId="0" borderId="0" xfId="11" applyFont="1" applyBorder="1"/>
    <xf numFmtId="0" fontId="45" fillId="0" borderId="17" xfId="0" applyFont="1" applyBorder="1" applyAlignment="1">
      <alignment horizontal="right"/>
    </xf>
    <xf numFmtId="44" fontId="42" fillId="0" borderId="17" xfId="10" applyFont="1" applyBorder="1"/>
    <xf numFmtId="0" fontId="46" fillId="16" borderId="54" xfId="0" applyFont="1" applyFill="1" applyBorder="1" applyAlignment="1">
      <alignment horizontal="right"/>
    </xf>
    <xf numFmtId="44" fontId="43" fillId="16" borderId="54" xfId="10" applyFont="1" applyFill="1" applyBorder="1"/>
    <xf numFmtId="0" fontId="0" fillId="0" borderId="54" xfId="0" applyBorder="1"/>
    <xf numFmtId="44" fontId="0" fillId="0" borderId="0" xfId="10" applyFont="1"/>
    <xf numFmtId="170" fontId="0" fillId="0" borderId="0" xfId="0" applyNumberFormat="1" applyAlignment="1">
      <alignment horizontal="left"/>
    </xf>
    <xf numFmtId="164" fontId="42" fillId="0" borderId="0" xfId="11" applyNumberFormat="1" applyFont="1" applyBorder="1"/>
    <xf numFmtId="164" fontId="42" fillId="15" borderId="0" xfId="11" applyNumberFormat="1" applyFont="1" applyFill="1" applyBorder="1"/>
    <xf numFmtId="164" fontId="0" fillId="0" borderId="0" xfId="0" applyNumberFormat="1" applyBorder="1"/>
    <xf numFmtId="164" fontId="0" fillId="0" borderId="0" xfId="0" applyNumberFormat="1" applyFont="1" applyBorder="1"/>
    <xf numFmtId="164" fontId="42" fillId="0" borderId="17" xfId="11" applyNumberFormat="1" applyFont="1" applyBorder="1"/>
    <xf numFmtId="44" fontId="0" fillId="0" borderId="0" xfId="0" applyNumberFormat="1"/>
    <xf numFmtId="43" fontId="48" fillId="0" borderId="0" xfId="11" applyFont="1"/>
    <xf numFmtId="44" fontId="49" fillId="0" borderId="0" xfId="0" applyNumberFormat="1" applyFont="1"/>
    <xf numFmtId="0" fontId="43" fillId="0" borderId="0" xfId="0" applyFont="1" applyAlignment="1">
      <alignment horizontal="left" indent="1"/>
    </xf>
    <xf numFmtId="0" fontId="45" fillId="0" borderId="0" xfId="0" applyFont="1" applyAlignment="1">
      <alignment horizontal="left" indent="1"/>
    </xf>
    <xf numFmtId="0" fontId="43" fillId="0" borderId="0" xfId="0" applyFont="1"/>
    <xf numFmtId="0" fontId="0" fillId="15" borderId="55" xfId="0" applyFill="1" applyBorder="1"/>
    <xf numFmtId="44" fontId="0" fillId="15" borderId="0" xfId="10" applyFont="1" applyFill="1"/>
    <xf numFmtId="0" fontId="0" fillId="15" borderId="56" xfId="0" applyFill="1" applyBorder="1" applyAlignment="1">
      <alignment horizontal="left" indent="1"/>
    </xf>
    <xf numFmtId="0" fontId="0" fillId="15" borderId="56" xfId="0" applyFill="1" applyBorder="1"/>
    <xf numFmtId="43" fontId="0" fillId="15" borderId="0" xfId="11" applyFont="1" applyFill="1"/>
    <xf numFmtId="43" fontId="48" fillId="15" borderId="0" xfId="11" applyFont="1" applyFill="1"/>
    <xf numFmtId="44" fontId="47" fillId="0" borderId="0" xfId="0" applyNumberFormat="1" applyFont="1"/>
    <xf numFmtId="0" fontId="0" fillId="0" borderId="0" xfId="0" applyFill="1" applyAlignment="1">
      <alignment horizontal="left" indent="1"/>
    </xf>
    <xf numFmtId="0" fontId="45" fillId="0" borderId="0" xfId="0" applyFont="1" applyFill="1" applyAlignment="1">
      <alignment horizontal="right"/>
    </xf>
    <xf numFmtId="44" fontId="49" fillId="0" borderId="0" xfId="0" applyNumberFormat="1" applyFont="1" applyFill="1"/>
    <xf numFmtId="0" fontId="29" fillId="13" borderId="1" xfId="0" applyFont="1" applyFill="1" applyBorder="1" applyAlignment="1">
      <alignment horizontal="center" wrapText="1"/>
    </xf>
    <xf numFmtId="0" fontId="9" fillId="0" borderId="8" xfId="6" applyFont="1" applyBorder="1"/>
    <xf numFmtId="9" fontId="4" fillId="0" borderId="3" xfId="2" applyNumberFormat="1" applyFont="1" applyFill="1" applyBorder="1"/>
    <xf numFmtId="9" fontId="4" fillId="0" borderId="1" xfId="2" applyNumberFormat="1" applyFont="1" applyFill="1" applyBorder="1"/>
    <xf numFmtId="9" fontId="4" fillId="0" borderId="11" xfId="2" applyNumberFormat="1" applyFont="1" applyFill="1" applyBorder="1"/>
    <xf numFmtId="44" fontId="23" fillId="18" borderId="7" xfId="0" applyNumberFormat="1" applyFont="1" applyFill="1" applyBorder="1"/>
    <xf numFmtId="44" fontId="23" fillId="18" borderId="8" xfId="0" applyNumberFormat="1" applyFont="1" applyFill="1" applyBorder="1"/>
    <xf numFmtId="44" fontId="6" fillId="7" borderId="11" xfId="2" applyFont="1" applyFill="1" applyBorder="1"/>
    <xf numFmtId="0" fontId="0" fillId="0" borderId="57" xfId="0" applyBorder="1"/>
    <xf numFmtId="44" fontId="5" fillId="0" borderId="1" xfId="0" applyNumberFormat="1" applyFont="1" applyBorder="1"/>
    <xf numFmtId="44" fontId="4" fillId="0" borderId="11" xfId="0" applyNumberFormat="1" applyFont="1" applyBorder="1"/>
    <xf numFmtId="44" fontId="4" fillId="7" borderId="11" xfId="0" applyNumberFormat="1" applyFont="1" applyFill="1" applyBorder="1"/>
    <xf numFmtId="44" fontId="4" fillId="9" borderId="11" xfId="0" applyNumberFormat="1" applyFont="1" applyFill="1" applyBorder="1"/>
    <xf numFmtId="44" fontId="20" fillId="7" borderId="27" xfId="0" applyNumberFormat="1" applyFont="1" applyFill="1" applyBorder="1"/>
    <xf numFmtId="9" fontId="4" fillId="0" borderId="11" xfId="9" applyFont="1" applyFill="1" applyBorder="1"/>
    <xf numFmtId="44" fontId="3" fillId="10" borderId="11" xfId="2" applyFont="1" applyFill="1" applyBorder="1"/>
    <xf numFmtId="0" fontId="3" fillId="0" borderId="0" xfId="6" applyFont="1" applyBorder="1"/>
    <xf numFmtId="9" fontId="3" fillId="0" borderId="0" xfId="9" applyFont="1" applyBorder="1"/>
    <xf numFmtId="44" fontId="5" fillId="0" borderId="0" xfId="2" applyFont="1" applyBorder="1"/>
    <xf numFmtId="0" fontId="3" fillId="0" borderId="7" xfId="6" applyFont="1" applyBorder="1"/>
    <xf numFmtId="0" fontId="0" fillId="0" borderId="8" xfId="0" applyBorder="1"/>
    <xf numFmtId="44" fontId="3" fillId="0" borderId="8" xfId="2" applyFont="1" applyBorder="1"/>
    <xf numFmtId="44" fontId="5" fillId="10" borderId="29" xfId="2" applyNumberFormat="1" applyFont="1" applyFill="1" applyBorder="1"/>
    <xf numFmtId="10" fontId="4" fillId="0" borderId="2" xfId="2" applyNumberFormat="1" applyFont="1" applyBorder="1"/>
    <xf numFmtId="8" fontId="4" fillId="0" borderId="1" xfId="2" applyNumberFormat="1" applyFont="1" applyFill="1" applyBorder="1"/>
    <xf numFmtId="0" fontId="9" fillId="0" borderId="0" xfId="0" applyFont="1"/>
    <xf numFmtId="0" fontId="4" fillId="0" borderId="0" xfId="0" applyFont="1"/>
    <xf numFmtId="0" fontId="0" fillId="0" borderId="0" xfId="0"/>
    <xf numFmtId="0" fontId="6" fillId="0" borderId="15" xfId="0" applyFont="1" applyBorder="1"/>
    <xf numFmtId="0" fontId="6" fillId="0" borderId="17" xfId="0" applyFont="1" applyBorder="1"/>
    <xf numFmtId="0" fontId="6" fillId="0" borderId="16" xfId="0" applyFont="1" applyBorder="1"/>
    <xf numFmtId="0" fontId="6" fillId="0" borderId="11" xfId="0" applyFont="1" applyBorder="1"/>
    <xf numFmtId="0" fontId="8" fillId="0" borderId="11" xfId="0" applyFont="1" applyBorder="1"/>
    <xf numFmtId="0" fontId="6" fillId="0" borderId="1" xfId="0" applyFont="1" applyBorder="1"/>
    <xf numFmtId="44" fontId="6" fillId="0" borderId="2" xfId="2" applyFont="1" applyBorder="1"/>
    <xf numFmtId="44" fontId="18" fillId="0" borderId="1" xfId="2" applyFont="1" applyBorder="1"/>
    <xf numFmtId="44" fontId="18" fillId="0" borderId="19" xfId="2" applyFont="1" applyBorder="1"/>
    <xf numFmtId="44" fontId="6" fillId="0" borderId="19" xfId="2" applyFont="1" applyBorder="1"/>
    <xf numFmtId="0" fontId="6" fillId="0" borderId="4" xfId="0" applyFont="1" applyBorder="1"/>
    <xf numFmtId="44" fontId="5" fillId="0" borderId="28" xfId="2" applyFont="1" applyBorder="1"/>
    <xf numFmtId="0" fontId="6" fillId="0" borderId="5" xfId="0" applyFont="1" applyBorder="1"/>
    <xf numFmtId="44" fontId="6" fillId="0" borderId="6" xfId="2" applyFont="1" applyBorder="1"/>
    <xf numFmtId="44" fontId="8" fillId="0" borderId="10" xfId="2" applyFont="1" applyBorder="1"/>
    <xf numFmtId="44" fontId="8" fillId="0" borderId="0" xfId="2" applyFont="1"/>
    <xf numFmtId="44" fontId="3" fillId="14" borderId="0" xfId="2" applyFont="1" applyFill="1" applyBorder="1" applyAlignment="1"/>
    <xf numFmtId="44" fontId="5" fillId="14" borderId="0" xfId="2" applyFont="1" applyFill="1" applyBorder="1"/>
    <xf numFmtId="0" fontId="36" fillId="12" borderId="16" xfId="0" applyFont="1" applyFill="1" applyBorder="1" applyAlignment="1">
      <alignment horizontal="center" vertical="center" wrapText="1"/>
    </xf>
    <xf numFmtId="0" fontId="29" fillId="0" borderId="0" xfId="0" applyFont="1"/>
    <xf numFmtId="0" fontId="23" fillId="0" borderId="0" xfId="0" applyFont="1" applyAlignment="1">
      <alignment vertical="center"/>
    </xf>
    <xf numFmtId="0" fontId="3" fillId="2" borderId="11" xfId="0" applyFont="1" applyFill="1" applyBorder="1" applyAlignment="1">
      <alignment vertical="center" wrapText="1"/>
    </xf>
    <xf numFmtId="0" fontId="3" fillId="2" borderId="3" xfId="0" applyFont="1" applyFill="1" applyBorder="1" applyAlignment="1">
      <alignment vertical="top" wrapText="1"/>
    </xf>
    <xf numFmtId="0" fontId="3" fillId="0" borderId="15" xfId="0" applyFont="1" applyBorder="1"/>
    <xf numFmtId="0" fontId="3" fillId="0" borderId="17" xfId="0" applyFont="1" applyBorder="1"/>
    <xf numFmtId="0" fontId="3" fillId="0" borderId="16" xfId="0" applyFont="1" applyBorder="1"/>
    <xf numFmtId="0" fontId="3" fillId="2" borderId="11" xfId="0" applyFont="1" applyFill="1" applyBorder="1" applyAlignment="1">
      <alignment horizontal="center"/>
    </xf>
    <xf numFmtId="0" fontId="3" fillId="2" borderId="11" xfId="0" applyFont="1" applyFill="1" applyBorder="1" applyAlignment="1">
      <alignment vertical="center"/>
    </xf>
    <xf numFmtId="0" fontId="5" fillId="2" borderId="11" xfId="0" applyFont="1" applyFill="1" applyBorder="1" applyAlignment="1">
      <alignment horizontal="center"/>
    </xf>
    <xf numFmtId="0" fontId="3" fillId="2" borderId="3" xfId="0" applyFont="1" applyFill="1" applyBorder="1" applyAlignment="1">
      <alignment horizontal="center" vertical="top"/>
    </xf>
    <xf numFmtId="0" fontId="3" fillId="2" borderId="3" xfId="0" applyFont="1" applyFill="1" applyBorder="1" applyAlignment="1">
      <alignment horizontal="left" vertical="top" wrapText="1"/>
    </xf>
    <xf numFmtId="0" fontId="3" fillId="2" borderId="3" xfId="0" applyFont="1" applyFill="1" applyBorder="1" applyAlignment="1">
      <alignment vertical="top" wrapText="1" shrinkToFit="1"/>
    </xf>
    <xf numFmtId="0" fontId="29" fillId="2" borderId="3" xfId="0" quotePrefix="1" applyFont="1" applyFill="1" applyBorder="1" applyAlignment="1">
      <alignment vertical="top" wrapText="1" shrinkToFit="1"/>
    </xf>
    <xf numFmtId="0" fontId="3" fillId="2" borderId="3" xfId="0" applyFont="1" applyFill="1" applyBorder="1" applyAlignment="1">
      <alignment wrapText="1"/>
    </xf>
    <xf numFmtId="0" fontId="5" fillId="2" borderId="3" xfId="0" applyFont="1" applyFill="1" applyBorder="1" applyAlignment="1">
      <alignment vertical="top" wrapText="1"/>
    </xf>
    <xf numFmtId="0" fontId="3" fillId="6" borderId="1" xfId="6" applyFont="1" applyFill="1" applyBorder="1" applyAlignment="1">
      <alignment horizontal="center" wrapText="1"/>
    </xf>
    <xf numFmtId="0" fontId="3" fillId="5" borderId="3" xfId="6" applyFont="1" applyFill="1" applyBorder="1" applyAlignment="1">
      <alignment horizontal="center" vertical="center"/>
    </xf>
    <xf numFmtId="0" fontId="3" fillId="5" borderId="3" xfId="6" applyFont="1" applyFill="1" applyBorder="1" applyAlignment="1">
      <alignment horizontal="center" vertical="center" wrapText="1"/>
    </xf>
    <xf numFmtId="0" fontId="3" fillId="5" borderId="3" xfId="6" applyFont="1" applyFill="1" applyBorder="1" applyAlignment="1">
      <alignment horizontal="center" wrapText="1"/>
    </xf>
    <xf numFmtId="0" fontId="3" fillId="19" borderId="26" xfId="0" applyFont="1" applyFill="1" applyBorder="1" applyAlignment="1">
      <alignment horizontal="center"/>
    </xf>
    <xf numFmtId="44" fontId="3" fillId="19" borderId="18" xfId="2" applyFont="1" applyFill="1" applyBorder="1" applyAlignment="1">
      <alignment horizontal="center"/>
    </xf>
    <xf numFmtId="44" fontId="3" fillId="19" borderId="0" xfId="2" applyFont="1" applyFill="1" applyBorder="1" applyAlignment="1">
      <alignment horizontal="center"/>
    </xf>
    <xf numFmtId="44" fontId="3" fillId="19" borderId="25" xfId="2" applyFont="1" applyFill="1" applyBorder="1" applyAlignment="1">
      <alignment horizontal="center"/>
    </xf>
    <xf numFmtId="0" fontId="5" fillId="19" borderId="18" xfId="0" applyFont="1" applyFill="1" applyBorder="1" applyAlignment="1">
      <alignment horizontal="center"/>
    </xf>
    <xf numFmtId="0" fontId="6" fillId="19" borderId="26" xfId="0" applyFont="1" applyFill="1" applyBorder="1" applyAlignment="1">
      <alignment horizontal="center"/>
    </xf>
    <xf numFmtId="44" fontId="5" fillId="19" borderId="18" xfId="2" applyFont="1" applyFill="1" applyBorder="1" applyAlignment="1">
      <alignment horizontal="center"/>
    </xf>
    <xf numFmtId="0" fontId="6" fillId="19" borderId="13" xfId="0" applyFont="1" applyFill="1" applyBorder="1" applyAlignment="1">
      <alignment horizontal="center"/>
    </xf>
    <xf numFmtId="44" fontId="4" fillId="19" borderId="3" xfId="2" applyFont="1" applyFill="1" applyBorder="1" applyAlignment="1">
      <alignment horizontal="center"/>
    </xf>
    <xf numFmtId="44" fontId="3" fillId="19" borderId="22" xfId="2" applyFont="1" applyFill="1" applyBorder="1" applyAlignment="1">
      <alignment horizontal="center"/>
    </xf>
    <xf numFmtId="44" fontId="3" fillId="19" borderId="3" xfId="2" applyFont="1" applyFill="1" applyBorder="1" applyAlignment="1">
      <alignment horizontal="center"/>
    </xf>
    <xf numFmtId="44" fontId="3" fillId="19" borderId="14" xfId="2" applyFont="1" applyFill="1" applyBorder="1" applyAlignment="1">
      <alignment horizontal="center"/>
    </xf>
    <xf numFmtId="44" fontId="5" fillId="19" borderId="3" xfId="2" applyFont="1" applyFill="1" applyBorder="1" applyAlignment="1">
      <alignment horizontal="center"/>
    </xf>
    <xf numFmtId="0" fontId="29" fillId="6" borderId="22" xfId="0" applyFont="1" applyFill="1" applyBorder="1" applyAlignment="1">
      <alignment horizontal="center" wrapText="1"/>
    </xf>
    <xf numFmtId="0" fontId="3" fillId="6" borderId="11" xfId="6" applyFont="1" applyFill="1" applyBorder="1" applyAlignment="1">
      <alignment horizontal="center" wrapText="1"/>
    </xf>
    <xf numFmtId="0" fontId="3" fillId="7" borderId="1" xfId="6" applyFont="1" applyFill="1" applyBorder="1" applyAlignment="1">
      <alignment horizontal="center" wrapText="1"/>
    </xf>
    <xf numFmtId="0" fontId="3" fillId="7" borderId="3" xfId="6" applyFont="1" applyFill="1" applyBorder="1" applyAlignment="1">
      <alignment horizontal="center" wrapText="1"/>
    </xf>
    <xf numFmtId="0" fontId="29" fillId="7" borderId="22" xfId="0" applyFont="1" applyFill="1" applyBorder="1" applyAlignment="1">
      <alignment horizontal="center" wrapText="1"/>
    </xf>
    <xf numFmtId="0" fontId="3" fillId="7" borderId="11" xfId="6" applyFont="1" applyFill="1" applyBorder="1" applyAlignment="1">
      <alignment horizontal="center" wrapText="1"/>
    </xf>
    <xf numFmtId="0" fontId="3" fillId="7" borderId="1" xfId="6" applyFont="1" applyFill="1" applyBorder="1" applyAlignment="1">
      <alignment horizontal="center" wrapText="1" shrinkToFi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23" fillId="2" borderId="1" xfId="0" applyFont="1" applyFill="1" applyBorder="1" applyAlignment="1">
      <alignment horizontal="center" vertical="top" wrapText="1"/>
    </xf>
    <xf numFmtId="0" fontId="36" fillId="12" borderId="48" xfId="0" applyFont="1" applyFill="1" applyBorder="1" applyAlignment="1">
      <alignment horizontal="center" vertical="center" wrapText="1"/>
    </xf>
    <xf numFmtId="0" fontId="36" fillId="12" borderId="11" xfId="0" applyFont="1" applyFill="1" applyBorder="1" applyAlignment="1">
      <alignment horizontal="center" vertical="center" wrapText="1"/>
    </xf>
    <xf numFmtId="0" fontId="36" fillId="12" borderId="1" xfId="0" applyFont="1" applyFill="1" applyBorder="1" applyAlignment="1">
      <alignment horizontal="center" vertical="center" wrapText="1"/>
    </xf>
    <xf numFmtId="0" fontId="36" fillId="12" borderId="17" xfId="0" applyFont="1" applyFill="1" applyBorder="1" applyAlignment="1">
      <alignment horizontal="center" vertical="center" wrapText="1"/>
    </xf>
    <xf numFmtId="0" fontId="36" fillId="12" borderId="11" xfId="0" applyFont="1" applyFill="1" applyBorder="1" applyAlignment="1">
      <alignment horizontal="center" wrapText="1"/>
    </xf>
    <xf numFmtId="0" fontId="36" fillId="12" borderId="16" xfId="0" applyFont="1" applyFill="1" applyBorder="1" applyAlignment="1">
      <alignment horizontal="center" wrapText="1"/>
    </xf>
    <xf numFmtId="0" fontId="3" fillId="8" borderId="16" xfId="0" applyFont="1" applyFill="1" applyBorder="1" applyAlignment="1">
      <alignment horizontal="center" vertical="center" wrapText="1"/>
    </xf>
    <xf numFmtId="0" fontId="3" fillId="8" borderId="48"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0" borderId="0" xfId="0" applyFont="1" applyAlignment="1"/>
    <xf numFmtId="0" fontId="29" fillId="0" borderId="0" xfId="0" applyFont="1" applyAlignment="1"/>
    <xf numFmtId="0" fontId="29" fillId="10" borderId="1" xfId="0" applyFont="1" applyFill="1" applyBorder="1" applyAlignment="1">
      <alignment horizontal="center" wrapText="1"/>
    </xf>
    <xf numFmtId="0" fontId="3" fillId="10" borderId="12" xfId="6" applyFont="1" applyFill="1" applyBorder="1" applyAlignment="1">
      <alignment horizontal="center"/>
    </xf>
    <xf numFmtId="0" fontId="3" fillId="10" borderId="12" xfId="6" applyFont="1" applyFill="1" applyBorder="1" applyAlignment="1">
      <alignment horizontal="center" wrapText="1"/>
    </xf>
    <xf numFmtId="0" fontId="3" fillId="10" borderId="1" xfId="6" applyFont="1" applyFill="1" applyBorder="1" applyAlignment="1">
      <alignment horizontal="center" wrapText="1"/>
    </xf>
    <xf numFmtId="0" fontId="3" fillId="4" borderId="17" xfId="6" applyFont="1" applyFill="1" applyBorder="1" applyAlignment="1">
      <alignment horizontal="center"/>
    </xf>
    <xf numFmtId="0" fontId="3" fillId="4" borderId="11" xfId="6" applyFont="1" applyFill="1" applyBorder="1" applyAlignment="1">
      <alignment horizontal="center"/>
    </xf>
    <xf numFmtId="44" fontId="3" fillId="4" borderId="22" xfId="2" applyFont="1" applyFill="1" applyBorder="1" applyAlignment="1">
      <alignment horizontal="center"/>
    </xf>
    <xf numFmtId="44" fontId="3" fillId="4" borderId="3" xfId="2" applyFont="1" applyFill="1" applyBorder="1" applyAlignment="1">
      <alignment horizontal="center"/>
    </xf>
    <xf numFmtId="0" fontId="51" fillId="0" borderId="0" xfId="0" applyFont="1"/>
    <xf numFmtId="0" fontId="3" fillId="6" borderId="16"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7" xfId="0" applyFont="1" applyFill="1" applyBorder="1" applyAlignment="1">
      <alignment horizontal="center" vertical="center"/>
    </xf>
    <xf numFmtId="0" fontId="3" fillId="6" borderId="11" xfId="0" applyFont="1" applyFill="1" applyBorder="1" applyAlignment="1">
      <alignment horizontal="center" wrapText="1"/>
    </xf>
    <xf numFmtId="0" fontId="3" fillId="6" borderId="16" xfId="0" applyFont="1" applyFill="1" applyBorder="1" applyAlignment="1">
      <alignment horizont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center" wrapText="1"/>
    </xf>
    <xf numFmtId="0" fontId="23" fillId="0" borderId="12" xfId="0" applyFont="1" applyBorder="1"/>
    <xf numFmtId="0" fontId="23" fillId="0" borderId="2" xfId="0" applyFont="1" applyBorder="1"/>
    <xf numFmtId="0" fontId="23" fillId="0" borderId="13" xfId="0" applyFont="1" applyBorder="1"/>
    <xf numFmtId="0" fontId="23" fillId="0" borderId="14" xfId="0" applyFont="1" applyBorder="1"/>
    <xf numFmtId="0" fontId="23" fillId="0" borderId="12" xfId="0" applyFont="1" applyBorder="1" applyAlignment="1">
      <alignment wrapText="1"/>
    </xf>
    <xf numFmtId="0" fontId="23" fillId="0" borderId="2" xfId="0" applyFont="1" applyBorder="1" applyAlignment="1">
      <alignment wrapText="1"/>
    </xf>
    <xf numFmtId="0" fontId="23" fillId="0" borderId="21" xfId="0" applyFont="1" applyBorder="1"/>
    <xf numFmtId="0" fontId="23" fillId="0" borderId="12" xfId="6" applyFont="1" applyBorder="1"/>
    <xf numFmtId="0" fontId="23" fillId="0" borderId="2" xfId="6" applyFont="1" applyBorder="1"/>
    <xf numFmtId="0" fontId="38" fillId="0" borderId="1" xfId="6" applyFont="1" applyBorder="1"/>
    <xf numFmtId="0" fontId="23" fillId="3" borderId="1" xfId="6" applyFont="1" applyFill="1" applyBorder="1" applyAlignment="1">
      <alignment horizontal="center" vertical="center" wrapText="1"/>
    </xf>
    <xf numFmtId="0" fontId="23" fillId="3" borderId="12" xfId="6" applyFont="1" applyFill="1" applyBorder="1" applyAlignment="1">
      <alignment horizontal="center" vertical="center" wrapText="1"/>
    </xf>
    <xf numFmtId="0" fontId="23" fillId="3" borderId="2" xfId="0" applyFont="1" applyFill="1" applyBorder="1" applyAlignment="1">
      <alignment horizontal="center" wrapText="1"/>
    </xf>
    <xf numFmtId="0" fontId="20" fillId="3" borderId="1" xfId="0" applyFont="1" applyFill="1" applyBorder="1" applyAlignment="1">
      <alignment horizontal="center" wrapText="1"/>
    </xf>
    <xf numFmtId="8" fontId="19" fillId="0" borderId="2" xfId="0" applyNumberFormat="1" applyFont="1" applyBorder="1"/>
    <xf numFmtId="0" fontId="3" fillId="3" borderId="11" xfId="0" applyFont="1" applyFill="1" applyBorder="1" applyAlignment="1">
      <alignment horizontal="center" wrapText="1"/>
    </xf>
    <xf numFmtId="0" fontId="3" fillId="3" borderId="3" xfId="0" applyFont="1" applyFill="1" applyBorder="1" applyAlignment="1">
      <alignment horizontal="center" wrapText="1"/>
    </xf>
    <xf numFmtId="0" fontId="3" fillId="3" borderId="15" xfId="0" applyFont="1" applyFill="1" applyBorder="1" applyAlignment="1">
      <alignment horizontal="center"/>
    </xf>
    <xf numFmtId="0" fontId="3" fillId="3" borderId="11" xfId="0" applyFont="1" applyFill="1" applyBorder="1" applyAlignment="1">
      <alignment horizontal="center"/>
    </xf>
    <xf numFmtId="0" fontId="3" fillId="3" borderId="3" xfId="0" applyFont="1" applyFill="1" applyBorder="1" applyAlignment="1">
      <alignment horizontal="center"/>
    </xf>
    <xf numFmtId="0" fontId="3" fillId="3" borderId="14" xfId="0" applyFont="1" applyFill="1" applyBorder="1" applyAlignment="1">
      <alignment horizontal="center"/>
    </xf>
    <xf numFmtId="0" fontId="29" fillId="13" borderId="1" xfId="0" applyFont="1" applyFill="1" applyBorder="1" applyAlignment="1">
      <alignment horizontal="center"/>
    </xf>
    <xf numFmtId="0" fontId="20" fillId="11" borderId="1" xfId="0" applyFont="1" applyFill="1" applyBorder="1" applyAlignment="1">
      <alignment horizontal="center" wrapText="1"/>
    </xf>
    <xf numFmtId="43" fontId="53" fillId="0" borderId="0" xfId="11" quotePrefix="1" applyFont="1" applyBorder="1" applyAlignment="1">
      <alignment horizontal="center" wrapText="1"/>
    </xf>
    <xf numFmtId="169" fontId="54" fillId="0" borderId="0" xfId="12" applyFont="1">
      <alignment horizontal="left" indent="1"/>
    </xf>
    <xf numFmtId="43" fontId="55" fillId="0" borderId="0" xfId="11" quotePrefix="1" applyFont="1" applyBorder="1" applyAlignment="1">
      <alignment horizontal="center" wrapText="1"/>
    </xf>
    <xf numFmtId="0" fontId="55" fillId="0" borderId="0" xfId="0" applyFont="1" applyBorder="1" applyAlignment="1">
      <alignment horizontal="center" wrapText="1"/>
    </xf>
    <xf numFmtId="0" fontId="55" fillId="0" borderId="25" xfId="0" applyFont="1" applyBorder="1" applyAlignment="1">
      <alignment horizontal="center" wrapText="1"/>
    </xf>
    <xf numFmtId="169" fontId="54" fillId="0" borderId="52" xfId="12" applyFont="1" applyBorder="1">
      <alignment horizontal="left" indent="1"/>
    </xf>
    <xf numFmtId="169" fontId="54" fillId="0" borderId="26" xfId="12" applyFont="1" applyBorder="1">
      <alignment horizontal="left" indent="1"/>
    </xf>
    <xf numFmtId="169" fontId="54" fillId="0" borderId="13" xfId="12" applyFont="1" applyBorder="1">
      <alignment horizontal="left" indent="1"/>
    </xf>
    <xf numFmtId="0" fontId="29" fillId="0" borderId="5" xfId="7" applyFont="1" applyBorder="1"/>
    <xf numFmtId="0" fontId="29" fillId="0" borderId="6" xfId="7" applyFont="1" applyBorder="1"/>
    <xf numFmtId="0" fontId="29" fillId="0" borderId="34" xfId="7" applyFont="1" applyBorder="1"/>
    <xf numFmtId="0" fontId="3" fillId="0" borderId="43" xfId="7" applyFont="1" applyBorder="1"/>
    <xf numFmtId="0" fontId="3" fillId="0" borderId="0" xfId="7" applyFont="1" applyBorder="1"/>
    <xf numFmtId="0" fontId="5" fillId="0" borderId="6" xfId="6" applyFont="1" applyFill="1" applyBorder="1"/>
    <xf numFmtId="0" fontId="5" fillId="0" borderId="8" xfId="6" applyFont="1" applyFill="1" applyBorder="1" applyAlignment="1">
      <alignment horizontal="center"/>
    </xf>
    <xf numFmtId="0" fontId="5" fillId="0" borderId="8" xfId="6" applyFont="1" applyFill="1" applyBorder="1"/>
    <xf numFmtId="0" fontId="5" fillId="0" borderId="0" xfId="6" applyFont="1" applyFill="1"/>
    <xf numFmtId="0" fontId="31" fillId="7" borderId="7" xfId="6" applyFont="1" applyFill="1" applyBorder="1" applyAlignment="1">
      <alignment vertical="center" wrapText="1"/>
    </xf>
    <xf numFmtId="0" fontId="0" fillId="0" borderId="8" xfId="0" applyBorder="1" applyAlignment="1">
      <alignment wrapText="1"/>
    </xf>
    <xf numFmtId="0" fontId="23" fillId="0" borderId="0" xfId="0" applyFont="1" applyAlignment="1"/>
    <xf numFmtId="0" fontId="0" fillId="0" borderId="0" xfId="0" applyFont="1" applyAlignment="1"/>
    <xf numFmtId="0" fontId="4" fillId="0" borderId="22" xfId="0" applyFont="1" applyBorder="1" applyAlignment="1"/>
    <xf numFmtId="0" fontId="0" fillId="0" borderId="22" xfId="0" applyBorder="1" applyAlignment="1"/>
    <xf numFmtId="0" fontId="23" fillId="0" borderId="0" xfId="0" applyFont="1" applyAlignment="1">
      <alignment horizontal="left"/>
    </xf>
    <xf numFmtId="0" fontId="0" fillId="0" borderId="0" xfId="0" applyAlignment="1"/>
    <xf numFmtId="0" fontId="23" fillId="0" borderId="0" xfId="0" applyFont="1" applyAlignment="1">
      <alignment vertical="center"/>
    </xf>
    <xf numFmtId="0" fontId="0" fillId="0" borderId="0" xfId="0" applyAlignment="1">
      <alignment vertical="center"/>
    </xf>
    <xf numFmtId="0" fontId="4" fillId="0" borderId="40" xfId="6" applyFont="1" applyFill="1" applyBorder="1"/>
    <xf numFmtId="0" fontId="4" fillId="0" borderId="22" xfId="6" applyFont="1" applyFill="1" applyBorder="1"/>
    <xf numFmtId="0" fontId="4" fillId="0" borderId="42" xfId="6" applyFont="1" applyFill="1" applyBorder="1" applyAlignment="1">
      <alignment horizontal="left" wrapText="1"/>
    </xf>
    <xf numFmtId="0" fontId="4" fillId="0" borderId="2" xfId="6" applyFont="1" applyFill="1" applyBorder="1" applyAlignment="1">
      <alignment horizontal="left" wrapText="1"/>
    </xf>
    <xf numFmtId="0" fontId="3" fillId="0" borderId="0" xfId="6" applyFont="1"/>
    <xf numFmtId="0" fontId="3" fillId="6" borderId="44" xfId="6" applyFont="1" applyFill="1" applyBorder="1" applyAlignment="1">
      <alignment horizontal="center" wrapText="1"/>
    </xf>
    <xf numFmtId="0" fontId="3" fillId="6" borderId="46" xfId="6" applyFont="1" applyFill="1" applyBorder="1" applyAlignment="1">
      <alignment horizontal="center" wrapText="1"/>
    </xf>
    <xf numFmtId="0" fontId="9" fillId="0" borderId="9" xfId="6" applyFont="1" applyBorder="1"/>
    <xf numFmtId="0" fontId="9" fillId="0" borderId="36" xfId="6" applyFont="1" applyBorder="1"/>
    <xf numFmtId="0" fontId="4" fillId="0" borderId="42" xfId="6" applyFont="1" applyFill="1" applyBorder="1"/>
    <xf numFmtId="0" fontId="4" fillId="0" borderId="45" xfId="6" applyFont="1" applyFill="1" applyBorder="1"/>
    <xf numFmtId="0" fontId="4" fillId="0" borderId="41" xfId="6" applyFont="1" applyFill="1" applyBorder="1"/>
    <xf numFmtId="0" fontId="4" fillId="0" borderId="17" xfId="6" applyFont="1" applyFill="1" applyBorder="1"/>
    <xf numFmtId="0" fontId="9" fillId="0" borderId="8" xfId="6" applyFont="1" applyBorder="1"/>
    <xf numFmtId="0" fontId="9" fillId="0" borderId="27" xfId="6" applyFont="1" applyBorder="1"/>
    <xf numFmtId="0" fontId="3" fillId="7" borderId="12" xfId="6" applyFont="1" applyFill="1" applyBorder="1" applyAlignment="1">
      <alignment horizontal="center" wrapText="1"/>
    </xf>
    <xf numFmtId="0" fontId="3" fillId="7" borderId="2" xfId="6" applyFont="1" applyFill="1" applyBorder="1" applyAlignment="1">
      <alignment horizontal="center" wrapText="1"/>
    </xf>
    <xf numFmtId="168" fontId="4" fillId="0" borderId="12" xfId="2" applyNumberFormat="1" applyFont="1" applyFill="1" applyBorder="1"/>
    <xf numFmtId="168" fontId="4" fillId="0" borderId="2" xfId="2" applyNumberFormat="1" applyFont="1" applyFill="1" applyBorder="1"/>
    <xf numFmtId="168" fontId="4" fillId="0" borderId="12" xfId="6" applyNumberFormat="1" applyFont="1" applyFill="1" applyBorder="1"/>
    <xf numFmtId="168" fontId="4" fillId="0" borderId="2" xfId="6" applyNumberFormat="1" applyFont="1" applyFill="1" applyBorder="1"/>
    <xf numFmtId="0" fontId="3" fillId="7" borderId="12" xfId="6" applyFont="1" applyFill="1" applyBorder="1" applyAlignment="1">
      <alignment horizontal="center"/>
    </xf>
    <xf numFmtId="0" fontId="0" fillId="0" borderId="2" xfId="0" applyBorder="1" applyAlignment="1">
      <alignment horizontal="center"/>
    </xf>
    <xf numFmtId="0" fontId="23" fillId="0" borderId="0" xfId="6" applyFont="1" applyAlignment="1">
      <alignment vertical="top" wrapText="1"/>
    </xf>
    <xf numFmtId="0" fontId="3" fillId="0" borderId="41" xfId="6" applyFont="1" applyFill="1" applyBorder="1"/>
    <xf numFmtId="0" fontId="3" fillId="0" borderId="17" xfId="6" applyFont="1" applyFill="1" applyBorder="1"/>
    <xf numFmtId="0" fontId="16" fillId="0" borderId="0" xfId="0" applyFont="1" applyBorder="1"/>
    <xf numFmtId="0" fontId="3" fillId="7" borderId="44" xfId="6" applyFont="1" applyFill="1" applyBorder="1" applyAlignment="1">
      <alignment horizontal="center" wrapText="1"/>
    </xf>
    <xf numFmtId="0" fontId="3" fillId="7" borderId="46" xfId="6" applyFont="1" applyFill="1" applyBorder="1" applyAlignment="1">
      <alignment horizontal="center" wrapText="1"/>
    </xf>
    <xf numFmtId="0" fontId="3" fillId="0" borderId="40" xfId="6" applyFont="1" applyFill="1" applyBorder="1"/>
    <xf numFmtId="0" fontId="3" fillId="0" borderId="22" xfId="6" applyFont="1" applyFill="1" applyBorder="1"/>
    <xf numFmtId="0" fontId="3" fillId="0" borderId="42" xfId="6" applyFont="1" applyFill="1" applyBorder="1"/>
    <xf numFmtId="0" fontId="3" fillId="0" borderId="45" xfId="6" applyFont="1" applyFill="1" applyBorder="1"/>
    <xf numFmtId="0" fontId="9" fillId="0" borderId="0" xfId="0" applyFont="1"/>
    <xf numFmtId="0" fontId="5" fillId="0" borderId="0" xfId="0" applyFont="1" applyBorder="1" applyAlignment="1"/>
    <xf numFmtId="0" fontId="0" fillId="0" borderId="0" xfId="0" applyBorder="1" applyAlignment="1"/>
    <xf numFmtId="0" fontId="0" fillId="0" borderId="37" xfId="0" applyBorder="1" applyAlignment="1"/>
    <xf numFmtId="0" fontId="38" fillId="0" borderId="6" xfId="0" applyFont="1" applyBorder="1" applyAlignment="1">
      <alignment horizontal="center" wrapText="1"/>
    </xf>
    <xf numFmtId="0" fontId="20" fillId="0" borderId="12" xfId="0" applyFont="1" applyBorder="1"/>
    <xf numFmtId="0" fontId="20" fillId="0" borderId="2" xfId="0" applyFont="1" applyBorder="1"/>
    <xf numFmtId="0" fontId="24" fillId="0" borderId="20" xfId="0" applyFont="1" applyBorder="1"/>
    <xf numFmtId="0" fontId="24" fillId="0" borderId="21" xfId="0" applyFont="1" applyBorder="1"/>
    <xf numFmtId="0" fontId="19" fillId="0" borderId="22" xfId="0" applyFont="1" applyBorder="1"/>
    <xf numFmtId="0" fontId="29" fillId="0" borderId="0" xfId="0" applyFont="1"/>
    <xf numFmtId="0" fontId="29" fillId="0" borderId="22" xfId="0" applyFont="1" applyBorder="1"/>
    <xf numFmtId="0" fontId="36" fillId="12" borderId="15" xfId="0" applyFont="1" applyFill="1" applyBorder="1" applyAlignment="1">
      <alignment horizontal="center" vertical="center" wrapText="1"/>
    </xf>
    <xf numFmtId="0" fontId="36" fillId="12" borderId="16" xfId="0" applyFont="1" applyFill="1" applyBorder="1" applyAlignment="1">
      <alignment horizontal="center" vertical="center" wrapText="1"/>
    </xf>
    <xf numFmtId="0" fontId="23" fillId="0" borderId="13" xfId="0" applyFont="1" applyBorder="1" applyAlignment="1">
      <alignment horizontal="left" vertical="top"/>
    </xf>
    <xf numFmtId="0" fontId="23" fillId="0" borderId="14" xfId="0" applyFont="1" applyBorder="1" applyAlignment="1">
      <alignment horizontal="left" vertical="top"/>
    </xf>
    <xf numFmtId="0" fontId="0" fillId="0" borderId="1" xfId="0" applyBorder="1"/>
    <xf numFmtId="0" fontId="9" fillId="0" borderId="8" xfId="0" applyFont="1" applyBorder="1" applyAlignment="1">
      <alignment horizontal="center" wrapText="1"/>
    </xf>
    <xf numFmtId="0" fontId="3" fillId="8" borderId="1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18" fillId="0" borderId="1" xfId="0" applyFont="1" applyBorder="1" applyAlignment="1">
      <alignment horizontal="center"/>
    </xf>
    <xf numFmtId="0" fontId="6" fillId="0" borderId="12" xfId="0" applyFont="1" applyBorder="1" applyAlignment="1">
      <alignment horizontal="left" vertical="top"/>
    </xf>
    <xf numFmtId="0" fontId="6" fillId="0" borderId="2" xfId="0" applyFont="1" applyBorder="1" applyAlignment="1">
      <alignment horizontal="left" vertical="top"/>
    </xf>
    <xf numFmtId="0" fontId="6" fillId="0" borderId="12" xfId="0" applyFont="1" applyBorder="1" applyAlignment="1">
      <alignment horizontal="center" vertical="top"/>
    </xf>
    <xf numFmtId="0" fontId="6" fillId="0" borderId="45" xfId="0" applyFont="1" applyBorder="1" applyAlignment="1">
      <alignment horizontal="center" vertical="top"/>
    </xf>
    <xf numFmtId="0" fontId="0" fillId="0" borderId="12" xfId="0" applyBorder="1"/>
    <xf numFmtId="0" fontId="0" fillId="0" borderId="45" xfId="0" applyBorder="1"/>
    <xf numFmtId="0" fontId="9" fillId="0" borderId="0" xfId="6" applyFont="1" applyBorder="1"/>
    <xf numFmtId="0" fontId="0" fillId="0" borderId="15" xfId="0" applyBorder="1"/>
    <xf numFmtId="0" fontId="0" fillId="0" borderId="17" xfId="0" applyBorder="1"/>
    <xf numFmtId="0" fontId="29" fillId="0" borderId="0" xfId="0" applyFont="1" applyAlignment="1"/>
    <xf numFmtId="0" fontId="51" fillId="0" borderId="0" xfId="0" applyFont="1" applyAlignment="1"/>
    <xf numFmtId="0" fontId="3" fillId="4" borderId="11" xfId="6" applyFont="1" applyFill="1" applyBorder="1" applyAlignment="1">
      <alignment horizontal="center" vertical="center" wrapText="1"/>
    </xf>
    <xf numFmtId="0" fontId="52" fillId="4" borderId="3" xfId="6" applyFont="1" applyFill="1" applyBorder="1" applyAlignment="1">
      <alignment horizontal="center" vertical="center" wrapText="1"/>
    </xf>
    <xf numFmtId="0" fontId="3" fillId="4" borderId="15" xfId="6" applyFont="1" applyFill="1" applyBorder="1" applyAlignment="1">
      <alignment horizontal="center" vertical="center" wrapText="1"/>
    </xf>
    <xf numFmtId="0" fontId="3" fillId="4" borderId="16" xfId="6" applyFont="1" applyFill="1" applyBorder="1" applyAlignment="1">
      <alignment horizontal="center" vertical="center" wrapText="1"/>
    </xf>
    <xf numFmtId="0" fontId="3" fillId="4" borderId="13" xfId="6" applyFont="1" applyFill="1" applyBorder="1" applyAlignment="1">
      <alignment horizontal="center" vertical="center" wrapText="1"/>
    </xf>
    <xf numFmtId="0" fontId="3" fillId="4" borderId="14" xfId="6" applyFont="1" applyFill="1" applyBorder="1" applyAlignment="1">
      <alignment horizontal="center" vertical="center" wrapText="1"/>
    </xf>
    <xf numFmtId="0" fontId="29" fillId="0" borderId="12" xfId="0" applyFont="1" applyBorder="1" applyAlignment="1">
      <alignment horizontal="center"/>
    </xf>
    <xf numFmtId="0" fontId="29" fillId="0" borderId="45" xfId="0" applyFont="1" applyBorder="1" applyAlignment="1">
      <alignment horizontal="center"/>
    </xf>
    <xf numFmtId="0" fontId="29" fillId="0" borderId="2" xfId="0" applyFont="1" applyBorder="1" applyAlignment="1">
      <alignment horizontal="center"/>
    </xf>
    <xf numFmtId="0" fontId="20" fillId="0" borderId="20" xfId="0" applyFont="1" applyBorder="1"/>
    <xf numFmtId="0" fontId="20" fillId="0" borderId="21" xfId="0" applyFont="1" applyBorder="1"/>
    <xf numFmtId="0" fontId="25" fillId="0" borderId="0" xfId="0" applyFont="1" applyBorder="1" applyAlignment="1">
      <alignment horizontal="center"/>
    </xf>
    <xf numFmtId="0" fontId="20" fillId="0" borderId="12" xfId="0" applyFont="1" applyBorder="1" applyAlignment="1">
      <alignment horizontal="left"/>
    </xf>
    <xf numFmtId="0" fontId="20" fillId="0" borderId="2" xfId="0" applyFont="1" applyBorder="1" applyAlignment="1">
      <alignment horizontal="left"/>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6" fillId="0" borderId="13" xfId="0" applyFont="1" applyBorder="1" applyAlignment="1">
      <alignment horizontal="left" vertical="top"/>
    </xf>
    <xf numFmtId="0" fontId="6" fillId="0" borderId="14" xfId="0" applyFont="1" applyBorder="1" applyAlignment="1">
      <alignment horizontal="left" vertical="top"/>
    </xf>
    <xf numFmtId="0" fontId="20" fillId="0" borderId="12" xfId="0" applyFont="1" applyBorder="1" applyAlignment="1">
      <alignment horizontal="left" vertical="top"/>
    </xf>
    <xf numFmtId="0" fontId="20" fillId="0" borderId="2" xfId="0" applyFont="1" applyBorder="1" applyAlignment="1">
      <alignment horizontal="left" vertical="top"/>
    </xf>
    <xf numFmtId="0" fontId="3" fillId="0" borderId="0" xfId="0" applyFont="1" applyAlignment="1"/>
    <xf numFmtId="0" fontId="9" fillId="0" borderId="0" xfId="0" applyFont="1" applyBorder="1"/>
    <xf numFmtId="0" fontId="23" fillId="3" borderId="12" xfId="6" applyFont="1" applyFill="1" applyBorder="1" applyAlignment="1">
      <alignment horizontal="center" vertical="center" wrapText="1"/>
    </xf>
    <xf numFmtId="0" fontId="23" fillId="3" borderId="2" xfId="6" applyFont="1" applyFill="1" applyBorder="1" applyAlignment="1">
      <alignment horizontal="center" vertical="center" wrapText="1"/>
    </xf>
    <xf numFmtId="0" fontId="23" fillId="0" borderId="12" xfId="6" applyFont="1" applyBorder="1" applyAlignment="1">
      <alignment wrapText="1"/>
    </xf>
    <xf numFmtId="0" fontId="23" fillId="0" borderId="2" xfId="6" applyFont="1" applyBorder="1" applyAlignment="1">
      <alignment wrapText="1"/>
    </xf>
    <xf numFmtId="0" fontId="23" fillId="0" borderId="15" xfId="6" applyFont="1" applyBorder="1" applyAlignment="1">
      <alignment wrapText="1"/>
    </xf>
    <xf numFmtId="0" fontId="23" fillId="0" borderId="16" xfId="6" applyFont="1" applyBorder="1" applyAlignment="1">
      <alignment wrapText="1"/>
    </xf>
    <xf numFmtId="0" fontId="23" fillId="0" borderId="12" xfId="0" applyFont="1" applyBorder="1" applyAlignment="1">
      <alignment wrapText="1"/>
    </xf>
    <xf numFmtId="0" fontId="23" fillId="0" borderId="2" xfId="0" applyFont="1" applyBorder="1" applyAlignment="1">
      <alignment wrapText="1"/>
    </xf>
    <xf numFmtId="0" fontId="3" fillId="0" borderId="0" xfId="6" applyFont="1" applyBorder="1"/>
    <xf numFmtId="0" fontId="23" fillId="0" borderId="0" xfId="6" applyFont="1" applyBorder="1" applyAlignment="1">
      <alignment vertical="top" wrapText="1"/>
    </xf>
    <xf numFmtId="0" fontId="5" fillId="3" borderId="12" xfId="0" applyFont="1" applyFill="1" applyBorder="1" applyAlignment="1">
      <alignment horizontal="center"/>
    </xf>
    <xf numFmtId="0" fontId="51" fillId="0" borderId="2" xfId="0" applyFont="1" applyBorder="1" applyAlignment="1">
      <alignment horizontal="center"/>
    </xf>
    <xf numFmtId="0" fontId="4" fillId="0" borderId="12" xfId="6" applyFont="1" applyBorder="1" applyAlignment="1">
      <alignment wrapText="1"/>
    </xf>
    <xf numFmtId="0" fontId="4" fillId="0" borderId="2" xfId="6" applyFont="1" applyBorder="1" applyAlignment="1">
      <alignment wrapText="1"/>
    </xf>
    <xf numFmtId="0" fontId="4" fillId="0" borderId="12" xfId="6" applyFont="1" applyBorder="1" applyAlignment="1"/>
    <xf numFmtId="0" fontId="4" fillId="0" borderId="2" xfId="6" applyFont="1" applyBorder="1" applyAlignment="1"/>
    <xf numFmtId="0" fontId="5" fillId="0" borderId="7" xfId="6" applyFont="1" applyBorder="1"/>
    <xf numFmtId="0" fontId="5" fillId="0" borderId="27" xfId="6" applyFont="1" applyBorder="1"/>
    <xf numFmtId="0" fontId="4" fillId="0" borderId="12" xfId="6" applyFont="1" applyBorder="1"/>
    <xf numFmtId="0" fontId="4" fillId="0" borderId="2" xfId="6" applyFont="1" applyBorder="1"/>
    <xf numFmtId="0" fontId="0" fillId="0" borderId="0" xfId="0" applyAlignment="1">
      <alignment wrapText="1"/>
    </xf>
    <xf numFmtId="0" fontId="29" fillId="11" borderId="12" xfId="0" applyFont="1" applyFill="1" applyBorder="1" applyAlignment="1">
      <alignment horizontal="center" vertical="center"/>
    </xf>
    <xf numFmtId="0" fontId="29" fillId="11" borderId="2" xfId="0" applyFont="1" applyFill="1" applyBorder="1" applyAlignment="1">
      <alignment horizontal="center" vertical="center"/>
    </xf>
    <xf numFmtId="9" fontId="29" fillId="0" borderId="12" xfId="8" applyFont="1" applyBorder="1" applyAlignment="1">
      <alignment horizontal="center"/>
    </xf>
    <xf numFmtId="9" fontId="29" fillId="0" borderId="2" xfId="8" applyFont="1" applyBorder="1" applyAlignment="1">
      <alignment horizontal="center"/>
    </xf>
    <xf numFmtId="0" fontId="29" fillId="0" borderId="49" xfId="0" applyFont="1" applyBorder="1" applyAlignment="1">
      <alignment horizontal="center"/>
    </xf>
    <xf numFmtId="0" fontId="0" fillId="0" borderId="0" xfId="0"/>
    <xf numFmtId="0" fontId="50" fillId="17" borderId="0" xfId="0" applyFont="1" applyFill="1" applyAlignment="1">
      <alignment horizontal="center"/>
    </xf>
  </cellXfs>
  <cellStyles count="13">
    <cellStyle name="Comma" xfId="11" builtinId="3"/>
    <cellStyle name="Comma 2" xfId="1"/>
    <cellStyle name="Currency" xfId="10" builtinId="4"/>
    <cellStyle name="Currency 2" xfId="2"/>
    <cellStyle name="Currency 3" xfId="3"/>
    <cellStyle name="Currency 3 2" xfId="4"/>
    <cellStyle name="Description" xfId="12"/>
    <cellStyle name="Hyperlink" xfId="5" builtinId="8"/>
    <cellStyle name="Normal" xfId="0" builtinId="0"/>
    <cellStyle name="Normal 2" xfId="6"/>
    <cellStyle name="Normal 3" xfId="7"/>
    <cellStyle name="Percent" xfId="8" builtinId="5"/>
    <cellStyle name="Percent 2" xfId="9"/>
  </cellStyles>
  <dxfs count="0"/>
  <tableStyles count="0" defaultTableStyle="TableStyleMedium9" defaultPivotStyle="PivotStyleLight16"/>
  <colors>
    <mruColors>
      <color rgb="FF7EC2D3"/>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190500</xdr:colOff>
      <xdr:row>24</xdr:row>
      <xdr:rowOff>431800</xdr:rowOff>
    </xdr:from>
    <xdr:to>
      <xdr:col>7</xdr:col>
      <xdr:colOff>527050</xdr:colOff>
      <xdr:row>37</xdr:row>
      <xdr:rowOff>25400</xdr:rowOff>
    </xdr:to>
    <xdr:sp macro="" textlink="">
      <xdr:nvSpPr>
        <xdr:cNvPr id="3" name="TextBox 2"/>
        <xdr:cNvSpPr txBox="1"/>
      </xdr:nvSpPr>
      <xdr:spPr>
        <a:xfrm>
          <a:off x="4210050" y="4346575"/>
          <a:ext cx="2870200" cy="167957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Please provide a description</a:t>
          </a:r>
          <a:r>
            <a:rPr lang="en-US" sz="1100" baseline="0"/>
            <a:t> of the use of the carryover funds:</a:t>
          </a:r>
          <a:endParaRPr lang="en-US" sz="1100"/>
        </a:p>
      </xdr:txBody>
    </xdr: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olstice">
  <a:themeElements>
    <a:clrScheme name="Solstice">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Solstice">
      <a:majorFont>
        <a:latin typeface="Gill Sans MT"/>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Gill Sans MT"/>
        <a:ea typeface=""/>
        <a:cs typeface=""/>
        <a:font script="Grek" typeface="Corbel"/>
        <a:font script="Cyrl" typeface="Corbel"/>
        <a:font script="Jpan" typeface="HGｺﾞｼｯｸE"/>
        <a:font script="Hang" typeface="HY엽서L"/>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inorFont>
    </a:fontScheme>
    <a:fmtScheme name="Solstice">
      <a:fillStyleLst>
        <a:solidFill>
          <a:schemeClr val="phClr"/>
        </a:solidFill>
        <a:gradFill rotWithShape="1">
          <a:gsLst>
            <a:gs pos="0">
              <a:schemeClr val="phClr">
                <a:tint val="35000"/>
                <a:satMod val="253000"/>
              </a:schemeClr>
            </a:gs>
            <a:gs pos="50000">
              <a:schemeClr val="phClr">
                <a:tint val="42000"/>
                <a:satMod val="255000"/>
              </a:schemeClr>
            </a:gs>
            <a:gs pos="97000">
              <a:schemeClr val="phClr">
                <a:tint val="53000"/>
                <a:satMod val="260000"/>
              </a:schemeClr>
            </a:gs>
            <a:gs pos="100000">
              <a:schemeClr val="phClr">
                <a:tint val="56000"/>
                <a:satMod val="275000"/>
              </a:schemeClr>
            </a:gs>
          </a:gsLst>
          <a:path path="circle">
            <a:fillToRect l="50000" t="50000" r="50000" b="50000"/>
          </a:path>
        </a:gradFill>
        <a:gradFill rotWithShape="1">
          <a:gsLst>
            <a:gs pos="0">
              <a:schemeClr val="phClr">
                <a:tint val="92000"/>
                <a:satMod val="170000"/>
              </a:schemeClr>
            </a:gs>
            <a:gs pos="15000">
              <a:schemeClr val="phClr">
                <a:tint val="92000"/>
                <a:shade val="99000"/>
                <a:satMod val="170000"/>
              </a:schemeClr>
            </a:gs>
            <a:gs pos="62000">
              <a:schemeClr val="phClr">
                <a:tint val="96000"/>
                <a:shade val="80000"/>
                <a:satMod val="170000"/>
              </a:schemeClr>
            </a:gs>
            <a:gs pos="97000">
              <a:schemeClr val="phClr">
                <a:tint val="98000"/>
                <a:shade val="63000"/>
                <a:satMod val="170000"/>
              </a:schemeClr>
            </a:gs>
            <a:gs pos="100000">
              <a:schemeClr val="phClr">
                <a:shade val="62000"/>
                <a:satMod val="170000"/>
              </a:schemeClr>
            </a:gs>
          </a:gsLst>
          <a:path path="circle">
            <a:fillToRect l="50000" t="50000" r="50000" b="50000"/>
          </a:path>
        </a:gradFill>
      </a:fillStyleLst>
      <a:lnStyleLst>
        <a:ln w="9525" cap="flat" cmpd="sng" algn="ctr">
          <a:solidFill>
            <a:schemeClr val="phClr"/>
          </a:solidFill>
          <a:prstDash val="solid"/>
        </a:ln>
        <a:ln w="254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5400000" rotWithShape="0">
              <a:srgbClr val="000000">
                <a:alpha val="43137"/>
              </a:srgbClr>
            </a:outerShdw>
          </a:effectLst>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8700000"/>
            </a:lightRig>
          </a:scene3d>
          <a:sp3d contourW="12700">
            <a:bevelT w="0" h="0"/>
            <a:contourClr>
              <a:schemeClr val="phClr">
                <a:shade val="80000"/>
              </a:schemeClr>
            </a:contourClr>
          </a:sp3d>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5400000"/>
            </a:lightRig>
          </a:scene3d>
          <a:sp3d contourW="12700">
            <a:bevelT w="25400" h="50800" prst="angle"/>
            <a:contourClr>
              <a:schemeClr val="phClr"/>
            </a:contourClr>
          </a:sp3d>
        </a:effectStyle>
      </a:effectStyleLst>
      <a:bgFillStyleLst>
        <a:solidFill>
          <a:schemeClr val="phClr"/>
        </a:solidFill>
        <a:gradFill rotWithShape="1">
          <a:gsLst>
            <a:gs pos="0">
              <a:schemeClr val="phClr">
                <a:tint val="60000"/>
                <a:satMod val="355000"/>
              </a:schemeClr>
            </a:gs>
            <a:gs pos="40000">
              <a:schemeClr val="phClr">
                <a:tint val="85000"/>
                <a:satMod val="320000"/>
              </a:schemeClr>
            </a:gs>
            <a:gs pos="100000">
              <a:schemeClr val="phClr">
                <a:shade val="55000"/>
                <a:satMod val="300000"/>
              </a:schemeClr>
            </a:gs>
          </a:gsLst>
          <a:path path="circle">
            <a:fillToRect l="-24500" t="-20000" r="124500" b="120000"/>
          </a:path>
        </a:gradFill>
        <a:blipFill>
          <a:blip xmlns:r="http://schemas.openxmlformats.org/officeDocument/2006/relationships" r:embed="rId1">
            <a:duotone>
              <a:schemeClr val="phClr">
                <a:shade val="9000"/>
                <a:satMod val="300000"/>
              </a:schemeClr>
              <a:schemeClr val="phClr">
                <a:tint val="90000"/>
                <a:satMod val="225000"/>
              </a:schemeClr>
            </a:duotone>
          </a:blip>
          <a:tile tx="0" ty="0" sx="90000" sy="90000" flip="xy"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4"/>
  <sheetViews>
    <sheetView tabSelected="1" zoomScaleNormal="100" workbookViewId="0">
      <selection activeCell="C9" sqref="C9"/>
    </sheetView>
  </sheetViews>
  <sheetFormatPr defaultRowHeight="15.75"/>
  <cols>
    <col min="1" max="1" width="9.125" style="228" bestFit="1" customWidth="1"/>
    <col min="2" max="2" width="22.5" style="228" customWidth="1"/>
    <col min="3" max="3" width="20" style="228" customWidth="1"/>
    <col min="4" max="4" width="35.375" style="228" customWidth="1"/>
    <col min="5" max="5" width="15.25" style="228" customWidth="1"/>
    <col min="6" max="16384" width="9" style="228"/>
  </cols>
  <sheetData>
    <row r="1" spans="1:9" ht="18.75">
      <c r="A1" s="227"/>
      <c r="B1" s="227"/>
      <c r="C1" s="227"/>
      <c r="D1" s="238" t="s">
        <v>162</v>
      </c>
      <c r="E1" s="227"/>
      <c r="F1" s="227"/>
    </row>
    <row r="2" spans="1:9" ht="18.75">
      <c r="A2" s="227"/>
      <c r="B2" s="227"/>
      <c r="C2" s="227"/>
      <c r="D2" s="238" t="s">
        <v>15</v>
      </c>
      <c r="E2" s="227"/>
      <c r="F2" s="227"/>
    </row>
    <row r="3" spans="1:9" ht="16.5" thickBot="1">
      <c r="A3" s="227"/>
      <c r="B3" s="1" t="s">
        <v>13</v>
      </c>
      <c r="C3" s="506"/>
      <c r="D3" s="506"/>
      <c r="E3" s="50"/>
      <c r="F3" s="50"/>
    </row>
    <row r="4" spans="1:9" ht="16.5" thickBot="1">
      <c r="A4" s="227"/>
      <c r="B4" s="1" t="s">
        <v>14</v>
      </c>
      <c r="C4" s="507" t="s">
        <v>224</v>
      </c>
      <c r="D4" s="507"/>
      <c r="E4" s="50"/>
      <c r="F4" s="50"/>
    </row>
    <row r="5" spans="1:9" ht="16.5" thickBot="1">
      <c r="A5" s="227"/>
      <c r="B5" s="1" t="s">
        <v>15</v>
      </c>
      <c r="C5" s="508"/>
      <c r="D5" s="508"/>
      <c r="E5" s="50"/>
      <c r="F5" s="50"/>
    </row>
    <row r="6" spans="1:9" ht="32.25" customHeight="1" thickBot="1">
      <c r="A6" s="227"/>
      <c r="B6" s="510" t="s">
        <v>168</v>
      </c>
      <c r="C6" s="511"/>
      <c r="D6" s="511"/>
      <c r="E6" s="511"/>
      <c r="F6" s="511"/>
      <c r="G6" s="511"/>
      <c r="H6" s="511"/>
      <c r="I6" s="229"/>
    </row>
    <row r="7" spans="1:9">
      <c r="A7" s="227"/>
      <c r="B7" s="509" t="s">
        <v>160</v>
      </c>
      <c r="C7" s="509"/>
      <c r="D7" s="509"/>
      <c r="E7" s="227"/>
      <c r="F7" s="227"/>
    </row>
    <row r="8" spans="1:9">
      <c r="A8" s="227"/>
      <c r="B8" s="227"/>
      <c r="C8" s="227"/>
      <c r="D8" s="227"/>
      <c r="E8" s="227"/>
      <c r="F8" s="227"/>
    </row>
    <row r="9" spans="1:9">
      <c r="A9" s="227"/>
      <c r="B9" s="230" t="s">
        <v>0</v>
      </c>
      <c r="C9" s="395">
        <f>Salaries!N19</f>
        <v>0</v>
      </c>
      <c r="D9" s="231"/>
      <c r="E9" s="225"/>
      <c r="F9" s="225"/>
      <c r="G9" s="253"/>
    </row>
    <row r="10" spans="1:9">
      <c r="A10" s="227"/>
      <c r="B10" s="230" t="s">
        <v>1</v>
      </c>
      <c r="C10" s="396">
        <f>Benefits!L33</f>
        <v>0</v>
      </c>
      <c r="D10" s="227"/>
      <c r="E10" s="225"/>
      <c r="F10" s="225"/>
      <c r="G10" s="253"/>
    </row>
    <row r="11" spans="1:9">
      <c r="A11" s="227"/>
      <c r="B11" s="230" t="s">
        <v>2</v>
      </c>
      <c r="C11" s="219">
        <f>Supplies!H23</f>
        <v>0</v>
      </c>
      <c r="D11" s="227"/>
      <c r="E11" s="225"/>
      <c r="F11" s="225"/>
      <c r="G11" s="253"/>
    </row>
    <row r="12" spans="1:9">
      <c r="A12" s="227"/>
      <c r="B12" s="230" t="s">
        <v>3</v>
      </c>
      <c r="C12" s="219">
        <f>Printing!G22</f>
        <v>0</v>
      </c>
      <c r="D12" s="227"/>
      <c r="E12" s="225"/>
      <c r="F12" s="225"/>
      <c r="G12" s="253"/>
    </row>
    <row r="13" spans="1:9">
      <c r="A13" s="227"/>
      <c r="B13" s="230" t="s">
        <v>4</v>
      </c>
      <c r="C13" s="219">
        <f>Equipment!F25</f>
        <v>0</v>
      </c>
      <c r="D13" s="227"/>
      <c r="E13" s="225"/>
      <c r="F13" s="225"/>
      <c r="G13" s="253"/>
    </row>
    <row r="14" spans="1:9">
      <c r="A14" s="227"/>
      <c r="B14" s="230" t="s">
        <v>5</v>
      </c>
      <c r="C14" s="219">
        <f>Depreciation!I23</f>
        <v>0</v>
      </c>
      <c r="D14" s="227"/>
      <c r="E14" s="225"/>
      <c r="F14" s="225"/>
      <c r="G14" s="253"/>
    </row>
    <row r="15" spans="1:9">
      <c r="A15" s="227"/>
      <c r="B15" s="230" t="s">
        <v>6</v>
      </c>
      <c r="C15" s="219">
        <f>'Staff Training'!N19</f>
        <v>0</v>
      </c>
      <c r="D15" s="227"/>
      <c r="E15" s="225"/>
      <c r="F15" s="225"/>
      <c r="G15" s="253"/>
    </row>
    <row r="16" spans="1:9">
      <c r="A16" s="227"/>
      <c r="B16" s="230" t="s">
        <v>7</v>
      </c>
      <c r="C16" s="219">
        <f>'Provider Training'!N18</f>
        <v>0</v>
      </c>
      <c r="D16" s="227"/>
      <c r="E16" s="225"/>
      <c r="F16" s="225"/>
      <c r="G16" s="253"/>
    </row>
    <row r="17" spans="1:8">
      <c r="A17" s="227"/>
      <c r="B17" s="230" t="s">
        <v>8</v>
      </c>
      <c r="C17" s="219">
        <f>'Contracted Services'!I26</f>
        <v>0</v>
      </c>
      <c r="D17" s="227"/>
      <c r="E17" s="225"/>
      <c r="F17" s="225"/>
      <c r="G17" s="253"/>
    </row>
    <row r="18" spans="1:8">
      <c r="A18" s="227"/>
      <c r="B18" s="230" t="s">
        <v>11</v>
      </c>
      <c r="C18" s="220">
        <f>'In-State Travel'!$H$24</f>
        <v>0</v>
      </c>
      <c r="D18" s="227"/>
      <c r="E18" s="225"/>
      <c r="F18" s="225"/>
      <c r="G18" s="253"/>
    </row>
    <row r="19" spans="1:8">
      <c r="A19" s="227"/>
      <c r="B19" s="230" t="s">
        <v>12</v>
      </c>
      <c r="C19" s="219">
        <f>'Out-State Travel'!$M$15</f>
        <v>0</v>
      </c>
      <c r="D19" s="227"/>
      <c r="E19" s="227"/>
      <c r="F19" s="227"/>
    </row>
    <row r="20" spans="1:8">
      <c r="A20" s="227"/>
      <c r="B20" s="230" t="s">
        <v>9</v>
      </c>
      <c r="C20" s="221">
        <f>Occupancy!I30</f>
        <v>0</v>
      </c>
      <c r="D20" s="227"/>
      <c r="E20" s="227"/>
      <c r="F20" s="227"/>
    </row>
    <row r="21" spans="1:8">
      <c r="A21" s="227"/>
      <c r="B21" s="230" t="s">
        <v>10</v>
      </c>
      <c r="C21" s="219">
        <f>Communications!F32</f>
        <v>0</v>
      </c>
      <c r="D21" s="227"/>
      <c r="E21" s="227"/>
      <c r="F21" s="227"/>
    </row>
    <row r="22" spans="1:8">
      <c r="B22" s="231" t="s">
        <v>233</v>
      </c>
      <c r="C22" s="289">
        <v>0</v>
      </c>
    </row>
    <row r="23" spans="1:8">
      <c r="C23" s="232"/>
    </row>
    <row r="24" spans="1:8" ht="31.5">
      <c r="A24" s="227"/>
      <c r="B24" s="247" t="s">
        <v>164</v>
      </c>
      <c r="C24" s="237">
        <f>C9+C10+C11+C12+C13+C14+C15+C16+C17+C18+C19+C20+C21</f>
        <v>0</v>
      </c>
      <c r="D24" s="233"/>
      <c r="E24" s="233"/>
      <c r="F24" s="233"/>
      <c r="G24" s="234"/>
      <c r="H24" s="234"/>
    </row>
    <row r="25" spans="1:8">
      <c r="B25" s="234"/>
      <c r="C25" s="235"/>
      <c r="D25" s="234"/>
      <c r="E25" s="234"/>
      <c r="F25" s="234"/>
      <c r="G25" s="234"/>
      <c r="H25" s="234"/>
    </row>
    <row r="26" spans="1:8">
      <c r="A26" s="227"/>
      <c r="B26" s="233"/>
      <c r="C26" s="236"/>
      <c r="D26" s="180"/>
      <c r="E26" s="239" t="s">
        <v>163</v>
      </c>
      <c r="F26" s="240"/>
      <c r="G26" s="241"/>
      <c r="H26" s="242"/>
    </row>
    <row r="27" spans="1:8" ht="32.25" thickBot="1">
      <c r="A27" s="227"/>
      <c r="B27" s="284" t="s">
        <v>226</v>
      </c>
      <c r="C27" s="237">
        <f>'Alt Funding Source'!F39</f>
        <v>0</v>
      </c>
      <c r="D27" s="248" t="s">
        <v>165</v>
      </c>
      <c r="E27" s="243">
        <f>C29-C24</f>
        <v>0</v>
      </c>
      <c r="F27" s="244"/>
      <c r="G27" s="245"/>
      <c r="H27" s="246"/>
    </row>
    <row r="28" spans="1:8" ht="16.5" thickTop="1">
      <c r="C28" s="232"/>
    </row>
    <row r="29" spans="1:8" ht="31.5">
      <c r="A29" s="227"/>
      <c r="B29" s="249" t="s">
        <v>142</v>
      </c>
      <c r="C29" s="237">
        <f>C27+C24</f>
        <v>0</v>
      </c>
      <c r="D29" s="227"/>
      <c r="E29" s="227"/>
      <c r="F29" s="227"/>
    </row>
    <row r="30" spans="1:8" ht="16.5" thickBot="1"/>
    <row r="31" spans="1:8">
      <c r="B31" s="222" t="s">
        <v>161</v>
      </c>
      <c r="C31" s="223"/>
      <c r="D31" s="223"/>
      <c r="E31" s="223"/>
      <c r="F31" s="223"/>
      <c r="G31" s="224"/>
    </row>
    <row r="32" spans="1:8">
      <c r="A32" s="227"/>
      <c r="B32" s="504" t="s">
        <v>109</v>
      </c>
      <c r="C32" s="505"/>
      <c r="D32" s="505"/>
      <c r="E32" s="505"/>
      <c r="F32" s="225"/>
      <c r="G32" s="226"/>
    </row>
    <row r="33" spans="2:7">
      <c r="B33" s="504" t="s">
        <v>144</v>
      </c>
      <c r="C33" s="505"/>
      <c r="D33" s="505"/>
      <c r="E33" s="505"/>
      <c r="F33" s="505"/>
      <c r="G33" s="226"/>
    </row>
    <row r="34" spans="2:7" ht="16.5" thickBot="1">
      <c r="B34" s="501" t="s">
        <v>143</v>
      </c>
      <c r="C34" s="502"/>
      <c r="D34" s="502"/>
      <c r="E34" s="502"/>
      <c r="F34" s="502"/>
      <c r="G34" s="503"/>
    </row>
  </sheetData>
  <mergeCells count="8">
    <mergeCell ref="B34:G34"/>
    <mergeCell ref="B33:F33"/>
    <mergeCell ref="C3:D3"/>
    <mergeCell ref="C4:D4"/>
    <mergeCell ref="C5:D5"/>
    <mergeCell ref="B7:D7"/>
    <mergeCell ref="B32:E32"/>
    <mergeCell ref="B6:H6"/>
  </mergeCells>
  <phoneticPr fontId="22" type="noConversion"/>
  <hyperlinks>
    <hyperlink ref="B9" location="Salaries!A1" display="Salaries"/>
    <hyperlink ref="B10" location="Benefits!A1" display="Benefits"/>
    <hyperlink ref="B15" location="'Staff Training'!A1" display="Staff Trainihng"/>
    <hyperlink ref="B16" location="'Provider Training'!A1" display="Provider Training"/>
    <hyperlink ref="B12" location="Printing!A1" display="Printing"/>
    <hyperlink ref="B13" location="Equipment!A1" display="Equipment"/>
    <hyperlink ref="B14" location="Depreciation!A1" display="Depreciation"/>
    <hyperlink ref="B17" location="'Contracted Services'!A1" display="Contracted Services"/>
    <hyperlink ref="B20" location="Occupancy!A1" display="Occupancy"/>
    <hyperlink ref="B21" location="Communications!A1" display="Communications"/>
    <hyperlink ref="B18" location="'In-State Travel'!A1" display="In-State Travel"/>
    <hyperlink ref="B19" location="'Out-State Travel'!A1" display="Out state travel"/>
    <hyperlink ref="B11" location="Supplies!A1" display="Supplies"/>
    <hyperlink ref="B27" location="'Alt Funding Source'!A1" display="CACFP expenses Funded by another funding Source"/>
    <hyperlink ref="B22" location="'Carry Over'!A1" display="Carry Over"/>
  </hyperlinks>
  <pageMargins left="0.7" right="0.7" top="0.75" bottom="0.75" header="0.3" footer="0.3"/>
  <pageSetup scale="8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2" tint="-0.499984740745262"/>
  </sheetPr>
  <dimension ref="A1:N20"/>
  <sheetViews>
    <sheetView topLeftCell="C1" zoomScaleNormal="100" workbookViewId="0">
      <selection activeCell="H7" sqref="H7"/>
    </sheetView>
  </sheetViews>
  <sheetFormatPr defaultRowHeight="17.25"/>
  <cols>
    <col min="1" max="1" width="26.375" customWidth="1"/>
    <col min="2" max="2" width="18.75" customWidth="1"/>
    <col min="3" max="3" width="7.625" customWidth="1"/>
    <col min="4" max="4" width="11.25" customWidth="1"/>
    <col min="5" max="5" width="7.875" customWidth="1"/>
    <col min="6" max="6" width="7.625" customWidth="1"/>
    <col min="7" max="7" width="7" customWidth="1"/>
    <col min="8" max="8" width="10.5" customWidth="1"/>
    <col min="9" max="9" width="9.5" customWidth="1"/>
    <col min="10" max="10" width="6.75" customWidth="1"/>
    <col min="11" max="11" width="6.375" customWidth="1"/>
    <col min="12" max="12" width="10" customWidth="1"/>
    <col min="14" max="14" width="11.25" customWidth="1"/>
  </cols>
  <sheetData>
    <row r="1" spans="1:14" ht="19.5">
      <c r="A1" s="283" t="s">
        <v>223</v>
      </c>
      <c r="B1" s="20"/>
      <c r="C1" s="9"/>
      <c r="D1" s="9"/>
      <c r="E1" s="9"/>
      <c r="F1" s="9"/>
      <c r="G1" s="9"/>
      <c r="H1" s="9"/>
      <c r="I1" s="9"/>
      <c r="J1" s="9"/>
      <c r="K1" s="9"/>
      <c r="L1" s="9"/>
      <c r="M1" s="9"/>
      <c r="N1" s="9"/>
    </row>
    <row r="2" spans="1:14">
      <c r="A2" s="516" t="s">
        <v>205</v>
      </c>
      <c r="B2" s="516"/>
      <c r="C2" s="516"/>
      <c r="D2" s="516"/>
      <c r="E2" s="516"/>
      <c r="F2" s="516"/>
      <c r="G2" s="516"/>
      <c r="H2" s="516"/>
      <c r="I2" s="516"/>
      <c r="J2" s="516"/>
      <c r="K2" s="516"/>
      <c r="L2" s="516"/>
      <c r="M2" s="513"/>
      <c r="N2" s="517"/>
    </row>
    <row r="3" spans="1:14" s="279" customFormat="1" ht="15" customHeight="1">
      <c r="A3" s="518" t="s">
        <v>206</v>
      </c>
      <c r="B3" s="518"/>
      <c r="C3" s="518"/>
      <c r="D3" s="518"/>
      <c r="E3" s="518"/>
      <c r="F3" s="518"/>
      <c r="G3" s="518"/>
      <c r="H3" s="518"/>
      <c r="I3" s="518"/>
      <c r="J3" s="518"/>
      <c r="K3" s="518"/>
      <c r="L3" s="519"/>
      <c r="M3" s="399"/>
      <c r="N3" s="280"/>
    </row>
    <row r="4" spans="1:14">
      <c r="A4" s="512" t="s">
        <v>204</v>
      </c>
      <c r="B4" s="513"/>
      <c r="C4" s="513"/>
      <c r="D4" s="513"/>
      <c r="E4" s="513"/>
      <c r="F4" s="513"/>
      <c r="G4" s="513"/>
      <c r="H4" s="513"/>
      <c r="I4" s="513"/>
      <c r="J4" s="513"/>
      <c r="K4" s="513"/>
      <c r="L4" s="513"/>
      <c r="M4" s="167"/>
      <c r="N4" s="9"/>
    </row>
    <row r="5" spans="1:14">
      <c r="A5" s="514"/>
      <c r="B5" s="515"/>
      <c r="C5" s="515"/>
      <c r="D5" s="515"/>
      <c r="E5" s="515"/>
      <c r="F5" s="515"/>
      <c r="G5" s="515"/>
      <c r="H5" s="515"/>
      <c r="I5" s="515"/>
      <c r="J5" s="515"/>
      <c r="K5" s="515"/>
      <c r="L5" s="515"/>
      <c r="M5" s="9"/>
      <c r="N5" s="9"/>
    </row>
    <row r="6" spans="1:14" ht="63" customHeight="1">
      <c r="A6" s="405"/>
      <c r="B6" s="405"/>
      <c r="C6" s="405"/>
      <c r="D6" s="405"/>
      <c r="E6" s="400" t="s">
        <v>207</v>
      </c>
      <c r="F6" s="400" t="s">
        <v>100</v>
      </c>
      <c r="G6" s="406"/>
      <c r="H6" s="400" t="s">
        <v>102</v>
      </c>
      <c r="I6" s="405"/>
      <c r="J6" s="405"/>
      <c r="K6" s="405"/>
      <c r="L6" s="405"/>
      <c r="M6" s="405"/>
      <c r="N6" s="407"/>
    </row>
    <row r="7" spans="1:14" ht="126">
      <c r="A7" s="408" t="s">
        <v>175</v>
      </c>
      <c r="B7" s="408" t="s">
        <v>166</v>
      </c>
      <c r="C7" s="401" t="s">
        <v>98</v>
      </c>
      <c r="D7" s="409" t="s">
        <v>99</v>
      </c>
      <c r="E7" s="401" t="s">
        <v>208</v>
      </c>
      <c r="F7" s="401" t="s">
        <v>101</v>
      </c>
      <c r="G7" s="410" t="s">
        <v>209</v>
      </c>
      <c r="H7" s="411" t="s">
        <v>210</v>
      </c>
      <c r="I7" s="401" t="s">
        <v>103</v>
      </c>
      <c r="J7" s="412" t="s">
        <v>104</v>
      </c>
      <c r="K7" s="401" t="s">
        <v>105</v>
      </c>
      <c r="L7" s="401" t="s">
        <v>106</v>
      </c>
      <c r="M7" s="401" t="s">
        <v>211</v>
      </c>
      <c r="N7" s="413" t="s">
        <v>107</v>
      </c>
    </row>
    <row r="8" spans="1:14">
      <c r="A8" s="63"/>
      <c r="B8" s="63"/>
      <c r="C8" s="63"/>
      <c r="D8" s="63"/>
      <c r="E8" s="4">
        <v>0</v>
      </c>
      <c r="F8" s="64">
        <v>0</v>
      </c>
      <c r="G8" s="65">
        <v>0</v>
      </c>
      <c r="H8" s="66" t="s">
        <v>140</v>
      </c>
      <c r="I8" s="67">
        <v>1</v>
      </c>
      <c r="J8" s="68">
        <v>0</v>
      </c>
      <c r="K8" s="182">
        <f t="shared" ref="K8:K18" si="0">J8/I8</f>
        <v>0</v>
      </c>
      <c r="L8" s="24"/>
      <c r="M8" s="281">
        <f t="shared" ref="M8:M18" si="1">K8*L8</f>
        <v>0</v>
      </c>
      <c r="N8" s="255">
        <f t="shared" ref="N8:N18" si="2">IF(C8="X",F8*J8*12*(1+G8)+M8,E8*K8*12*(1+G8)+M8)</f>
        <v>0</v>
      </c>
    </row>
    <row r="9" spans="1:14">
      <c r="A9" s="69"/>
      <c r="B9" s="63"/>
      <c r="C9" s="63"/>
      <c r="D9" s="63"/>
      <c r="E9" s="4">
        <v>0</v>
      </c>
      <c r="F9" s="64">
        <v>0</v>
      </c>
      <c r="G9" s="65">
        <v>0</v>
      </c>
      <c r="H9" s="66" t="s">
        <v>167</v>
      </c>
      <c r="I9" s="67">
        <v>1</v>
      </c>
      <c r="J9" s="68">
        <v>0</v>
      </c>
      <c r="K9" s="182">
        <f t="shared" si="0"/>
        <v>0</v>
      </c>
      <c r="L9" s="24"/>
      <c r="M9" s="281">
        <f t="shared" si="1"/>
        <v>0</v>
      </c>
      <c r="N9" s="255">
        <f t="shared" si="2"/>
        <v>0</v>
      </c>
    </row>
    <row r="10" spans="1:14">
      <c r="A10" s="69"/>
      <c r="B10" s="63"/>
      <c r="C10" s="63"/>
      <c r="D10" s="63"/>
      <c r="E10" s="4">
        <v>0</v>
      </c>
      <c r="F10" s="64">
        <v>0</v>
      </c>
      <c r="G10" s="65">
        <v>0</v>
      </c>
      <c r="H10" s="66"/>
      <c r="I10" s="67">
        <v>1</v>
      </c>
      <c r="J10" s="68">
        <v>0</v>
      </c>
      <c r="K10" s="182">
        <f t="shared" si="0"/>
        <v>0</v>
      </c>
      <c r="L10" s="24"/>
      <c r="M10" s="281">
        <f t="shared" si="1"/>
        <v>0</v>
      </c>
      <c r="N10" s="255">
        <f t="shared" si="2"/>
        <v>0</v>
      </c>
    </row>
    <row r="11" spans="1:14">
      <c r="A11" s="69"/>
      <c r="B11" s="63"/>
      <c r="C11" s="63"/>
      <c r="D11" s="63"/>
      <c r="E11" s="4">
        <v>0</v>
      </c>
      <c r="F11" s="64">
        <v>0</v>
      </c>
      <c r="G11" s="65">
        <v>0</v>
      </c>
      <c r="H11" s="66"/>
      <c r="I11" s="67">
        <v>1</v>
      </c>
      <c r="J11" s="68">
        <v>0</v>
      </c>
      <c r="K11" s="182">
        <f t="shared" si="0"/>
        <v>0</v>
      </c>
      <c r="L11" s="24"/>
      <c r="M11" s="281">
        <f t="shared" si="1"/>
        <v>0</v>
      </c>
      <c r="N11" s="255">
        <f t="shared" si="2"/>
        <v>0</v>
      </c>
    </row>
    <row r="12" spans="1:14">
      <c r="A12" s="69"/>
      <c r="B12" s="63"/>
      <c r="C12" s="63"/>
      <c r="D12" s="63"/>
      <c r="E12" s="4">
        <v>0</v>
      </c>
      <c r="F12" s="64">
        <v>0</v>
      </c>
      <c r="G12" s="65">
        <v>0</v>
      </c>
      <c r="H12" s="66"/>
      <c r="I12" s="67">
        <v>1</v>
      </c>
      <c r="J12" s="68">
        <v>0</v>
      </c>
      <c r="K12" s="182">
        <f t="shared" si="0"/>
        <v>0</v>
      </c>
      <c r="L12" s="24"/>
      <c r="M12" s="281">
        <f t="shared" si="1"/>
        <v>0</v>
      </c>
      <c r="N12" s="255">
        <f t="shared" si="2"/>
        <v>0</v>
      </c>
    </row>
    <row r="13" spans="1:14">
      <c r="A13" s="69"/>
      <c r="B13" s="63"/>
      <c r="C13" s="63"/>
      <c r="D13" s="63"/>
      <c r="E13" s="4">
        <v>0</v>
      </c>
      <c r="F13" s="64">
        <v>0</v>
      </c>
      <c r="G13" s="65">
        <v>0</v>
      </c>
      <c r="H13" s="66"/>
      <c r="I13" s="67">
        <v>1</v>
      </c>
      <c r="J13" s="68">
        <v>0</v>
      </c>
      <c r="K13" s="182">
        <f t="shared" si="0"/>
        <v>0</v>
      </c>
      <c r="L13" s="24"/>
      <c r="M13" s="281">
        <f t="shared" si="1"/>
        <v>0</v>
      </c>
      <c r="N13" s="255">
        <f t="shared" si="2"/>
        <v>0</v>
      </c>
    </row>
    <row r="14" spans="1:14">
      <c r="A14" s="69"/>
      <c r="B14" s="63"/>
      <c r="C14" s="63"/>
      <c r="D14" s="63"/>
      <c r="E14" s="4">
        <v>0</v>
      </c>
      <c r="F14" s="64">
        <v>0</v>
      </c>
      <c r="G14" s="65">
        <v>0</v>
      </c>
      <c r="H14" s="66"/>
      <c r="I14" s="67">
        <v>1</v>
      </c>
      <c r="J14" s="68">
        <v>0</v>
      </c>
      <c r="K14" s="182">
        <f t="shared" si="0"/>
        <v>0</v>
      </c>
      <c r="L14" s="24"/>
      <c r="M14" s="281">
        <f t="shared" si="1"/>
        <v>0</v>
      </c>
      <c r="N14" s="255">
        <f t="shared" si="2"/>
        <v>0</v>
      </c>
    </row>
    <row r="15" spans="1:14">
      <c r="A15" s="69"/>
      <c r="B15" s="63"/>
      <c r="C15" s="63"/>
      <c r="D15" s="63"/>
      <c r="E15" s="4">
        <v>0</v>
      </c>
      <c r="F15" s="64">
        <v>0</v>
      </c>
      <c r="G15" s="65">
        <v>0</v>
      </c>
      <c r="H15" s="66"/>
      <c r="I15" s="67">
        <v>1</v>
      </c>
      <c r="J15" s="68">
        <v>0</v>
      </c>
      <c r="K15" s="182">
        <f t="shared" si="0"/>
        <v>0</v>
      </c>
      <c r="L15" s="24"/>
      <c r="M15" s="281">
        <f t="shared" si="1"/>
        <v>0</v>
      </c>
      <c r="N15" s="255">
        <f t="shared" si="2"/>
        <v>0</v>
      </c>
    </row>
    <row r="16" spans="1:14">
      <c r="A16" s="69"/>
      <c r="B16" s="69"/>
      <c r="C16" s="69"/>
      <c r="D16" s="63"/>
      <c r="E16" s="4">
        <v>0</v>
      </c>
      <c r="F16" s="64">
        <v>0</v>
      </c>
      <c r="G16" s="65">
        <v>0</v>
      </c>
      <c r="H16" s="66"/>
      <c r="I16" s="67">
        <v>1</v>
      </c>
      <c r="J16" s="68">
        <v>0</v>
      </c>
      <c r="K16" s="182">
        <f t="shared" si="0"/>
        <v>0</v>
      </c>
      <c r="L16" s="24"/>
      <c r="M16" s="281">
        <f t="shared" si="1"/>
        <v>0</v>
      </c>
      <c r="N16" s="255">
        <f t="shared" si="2"/>
        <v>0</v>
      </c>
    </row>
    <row r="17" spans="1:14">
      <c r="A17" s="69"/>
      <c r="B17" s="69"/>
      <c r="C17" s="69"/>
      <c r="D17" s="63"/>
      <c r="E17" s="4">
        <v>0</v>
      </c>
      <c r="F17" s="64">
        <v>0</v>
      </c>
      <c r="G17" s="65">
        <v>0</v>
      </c>
      <c r="H17" s="66"/>
      <c r="I17" s="67">
        <v>1</v>
      </c>
      <c r="J17" s="68">
        <v>0</v>
      </c>
      <c r="K17" s="182">
        <f t="shared" si="0"/>
        <v>0</v>
      </c>
      <c r="L17" s="24"/>
      <c r="M17" s="281">
        <f t="shared" si="1"/>
        <v>0</v>
      </c>
      <c r="N17" s="255">
        <f t="shared" si="2"/>
        <v>0</v>
      </c>
    </row>
    <row r="18" spans="1:14" ht="18" thickBot="1">
      <c r="A18" s="70"/>
      <c r="B18" s="70"/>
      <c r="C18" s="70"/>
      <c r="D18" s="71"/>
      <c r="E18" s="4">
        <v>0</v>
      </c>
      <c r="F18" s="64">
        <v>0</v>
      </c>
      <c r="G18" s="65">
        <v>0</v>
      </c>
      <c r="H18" s="72"/>
      <c r="I18" s="67">
        <v>1</v>
      </c>
      <c r="J18" s="68">
        <v>0</v>
      </c>
      <c r="K18" s="182">
        <f t="shared" si="0"/>
        <v>0</v>
      </c>
      <c r="L18" s="24"/>
      <c r="M18" s="281">
        <f t="shared" si="1"/>
        <v>0</v>
      </c>
      <c r="N18" s="255">
        <f t="shared" si="2"/>
        <v>0</v>
      </c>
    </row>
    <row r="19" spans="1:14" ht="20.25" thickBot="1">
      <c r="A19" s="21"/>
      <c r="B19" s="22"/>
      <c r="C19" s="22"/>
      <c r="D19" s="22"/>
      <c r="E19" s="25"/>
      <c r="F19" s="22"/>
      <c r="G19" s="22"/>
      <c r="H19" s="22"/>
      <c r="I19" s="23" t="s">
        <v>136</v>
      </c>
      <c r="J19" s="26"/>
      <c r="K19" s="27"/>
      <c r="L19" s="25"/>
      <c r="M19" s="25"/>
      <c r="N19" s="256">
        <f>SUM(N8:N18)</f>
        <v>0</v>
      </c>
    </row>
    <row r="20" spans="1:14">
      <c r="A20" s="54" t="s">
        <v>294</v>
      </c>
      <c r="B20" s="11"/>
      <c r="C20" s="11"/>
      <c r="D20" s="11"/>
      <c r="E20" s="11"/>
      <c r="F20" s="11"/>
      <c r="G20" s="11"/>
    </row>
  </sheetData>
  <mergeCells count="4">
    <mergeCell ref="A4:L4"/>
    <mergeCell ref="A5:L5"/>
    <mergeCell ref="A2:N2"/>
    <mergeCell ref="A3:L3"/>
  </mergeCells>
  <phoneticPr fontId="22" type="noConversion"/>
  <pageMargins left="0.7" right="0.7" top="0.75" bottom="0.75" header="0.3" footer="0.3"/>
  <pageSetup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EC2D3"/>
  </sheetPr>
  <dimension ref="A1:M36"/>
  <sheetViews>
    <sheetView workbookViewId="0">
      <selection activeCell="F8" sqref="F8"/>
    </sheetView>
  </sheetViews>
  <sheetFormatPr defaultRowHeight="17.25"/>
  <cols>
    <col min="1" max="1" width="17.625" customWidth="1"/>
    <col min="12" max="12" width="11.25" customWidth="1"/>
  </cols>
  <sheetData>
    <row r="1" spans="1:13" ht="19.5">
      <c r="A1" s="376" t="s">
        <v>212</v>
      </c>
      <c r="B1" s="28"/>
      <c r="C1" s="28"/>
      <c r="D1" s="28"/>
      <c r="E1" s="28"/>
      <c r="F1" s="28"/>
      <c r="G1" s="28"/>
      <c r="H1" s="28"/>
      <c r="I1" s="28"/>
      <c r="J1" s="28"/>
      <c r="K1" s="28"/>
      <c r="L1" s="377"/>
      <c r="M1" s="377"/>
    </row>
    <row r="2" spans="1:13">
      <c r="A2" s="39" t="s">
        <v>30</v>
      </c>
      <c r="B2" s="28"/>
      <c r="C2" s="28"/>
      <c r="D2" s="28"/>
      <c r="E2" s="28"/>
      <c r="F2" s="28"/>
      <c r="G2" s="28"/>
      <c r="H2" s="28"/>
      <c r="I2" s="28"/>
      <c r="J2" s="28"/>
      <c r="K2" s="28"/>
      <c r="L2" s="377"/>
      <c r="M2" s="377"/>
    </row>
    <row r="3" spans="1:13">
      <c r="A3" s="28"/>
      <c r="B3" s="28"/>
      <c r="C3" s="28"/>
      <c r="D3" s="28"/>
      <c r="E3" s="28"/>
      <c r="F3" s="28"/>
      <c r="G3" s="28"/>
      <c r="H3" s="28"/>
      <c r="I3" s="28"/>
      <c r="J3" s="28"/>
      <c r="K3" s="28"/>
      <c r="L3" s="377"/>
      <c r="M3" s="377"/>
    </row>
    <row r="4" spans="1:13">
      <c r="A4" s="28"/>
      <c r="B4" s="402" t="s">
        <v>31</v>
      </c>
      <c r="C4" s="403"/>
      <c r="D4" s="402" t="s">
        <v>32</v>
      </c>
      <c r="E4" s="404"/>
      <c r="F4" s="403" t="s">
        <v>33</v>
      </c>
      <c r="G4" s="403"/>
      <c r="H4" s="402" t="s">
        <v>34</v>
      </c>
      <c r="I4" s="404"/>
      <c r="J4" s="403" t="s">
        <v>282</v>
      </c>
      <c r="K4" s="381"/>
      <c r="L4" s="377"/>
      <c r="M4" s="377"/>
    </row>
    <row r="5" spans="1:13">
      <c r="A5" s="379">
        <v>1</v>
      </c>
      <c r="B5" s="382">
        <v>2</v>
      </c>
      <c r="C5" s="380">
        <v>3</v>
      </c>
      <c r="D5" s="382">
        <v>4</v>
      </c>
      <c r="E5" s="380">
        <v>5</v>
      </c>
      <c r="F5" s="382">
        <v>6</v>
      </c>
      <c r="G5" s="380">
        <v>7</v>
      </c>
      <c r="H5" s="382">
        <v>8</v>
      </c>
      <c r="I5" s="380">
        <v>9</v>
      </c>
      <c r="J5" s="382">
        <v>10</v>
      </c>
      <c r="K5" s="381">
        <v>11</v>
      </c>
      <c r="L5" s="383">
        <v>12</v>
      </c>
      <c r="M5" s="377"/>
    </row>
    <row r="6" spans="1:13">
      <c r="A6" s="418" t="s">
        <v>283</v>
      </c>
      <c r="B6" s="419" t="s">
        <v>21</v>
      </c>
      <c r="C6" s="420" t="s">
        <v>21</v>
      </c>
      <c r="D6" s="419" t="s">
        <v>21</v>
      </c>
      <c r="E6" s="420" t="s">
        <v>21</v>
      </c>
      <c r="F6" s="419" t="s">
        <v>21</v>
      </c>
      <c r="G6" s="420" t="s">
        <v>21</v>
      </c>
      <c r="H6" s="419" t="s">
        <v>21</v>
      </c>
      <c r="I6" s="420" t="s">
        <v>21</v>
      </c>
      <c r="J6" s="419" t="s">
        <v>21</v>
      </c>
      <c r="K6" s="421" t="s">
        <v>21</v>
      </c>
      <c r="L6" s="422" t="s">
        <v>20</v>
      </c>
      <c r="M6" s="377"/>
    </row>
    <row r="7" spans="1:13">
      <c r="A7" s="418" t="s">
        <v>284</v>
      </c>
      <c r="B7" s="419" t="s">
        <v>285</v>
      </c>
      <c r="C7" s="420" t="s">
        <v>285</v>
      </c>
      <c r="D7" s="419" t="s">
        <v>285</v>
      </c>
      <c r="E7" s="420" t="s">
        <v>285</v>
      </c>
      <c r="F7" s="419" t="s">
        <v>285</v>
      </c>
      <c r="G7" s="420" t="s">
        <v>285</v>
      </c>
      <c r="H7" s="419" t="s">
        <v>285</v>
      </c>
      <c r="I7" s="420" t="s">
        <v>285</v>
      </c>
      <c r="J7" s="419" t="s">
        <v>285</v>
      </c>
      <c r="K7" s="421" t="s">
        <v>285</v>
      </c>
      <c r="L7" s="422" t="s">
        <v>286</v>
      </c>
      <c r="M7" s="377"/>
    </row>
    <row r="8" spans="1:13">
      <c r="A8" s="423"/>
      <c r="B8" s="419" t="s">
        <v>230</v>
      </c>
      <c r="C8" s="420" t="s">
        <v>287</v>
      </c>
      <c r="D8" s="419" t="s">
        <v>230</v>
      </c>
      <c r="E8" s="420" t="s">
        <v>287</v>
      </c>
      <c r="F8" s="419" t="s">
        <v>230</v>
      </c>
      <c r="G8" s="420" t="s">
        <v>287</v>
      </c>
      <c r="H8" s="419" t="s">
        <v>230</v>
      </c>
      <c r="I8" s="420" t="s">
        <v>287</v>
      </c>
      <c r="J8" s="419" t="s">
        <v>230</v>
      </c>
      <c r="K8" s="421" t="s">
        <v>287</v>
      </c>
      <c r="L8" s="424" t="s">
        <v>288</v>
      </c>
      <c r="M8" s="377"/>
    </row>
    <row r="9" spans="1:13">
      <c r="A9" s="425"/>
      <c r="B9" s="426"/>
      <c r="C9" s="427" t="s">
        <v>289</v>
      </c>
      <c r="D9" s="428"/>
      <c r="E9" s="427" t="s">
        <v>289</v>
      </c>
      <c r="F9" s="428"/>
      <c r="G9" s="427" t="s">
        <v>289</v>
      </c>
      <c r="H9" s="428"/>
      <c r="I9" s="427" t="s">
        <v>290</v>
      </c>
      <c r="J9" s="428"/>
      <c r="K9" s="429" t="s">
        <v>289</v>
      </c>
      <c r="L9" s="430"/>
      <c r="M9" s="377"/>
    </row>
    <row r="10" spans="1:13">
      <c r="A10" s="384"/>
      <c r="B10" s="101">
        <v>0</v>
      </c>
      <c r="C10" s="101">
        <v>0</v>
      </c>
      <c r="D10" s="101">
        <v>0</v>
      </c>
      <c r="E10" s="101">
        <v>0</v>
      </c>
      <c r="F10" s="101">
        <v>0</v>
      </c>
      <c r="G10" s="101">
        <v>0</v>
      </c>
      <c r="H10" s="101">
        <v>0</v>
      </c>
      <c r="I10" s="101">
        <v>0</v>
      </c>
      <c r="J10" s="101">
        <v>0</v>
      </c>
      <c r="K10" s="101">
        <v>0</v>
      </c>
      <c r="L10" s="101">
        <f>C10+E10+G10+I10+K10</f>
        <v>0</v>
      </c>
      <c r="M10" s="377"/>
    </row>
    <row r="11" spans="1:13">
      <c r="A11" s="384"/>
      <c r="B11" s="101"/>
      <c r="C11" s="101"/>
      <c r="D11" s="101"/>
      <c r="E11" s="101"/>
      <c r="F11" s="101"/>
      <c r="G11" s="101"/>
      <c r="H11" s="101"/>
      <c r="I11" s="101"/>
      <c r="J11" s="101"/>
      <c r="K11" s="101"/>
      <c r="L11" s="101">
        <f t="shared" ref="L11:L32" si="0">C11+E11+G11+I11+K11</f>
        <v>0</v>
      </c>
      <c r="M11" s="377"/>
    </row>
    <row r="12" spans="1:13">
      <c r="A12" s="384"/>
      <c r="B12" s="101"/>
      <c r="C12" s="101"/>
      <c r="D12" s="101"/>
      <c r="E12" s="101"/>
      <c r="F12" s="101"/>
      <c r="G12" s="101"/>
      <c r="H12" s="101"/>
      <c r="I12" s="101"/>
      <c r="J12" s="101"/>
      <c r="K12" s="101"/>
      <c r="L12" s="101">
        <f t="shared" si="0"/>
        <v>0</v>
      </c>
      <c r="M12" s="377"/>
    </row>
    <row r="13" spans="1:13">
      <c r="A13" s="384"/>
      <c r="B13" s="101"/>
      <c r="C13" s="101"/>
      <c r="D13" s="101"/>
      <c r="E13" s="101"/>
      <c r="F13" s="101"/>
      <c r="G13" s="101"/>
      <c r="H13" s="101"/>
      <c r="I13" s="101"/>
      <c r="J13" s="101"/>
      <c r="K13" s="101"/>
      <c r="L13" s="101">
        <f t="shared" si="0"/>
        <v>0</v>
      </c>
      <c r="M13" s="377"/>
    </row>
    <row r="14" spans="1:13">
      <c r="A14" s="384"/>
      <c r="B14" s="101"/>
      <c r="C14" s="101"/>
      <c r="D14" s="101"/>
      <c r="E14" s="101"/>
      <c r="F14" s="101"/>
      <c r="G14" s="101"/>
      <c r="H14" s="101"/>
      <c r="I14" s="101"/>
      <c r="J14" s="101"/>
      <c r="K14" s="101"/>
      <c r="L14" s="101">
        <f t="shared" si="0"/>
        <v>0</v>
      </c>
      <c r="M14" s="377"/>
    </row>
    <row r="15" spans="1:13">
      <c r="A15" s="384"/>
      <c r="B15" s="101"/>
      <c r="C15" s="101"/>
      <c r="D15" s="101"/>
      <c r="E15" s="101"/>
      <c r="F15" s="101"/>
      <c r="G15" s="101"/>
      <c r="H15" s="101"/>
      <c r="I15" s="101"/>
      <c r="J15" s="101"/>
      <c r="K15" s="101"/>
      <c r="L15" s="101">
        <f t="shared" si="0"/>
        <v>0</v>
      </c>
      <c r="M15" s="377"/>
    </row>
    <row r="16" spans="1:13">
      <c r="A16" s="384"/>
      <c r="B16" s="101"/>
      <c r="C16" s="101"/>
      <c r="D16" s="101"/>
      <c r="E16" s="101"/>
      <c r="F16" s="101"/>
      <c r="G16" s="101"/>
      <c r="H16" s="101"/>
      <c r="I16" s="101"/>
      <c r="J16" s="101"/>
      <c r="K16" s="101"/>
      <c r="L16" s="101">
        <f t="shared" si="0"/>
        <v>0</v>
      </c>
      <c r="M16" s="377"/>
    </row>
    <row r="17" spans="1:13">
      <c r="A17" s="384"/>
      <c r="B17" s="101"/>
      <c r="C17" s="101"/>
      <c r="D17" s="101"/>
      <c r="E17" s="101"/>
      <c r="F17" s="101"/>
      <c r="G17" s="101"/>
      <c r="H17" s="101"/>
      <c r="I17" s="101"/>
      <c r="J17" s="101"/>
      <c r="K17" s="101"/>
      <c r="L17" s="101">
        <f t="shared" si="0"/>
        <v>0</v>
      </c>
      <c r="M17" s="377"/>
    </row>
    <row r="18" spans="1:13">
      <c r="A18" s="384"/>
      <c r="B18" s="101"/>
      <c r="C18" s="101"/>
      <c r="D18" s="101"/>
      <c r="E18" s="101"/>
      <c r="F18" s="101"/>
      <c r="G18" s="101"/>
      <c r="H18" s="101"/>
      <c r="I18" s="101"/>
      <c r="J18" s="101"/>
      <c r="K18" s="101"/>
      <c r="L18" s="101">
        <f t="shared" si="0"/>
        <v>0</v>
      </c>
      <c r="M18" s="377"/>
    </row>
    <row r="19" spans="1:13">
      <c r="A19" s="384"/>
      <c r="B19" s="101"/>
      <c r="C19" s="101"/>
      <c r="D19" s="101"/>
      <c r="E19" s="101"/>
      <c r="F19" s="101"/>
      <c r="G19" s="101"/>
      <c r="H19" s="101"/>
      <c r="I19" s="101"/>
      <c r="J19" s="101"/>
      <c r="K19" s="101"/>
      <c r="L19" s="101">
        <f t="shared" si="0"/>
        <v>0</v>
      </c>
      <c r="M19" s="377"/>
    </row>
    <row r="20" spans="1:13">
      <c r="A20" s="384"/>
      <c r="B20" s="101"/>
      <c r="C20" s="101"/>
      <c r="D20" s="101"/>
      <c r="E20" s="101"/>
      <c r="F20" s="101"/>
      <c r="G20" s="101"/>
      <c r="H20" s="101"/>
      <c r="I20" s="101"/>
      <c r="J20" s="101"/>
      <c r="K20" s="101"/>
      <c r="L20" s="101">
        <f t="shared" si="0"/>
        <v>0</v>
      </c>
      <c r="M20" s="377"/>
    </row>
    <row r="21" spans="1:13">
      <c r="A21" s="384"/>
      <c r="B21" s="101"/>
      <c r="C21" s="101"/>
      <c r="D21" s="101"/>
      <c r="E21" s="101"/>
      <c r="F21" s="101"/>
      <c r="G21" s="101"/>
      <c r="H21" s="101"/>
      <c r="I21" s="101"/>
      <c r="J21" s="101"/>
      <c r="K21" s="101"/>
      <c r="L21" s="101">
        <f t="shared" si="0"/>
        <v>0</v>
      </c>
      <c r="M21" s="377"/>
    </row>
    <row r="22" spans="1:13">
      <c r="A22" s="384"/>
      <c r="B22" s="101"/>
      <c r="C22" s="101"/>
      <c r="D22" s="101"/>
      <c r="E22" s="101"/>
      <c r="F22" s="101"/>
      <c r="G22" s="101"/>
      <c r="H22" s="101"/>
      <c r="I22" s="101"/>
      <c r="J22" s="101"/>
      <c r="K22" s="101"/>
      <c r="L22" s="101">
        <f t="shared" si="0"/>
        <v>0</v>
      </c>
      <c r="M22" s="377"/>
    </row>
    <row r="23" spans="1:13">
      <c r="A23" s="384"/>
      <c r="B23" s="101"/>
      <c r="C23" s="101"/>
      <c r="D23" s="101"/>
      <c r="E23" s="101"/>
      <c r="F23" s="101"/>
      <c r="G23" s="101"/>
      <c r="H23" s="101"/>
      <c r="I23" s="101"/>
      <c r="J23" s="101"/>
      <c r="K23" s="101"/>
      <c r="L23" s="101">
        <f t="shared" si="0"/>
        <v>0</v>
      </c>
      <c r="M23" s="377"/>
    </row>
    <row r="24" spans="1:13">
      <c r="A24" s="384"/>
      <c r="B24" s="101"/>
      <c r="C24" s="101"/>
      <c r="D24" s="101"/>
      <c r="E24" s="101"/>
      <c r="F24" s="101"/>
      <c r="G24" s="101"/>
      <c r="H24" s="101"/>
      <c r="I24" s="101"/>
      <c r="J24" s="101"/>
      <c r="K24" s="101"/>
      <c r="L24" s="101">
        <f t="shared" si="0"/>
        <v>0</v>
      </c>
      <c r="M24" s="377"/>
    </row>
    <row r="25" spans="1:13">
      <c r="A25" s="384"/>
      <c r="B25" s="101"/>
      <c r="C25" s="101"/>
      <c r="D25" s="101"/>
      <c r="E25" s="101"/>
      <c r="F25" s="101"/>
      <c r="G25" s="101"/>
      <c r="H25" s="101"/>
      <c r="I25" s="101"/>
      <c r="J25" s="101"/>
      <c r="K25" s="101"/>
      <c r="L25" s="101">
        <f t="shared" si="0"/>
        <v>0</v>
      </c>
      <c r="M25" s="377"/>
    </row>
    <row r="26" spans="1:13">
      <c r="A26" s="384"/>
      <c r="B26" s="101"/>
      <c r="C26" s="101"/>
      <c r="D26" s="101"/>
      <c r="E26" s="101"/>
      <c r="F26" s="101"/>
      <c r="G26" s="101"/>
      <c r="H26" s="101"/>
      <c r="I26" s="101"/>
      <c r="J26" s="101"/>
      <c r="K26" s="101"/>
      <c r="L26" s="101">
        <f t="shared" si="0"/>
        <v>0</v>
      </c>
      <c r="M26" s="377"/>
    </row>
    <row r="27" spans="1:13">
      <c r="A27" s="384"/>
      <c r="B27" s="146"/>
      <c r="C27" s="146"/>
      <c r="D27" s="146"/>
      <c r="E27" s="146"/>
      <c r="F27" s="146"/>
      <c r="G27" s="146"/>
      <c r="H27" s="101"/>
      <c r="I27" s="101"/>
      <c r="J27" s="101"/>
      <c r="K27" s="101"/>
      <c r="L27" s="101">
        <f t="shared" si="0"/>
        <v>0</v>
      </c>
      <c r="M27" s="377"/>
    </row>
    <row r="28" spans="1:13">
      <c r="A28" s="384"/>
      <c r="B28" s="12"/>
      <c r="C28" s="12"/>
      <c r="D28" s="12"/>
      <c r="E28" s="12"/>
      <c r="F28" s="12"/>
      <c r="G28" s="12"/>
      <c r="H28" s="385"/>
      <c r="I28" s="101"/>
      <c r="J28" s="101"/>
      <c r="K28" s="101"/>
      <c r="L28" s="101">
        <f t="shared" si="0"/>
        <v>0</v>
      </c>
      <c r="M28" s="377"/>
    </row>
    <row r="29" spans="1:13">
      <c r="A29" s="384"/>
      <c r="B29" s="386"/>
      <c r="C29" s="101"/>
      <c r="D29" s="101"/>
      <c r="E29" s="101"/>
      <c r="F29" s="101"/>
      <c r="G29" s="101"/>
      <c r="H29" s="385"/>
      <c r="I29" s="101"/>
      <c r="J29" s="101"/>
      <c r="K29" s="101"/>
      <c r="L29" s="101">
        <f t="shared" si="0"/>
        <v>0</v>
      </c>
      <c r="M29" s="377"/>
    </row>
    <row r="30" spans="1:13">
      <c r="A30" s="384"/>
      <c r="B30" s="386"/>
      <c r="C30" s="101"/>
      <c r="D30" s="101"/>
      <c r="E30" s="101"/>
      <c r="F30" s="101"/>
      <c r="G30" s="101"/>
      <c r="H30" s="385"/>
      <c r="I30" s="101"/>
      <c r="J30" s="101"/>
      <c r="K30" s="101"/>
      <c r="L30" s="101">
        <f t="shared" si="0"/>
        <v>0</v>
      </c>
      <c r="M30" s="377"/>
    </row>
    <row r="31" spans="1:13">
      <c r="A31" s="384"/>
      <c r="B31" s="386"/>
      <c r="C31" s="101"/>
      <c r="D31" s="101"/>
      <c r="E31" s="101"/>
      <c r="F31" s="101"/>
      <c r="G31" s="101"/>
      <c r="H31" s="385"/>
      <c r="I31" s="101"/>
      <c r="J31" s="101"/>
      <c r="K31" s="101"/>
      <c r="L31" s="101">
        <f t="shared" si="0"/>
        <v>0</v>
      </c>
      <c r="M31" s="377"/>
    </row>
    <row r="32" spans="1:13" ht="18" thickBot="1">
      <c r="A32" s="382"/>
      <c r="B32" s="387"/>
      <c r="C32" s="388"/>
      <c r="D32" s="388"/>
      <c r="E32" s="388"/>
      <c r="F32" s="388"/>
      <c r="G32" s="388"/>
      <c r="H32" s="146"/>
      <c r="I32" s="388"/>
      <c r="J32" s="146"/>
      <c r="K32" s="146"/>
      <c r="L32" s="101">
        <f t="shared" si="0"/>
        <v>0</v>
      </c>
      <c r="M32" s="377"/>
    </row>
    <row r="33" spans="1:13" ht="19.5">
      <c r="A33" s="389"/>
      <c r="B33" s="29"/>
      <c r="C33" s="29"/>
      <c r="D33" s="29"/>
      <c r="E33" s="29"/>
      <c r="F33" s="29"/>
      <c r="G33" s="30" t="s">
        <v>291</v>
      </c>
      <c r="H33" s="29"/>
      <c r="I33" s="378"/>
      <c r="J33" s="29"/>
      <c r="K33" s="29"/>
      <c r="L33" s="390">
        <f>SUM(L10:L32)</f>
        <v>0</v>
      </c>
      <c r="M33" s="377"/>
    </row>
    <row r="34" spans="1:13" ht="18" thickBot="1">
      <c r="A34" s="391"/>
      <c r="B34" s="392"/>
      <c r="C34" s="392"/>
      <c r="D34" s="392"/>
      <c r="E34" s="392"/>
      <c r="F34" s="392"/>
      <c r="G34" s="392"/>
      <c r="H34" s="392"/>
      <c r="I34" s="392"/>
      <c r="J34" s="392"/>
      <c r="K34" s="392"/>
      <c r="L34" s="393"/>
      <c r="M34" s="377"/>
    </row>
    <row r="35" spans="1:13">
      <c r="A35" s="28" t="s">
        <v>292</v>
      </c>
      <c r="B35" s="58"/>
      <c r="C35" s="58"/>
      <c r="D35" s="58"/>
      <c r="E35" s="58"/>
      <c r="F35" s="58"/>
      <c r="G35" s="58"/>
      <c r="H35" s="58"/>
      <c r="I35" s="58"/>
      <c r="J35" s="58"/>
      <c r="K35" s="58"/>
      <c r="L35" s="394"/>
      <c r="M35" s="377"/>
    </row>
    <row r="36" spans="1:13">
      <c r="A36" s="28" t="s">
        <v>293</v>
      </c>
      <c r="B36" s="58"/>
      <c r="C36" s="58"/>
      <c r="D36" s="58"/>
      <c r="E36" s="58"/>
      <c r="F36" s="58"/>
      <c r="G36" s="58"/>
      <c r="H36" s="58"/>
      <c r="I36" s="58"/>
      <c r="J36" s="58"/>
      <c r="K36" s="58"/>
      <c r="L36" s="394"/>
      <c r="M36" s="37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39997558519241921"/>
  </sheetPr>
  <dimension ref="A1:L24"/>
  <sheetViews>
    <sheetView topLeftCell="A4" zoomScaleNormal="100" workbookViewId="0">
      <selection activeCell="M5" sqref="M5"/>
    </sheetView>
  </sheetViews>
  <sheetFormatPr defaultRowHeight="17.25"/>
  <cols>
    <col min="1" max="1" width="16.125" customWidth="1"/>
    <col min="2" max="2" width="8.875" customWidth="1"/>
    <col min="3" max="3" width="14.125" customWidth="1"/>
    <col min="4" max="5" width="12.125" customWidth="1"/>
    <col min="7" max="7" width="11" customWidth="1"/>
    <col min="8" max="8" width="11.625" customWidth="1"/>
    <col min="9" max="12" width="9" hidden="1" customWidth="1"/>
  </cols>
  <sheetData>
    <row r="1" spans="1:8" ht="19.5">
      <c r="A1" s="52" t="s">
        <v>213</v>
      </c>
      <c r="B1" s="48"/>
      <c r="C1" s="48"/>
      <c r="D1" s="48"/>
      <c r="E1" s="48"/>
      <c r="F1" s="48"/>
      <c r="G1" s="48"/>
      <c r="H1" s="104"/>
    </row>
    <row r="2" spans="1:8" ht="15.75" customHeight="1">
      <c r="A2" s="524" t="s">
        <v>296</v>
      </c>
      <c r="B2" s="524"/>
      <c r="C2" s="524"/>
      <c r="D2" s="524"/>
      <c r="E2" s="524"/>
      <c r="F2" s="524"/>
      <c r="G2" s="524"/>
      <c r="H2" s="524"/>
    </row>
    <row r="3" spans="1:8" ht="15.75" customHeight="1">
      <c r="A3" s="524" t="s">
        <v>295</v>
      </c>
      <c r="B3" s="524"/>
      <c r="C3" s="524"/>
      <c r="D3" s="524"/>
      <c r="E3" s="524"/>
      <c r="F3" s="524"/>
      <c r="G3" s="524"/>
      <c r="H3" s="524"/>
    </row>
    <row r="4" spans="1:8" ht="18" thickBot="1">
      <c r="A4" s="104"/>
      <c r="B4" s="104"/>
      <c r="C4" s="104"/>
      <c r="D4" s="104"/>
      <c r="E4" s="104"/>
      <c r="F4" s="104"/>
      <c r="G4" s="113"/>
      <c r="H4" s="104"/>
    </row>
    <row r="5" spans="1:8" s="257" customFormat="1" ht="55.5" customHeight="1">
      <c r="A5" s="525" t="s">
        <v>137</v>
      </c>
      <c r="B5" s="526"/>
      <c r="C5" s="414" t="s">
        <v>145</v>
      </c>
      <c r="D5" s="414" t="s">
        <v>179</v>
      </c>
      <c r="E5" s="414" t="s">
        <v>84</v>
      </c>
      <c r="F5" s="414" t="s">
        <v>180</v>
      </c>
      <c r="G5" s="431" t="s">
        <v>36</v>
      </c>
      <c r="H5" s="432" t="s">
        <v>39</v>
      </c>
    </row>
    <row r="6" spans="1:8" s="106" customFormat="1">
      <c r="A6" s="522"/>
      <c r="B6" s="523"/>
      <c r="C6" s="114"/>
      <c r="D6" s="105"/>
      <c r="E6" s="112">
        <v>0</v>
      </c>
      <c r="F6" s="183">
        <f t="shared" ref="F6:F22" si="0">E6*D6</f>
        <v>0</v>
      </c>
      <c r="G6" s="158"/>
      <c r="H6" s="184">
        <f t="shared" ref="H6:H17" si="1">F6*G6</f>
        <v>0</v>
      </c>
    </row>
    <row r="7" spans="1:8" s="106" customFormat="1">
      <c r="A7" s="522"/>
      <c r="B7" s="523"/>
      <c r="C7" s="114"/>
      <c r="D7" s="105"/>
      <c r="E7" s="112">
        <v>0</v>
      </c>
      <c r="F7" s="183">
        <f t="shared" si="0"/>
        <v>0</v>
      </c>
      <c r="G7" s="158"/>
      <c r="H7" s="184">
        <f t="shared" si="1"/>
        <v>0</v>
      </c>
    </row>
    <row r="8" spans="1:8" s="106" customFormat="1">
      <c r="A8" s="522"/>
      <c r="B8" s="523"/>
      <c r="C8" s="114"/>
      <c r="D8" s="105"/>
      <c r="E8" s="112">
        <v>0</v>
      </c>
      <c r="F8" s="183">
        <f t="shared" si="0"/>
        <v>0</v>
      </c>
      <c r="G8" s="158"/>
      <c r="H8" s="184">
        <f t="shared" si="1"/>
        <v>0</v>
      </c>
    </row>
    <row r="9" spans="1:8" s="106" customFormat="1">
      <c r="A9" s="522"/>
      <c r="B9" s="523"/>
      <c r="C9" s="114"/>
      <c r="D9" s="105"/>
      <c r="E9" s="112">
        <v>0</v>
      </c>
      <c r="F9" s="183">
        <f t="shared" si="0"/>
        <v>0</v>
      </c>
      <c r="G9" s="158"/>
      <c r="H9" s="184">
        <f t="shared" si="1"/>
        <v>0</v>
      </c>
    </row>
    <row r="10" spans="1:8" s="106" customFormat="1">
      <c r="A10" s="522"/>
      <c r="B10" s="523"/>
      <c r="C10" s="114"/>
      <c r="D10" s="105"/>
      <c r="E10" s="112">
        <v>0</v>
      </c>
      <c r="F10" s="183">
        <f t="shared" si="0"/>
        <v>0</v>
      </c>
      <c r="G10" s="158"/>
      <c r="H10" s="184">
        <f t="shared" si="1"/>
        <v>0</v>
      </c>
    </row>
    <row r="11" spans="1:8" s="106" customFormat="1">
      <c r="A11" s="522"/>
      <c r="B11" s="523"/>
      <c r="C11" s="114"/>
      <c r="D11" s="105"/>
      <c r="E11" s="112">
        <v>0</v>
      </c>
      <c r="F11" s="183">
        <f t="shared" si="0"/>
        <v>0</v>
      </c>
      <c r="G11" s="158"/>
      <c r="H11" s="184">
        <f t="shared" si="1"/>
        <v>0</v>
      </c>
    </row>
    <row r="12" spans="1:8" s="106" customFormat="1">
      <c r="A12" s="522"/>
      <c r="B12" s="523"/>
      <c r="C12" s="114"/>
      <c r="D12" s="105"/>
      <c r="E12" s="112">
        <v>0</v>
      </c>
      <c r="F12" s="183">
        <f t="shared" si="0"/>
        <v>0</v>
      </c>
      <c r="G12" s="158"/>
      <c r="H12" s="184">
        <f t="shared" si="1"/>
        <v>0</v>
      </c>
    </row>
    <row r="13" spans="1:8" s="106" customFormat="1">
      <c r="A13" s="522"/>
      <c r="B13" s="523"/>
      <c r="C13" s="114"/>
      <c r="D13" s="105"/>
      <c r="E13" s="112">
        <v>0</v>
      </c>
      <c r="F13" s="183">
        <f t="shared" si="0"/>
        <v>0</v>
      </c>
      <c r="G13" s="158"/>
      <c r="H13" s="184">
        <f t="shared" si="1"/>
        <v>0</v>
      </c>
    </row>
    <row r="14" spans="1:8" s="106" customFormat="1">
      <c r="A14" s="522"/>
      <c r="B14" s="523"/>
      <c r="C14" s="114"/>
      <c r="D14" s="105"/>
      <c r="E14" s="112">
        <v>0</v>
      </c>
      <c r="F14" s="183">
        <f t="shared" si="0"/>
        <v>0</v>
      </c>
      <c r="G14" s="158"/>
      <c r="H14" s="184">
        <f t="shared" si="1"/>
        <v>0</v>
      </c>
    </row>
    <row r="15" spans="1:8" s="106" customFormat="1">
      <c r="A15" s="522"/>
      <c r="B15" s="523"/>
      <c r="C15" s="114"/>
      <c r="D15" s="105"/>
      <c r="E15" s="112">
        <v>0</v>
      </c>
      <c r="F15" s="183">
        <f t="shared" si="0"/>
        <v>0</v>
      </c>
      <c r="G15" s="158"/>
      <c r="H15" s="184">
        <f t="shared" si="1"/>
        <v>0</v>
      </c>
    </row>
    <row r="16" spans="1:8" s="106" customFormat="1">
      <c r="A16" s="522"/>
      <c r="B16" s="523"/>
      <c r="C16" s="114"/>
      <c r="D16" s="105"/>
      <c r="E16" s="112">
        <v>0</v>
      </c>
      <c r="F16" s="183">
        <f t="shared" si="0"/>
        <v>0</v>
      </c>
      <c r="G16" s="158"/>
      <c r="H16" s="184">
        <f t="shared" si="1"/>
        <v>0</v>
      </c>
    </row>
    <row r="17" spans="1:8">
      <c r="A17" s="520"/>
      <c r="B17" s="521"/>
      <c r="C17" s="107"/>
      <c r="D17" s="108"/>
      <c r="E17" s="112">
        <v>0</v>
      </c>
      <c r="F17" s="183">
        <f t="shared" si="0"/>
        <v>0</v>
      </c>
      <c r="G17" s="353"/>
      <c r="H17" s="184">
        <f t="shared" si="1"/>
        <v>0</v>
      </c>
    </row>
    <row r="18" spans="1:8">
      <c r="A18" s="529"/>
      <c r="B18" s="530"/>
      <c r="C18" s="109"/>
      <c r="D18" s="110"/>
      <c r="E18" s="112">
        <v>0</v>
      </c>
      <c r="F18" s="183">
        <f t="shared" si="0"/>
        <v>0</v>
      </c>
      <c r="G18" s="354"/>
      <c r="H18" s="184">
        <v>0</v>
      </c>
    </row>
    <row r="19" spans="1:8">
      <c r="A19" s="529"/>
      <c r="B19" s="530"/>
      <c r="C19" s="109"/>
      <c r="D19" s="110"/>
      <c r="E19" s="112">
        <v>0</v>
      </c>
      <c r="F19" s="183">
        <f t="shared" si="0"/>
        <v>0</v>
      </c>
      <c r="G19" s="354"/>
      <c r="H19" s="184">
        <v>0</v>
      </c>
    </row>
    <row r="20" spans="1:8">
      <c r="A20" s="529"/>
      <c r="B20" s="530"/>
      <c r="C20" s="109"/>
      <c r="D20" s="110"/>
      <c r="E20" s="112">
        <v>0</v>
      </c>
      <c r="F20" s="183">
        <f t="shared" si="0"/>
        <v>0</v>
      </c>
      <c r="G20" s="354"/>
      <c r="H20" s="184">
        <v>0</v>
      </c>
    </row>
    <row r="21" spans="1:8">
      <c r="A21" s="529"/>
      <c r="B21" s="530"/>
      <c r="C21" s="109"/>
      <c r="D21" s="110"/>
      <c r="E21" s="112">
        <v>0</v>
      </c>
      <c r="F21" s="183">
        <f t="shared" si="0"/>
        <v>0</v>
      </c>
      <c r="G21" s="354"/>
      <c r="H21" s="184">
        <v>0</v>
      </c>
    </row>
    <row r="22" spans="1:8" ht="18" thickBot="1">
      <c r="A22" s="531"/>
      <c r="B22" s="532"/>
      <c r="C22" s="115"/>
      <c r="D22" s="111"/>
      <c r="E22" s="112">
        <v>0</v>
      </c>
      <c r="F22" s="183">
        <f t="shared" si="0"/>
        <v>0</v>
      </c>
      <c r="G22" s="355"/>
      <c r="H22" s="185">
        <v>0</v>
      </c>
    </row>
    <row r="23" spans="1:8" ht="19.5">
      <c r="A23" s="59"/>
      <c r="B23" s="33"/>
      <c r="C23" s="33"/>
      <c r="D23" s="33"/>
      <c r="E23" s="33"/>
      <c r="F23" s="527" t="s">
        <v>122</v>
      </c>
      <c r="G23" s="528"/>
      <c r="H23" s="186">
        <f>SUM(H6:H22)</f>
        <v>0</v>
      </c>
    </row>
    <row r="24" spans="1:8" ht="18" thickBot="1">
      <c r="A24" s="17"/>
      <c r="B24" s="36"/>
      <c r="C24" s="36"/>
      <c r="D24" s="36"/>
      <c r="E24" s="36"/>
      <c r="F24" s="36"/>
      <c r="G24" s="36"/>
      <c r="H24" s="31"/>
    </row>
  </sheetData>
  <mergeCells count="21">
    <mergeCell ref="F23:G23"/>
    <mergeCell ref="A21:B21"/>
    <mergeCell ref="A18:B18"/>
    <mergeCell ref="A22:B22"/>
    <mergeCell ref="A19:B19"/>
    <mergeCell ref="A20:B20"/>
    <mergeCell ref="A6:B6"/>
    <mergeCell ref="A7:B7"/>
    <mergeCell ref="A2:H2"/>
    <mergeCell ref="A3:H3"/>
    <mergeCell ref="A5:B5"/>
    <mergeCell ref="A17:B17"/>
    <mergeCell ref="A8:B8"/>
    <mergeCell ref="A9:B9"/>
    <mergeCell ref="A10:B10"/>
    <mergeCell ref="A16:B16"/>
    <mergeCell ref="A14:B14"/>
    <mergeCell ref="A15:B15"/>
    <mergeCell ref="A11:B11"/>
    <mergeCell ref="A12:B12"/>
    <mergeCell ref="A13:B13"/>
  </mergeCells>
  <phoneticPr fontId="22" type="noConversion"/>
  <pageMargins left="0.7" right="0.7" top="0.75" bottom="0.75" header="0.3" footer="0.3"/>
  <pageSetup scale="9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6" tint="0.39997558519241921"/>
    <pageSetUpPr fitToPage="1"/>
  </sheetPr>
  <dimension ref="A1:H23"/>
  <sheetViews>
    <sheetView zoomScaleNormal="100" workbookViewId="0">
      <selection activeCell="A5" sqref="A5"/>
    </sheetView>
  </sheetViews>
  <sheetFormatPr defaultRowHeight="17.25"/>
  <cols>
    <col min="1" max="1" width="19.625" customWidth="1"/>
    <col min="2" max="2" width="19" customWidth="1"/>
    <col min="3" max="3" width="8.875" customWidth="1"/>
    <col min="5" max="5" width="10.375" customWidth="1"/>
    <col min="7" max="7" width="18.125" customWidth="1"/>
  </cols>
  <sheetData>
    <row r="1" spans="1:8" ht="19.5">
      <c r="A1" s="52" t="s">
        <v>214</v>
      </c>
      <c r="B1" s="50"/>
      <c r="C1" s="50"/>
      <c r="D1" s="50"/>
      <c r="E1" s="50"/>
      <c r="F1" s="50"/>
      <c r="G1" s="50"/>
      <c r="H1" s="48"/>
    </row>
    <row r="2" spans="1:8">
      <c r="A2" s="50" t="s">
        <v>86</v>
      </c>
      <c r="B2" s="50"/>
      <c r="C2" s="50"/>
      <c r="D2" s="50"/>
      <c r="E2" s="50"/>
      <c r="F2" s="50"/>
      <c r="G2" s="50"/>
      <c r="H2" s="48"/>
    </row>
    <row r="3" spans="1:8">
      <c r="A3" s="50" t="s">
        <v>89</v>
      </c>
      <c r="B3" s="50"/>
      <c r="C3" s="50"/>
      <c r="D3" s="50"/>
      <c r="E3" s="50"/>
      <c r="F3" s="50"/>
      <c r="G3" s="50"/>
      <c r="H3" s="48"/>
    </row>
    <row r="4" spans="1:8" ht="18" thickBot="1">
      <c r="A4" s="36" t="s">
        <v>88</v>
      </c>
      <c r="B4" s="36"/>
      <c r="C4" s="36"/>
      <c r="D4" s="36"/>
      <c r="E4" s="36"/>
      <c r="F4" s="36"/>
      <c r="G4" s="36"/>
      <c r="H4" s="48"/>
    </row>
    <row r="5" spans="1:8" ht="46.5" customHeight="1">
      <c r="A5" s="415" t="s">
        <v>126</v>
      </c>
      <c r="B5" s="416" t="s">
        <v>146</v>
      </c>
      <c r="C5" s="416" t="s">
        <v>147</v>
      </c>
      <c r="D5" s="415" t="s">
        <v>84</v>
      </c>
      <c r="E5" s="416" t="s">
        <v>121</v>
      </c>
      <c r="F5" s="416" t="s">
        <v>36</v>
      </c>
      <c r="G5" s="417" t="s">
        <v>39</v>
      </c>
      <c r="H5" s="48"/>
    </row>
    <row r="6" spans="1:8">
      <c r="A6" s="73"/>
      <c r="B6" s="120"/>
      <c r="C6" s="116"/>
      <c r="D6" s="74">
        <v>0</v>
      </c>
      <c r="E6" s="187">
        <f>D6*C6</f>
        <v>0</v>
      </c>
      <c r="F6" s="170"/>
      <c r="G6" s="188">
        <f>F6*E6</f>
        <v>0</v>
      </c>
      <c r="H6" s="48"/>
    </row>
    <row r="7" spans="1:8">
      <c r="A7" s="73"/>
      <c r="B7" s="159"/>
      <c r="C7" s="116"/>
      <c r="D7" s="74">
        <v>0</v>
      </c>
      <c r="E7" s="187">
        <f>D7*C7</f>
        <v>0</v>
      </c>
      <c r="F7" s="170"/>
      <c r="G7" s="188">
        <f t="shared" ref="G7:G21" si="0">F7*E7</f>
        <v>0</v>
      </c>
      <c r="H7" s="48"/>
    </row>
    <row r="8" spans="1:8">
      <c r="A8" s="73"/>
      <c r="B8" s="73"/>
      <c r="C8" s="116"/>
      <c r="D8" s="74">
        <v>0</v>
      </c>
      <c r="E8" s="187">
        <f t="shared" ref="E8:E21" si="1">D8*C8</f>
        <v>0</v>
      </c>
      <c r="F8" s="170"/>
      <c r="G8" s="188">
        <f t="shared" si="0"/>
        <v>0</v>
      </c>
      <c r="H8" s="48"/>
    </row>
    <row r="9" spans="1:8">
      <c r="A9" s="73"/>
      <c r="B9" s="73"/>
      <c r="C9" s="116"/>
      <c r="D9" s="74">
        <v>0</v>
      </c>
      <c r="E9" s="187">
        <f t="shared" si="1"/>
        <v>0</v>
      </c>
      <c r="F9" s="170"/>
      <c r="G9" s="188">
        <f t="shared" si="0"/>
        <v>0</v>
      </c>
      <c r="H9" s="48"/>
    </row>
    <row r="10" spans="1:8">
      <c r="A10" s="73"/>
      <c r="B10" s="73"/>
      <c r="C10" s="116"/>
      <c r="D10" s="74">
        <v>0</v>
      </c>
      <c r="E10" s="187">
        <f t="shared" si="1"/>
        <v>0</v>
      </c>
      <c r="F10" s="170"/>
      <c r="G10" s="188">
        <f t="shared" si="0"/>
        <v>0</v>
      </c>
      <c r="H10" s="48"/>
    </row>
    <row r="11" spans="1:8">
      <c r="A11" s="73"/>
      <c r="B11" s="73"/>
      <c r="C11" s="116"/>
      <c r="D11" s="74">
        <v>0</v>
      </c>
      <c r="E11" s="187">
        <f t="shared" si="1"/>
        <v>0</v>
      </c>
      <c r="F11" s="170"/>
      <c r="G11" s="188">
        <f t="shared" si="0"/>
        <v>0</v>
      </c>
      <c r="H11" s="48"/>
    </row>
    <row r="12" spans="1:8">
      <c r="A12" s="73"/>
      <c r="B12" s="73"/>
      <c r="C12" s="116"/>
      <c r="D12" s="74">
        <v>0</v>
      </c>
      <c r="E12" s="187">
        <f t="shared" si="1"/>
        <v>0</v>
      </c>
      <c r="F12" s="170"/>
      <c r="G12" s="188">
        <f t="shared" si="0"/>
        <v>0</v>
      </c>
      <c r="H12" s="48"/>
    </row>
    <row r="13" spans="1:8">
      <c r="A13" s="73"/>
      <c r="B13" s="73"/>
      <c r="C13" s="116"/>
      <c r="D13" s="74">
        <v>0</v>
      </c>
      <c r="E13" s="187">
        <f t="shared" si="1"/>
        <v>0</v>
      </c>
      <c r="F13" s="170"/>
      <c r="G13" s="188">
        <f t="shared" si="0"/>
        <v>0</v>
      </c>
      <c r="H13" s="48"/>
    </row>
    <row r="14" spans="1:8">
      <c r="A14" s="73"/>
      <c r="B14" s="73"/>
      <c r="C14" s="116"/>
      <c r="D14" s="74">
        <v>0</v>
      </c>
      <c r="E14" s="187">
        <f t="shared" si="1"/>
        <v>0</v>
      </c>
      <c r="F14" s="170"/>
      <c r="G14" s="188">
        <f t="shared" si="0"/>
        <v>0</v>
      </c>
      <c r="H14" s="48"/>
    </row>
    <row r="15" spans="1:8">
      <c r="A15" s="73"/>
      <c r="B15" s="73"/>
      <c r="C15" s="116"/>
      <c r="D15" s="74">
        <v>0</v>
      </c>
      <c r="E15" s="187">
        <f t="shared" si="1"/>
        <v>0</v>
      </c>
      <c r="F15" s="170"/>
      <c r="G15" s="188">
        <f t="shared" si="0"/>
        <v>0</v>
      </c>
      <c r="H15" s="48"/>
    </row>
    <row r="16" spans="1:8">
      <c r="A16" s="73"/>
      <c r="B16" s="73"/>
      <c r="C16" s="116"/>
      <c r="D16" s="74">
        <v>0</v>
      </c>
      <c r="E16" s="187">
        <f t="shared" si="1"/>
        <v>0</v>
      </c>
      <c r="F16" s="170"/>
      <c r="G16" s="188">
        <f t="shared" si="0"/>
        <v>0</v>
      </c>
      <c r="H16" s="48"/>
    </row>
    <row r="17" spans="1:8">
      <c r="A17" s="73"/>
      <c r="B17" s="73"/>
      <c r="C17" s="116"/>
      <c r="D17" s="74">
        <v>0</v>
      </c>
      <c r="E17" s="187">
        <f t="shared" si="1"/>
        <v>0</v>
      </c>
      <c r="F17" s="170"/>
      <c r="G17" s="188">
        <f t="shared" si="0"/>
        <v>0</v>
      </c>
      <c r="H17" s="48"/>
    </row>
    <row r="18" spans="1:8">
      <c r="A18" s="73"/>
      <c r="B18" s="73"/>
      <c r="C18" s="116"/>
      <c r="D18" s="74">
        <v>0</v>
      </c>
      <c r="E18" s="187">
        <f t="shared" si="1"/>
        <v>0</v>
      </c>
      <c r="F18" s="170"/>
      <c r="G18" s="188">
        <f t="shared" si="0"/>
        <v>0</v>
      </c>
      <c r="H18" s="48"/>
    </row>
    <row r="19" spans="1:8">
      <c r="A19" s="73"/>
      <c r="B19" s="73"/>
      <c r="C19" s="116"/>
      <c r="D19" s="74">
        <v>0</v>
      </c>
      <c r="E19" s="187">
        <f t="shared" si="1"/>
        <v>0</v>
      </c>
      <c r="F19" s="170"/>
      <c r="G19" s="188">
        <f t="shared" si="0"/>
        <v>0</v>
      </c>
      <c r="H19" s="48"/>
    </row>
    <row r="20" spans="1:8">
      <c r="A20" s="73"/>
      <c r="B20" s="73"/>
      <c r="C20" s="116"/>
      <c r="D20" s="74">
        <v>0</v>
      </c>
      <c r="E20" s="187">
        <f t="shared" si="1"/>
        <v>0</v>
      </c>
      <c r="F20" s="170"/>
      <c r="G20" s="188">
        <f>F20*E20</f>
        <v>0</v>
      </c>
      <c r="H20" s="48"/>
    </row>
    <row r="21" spans="1:8" ht="18" thickBot="1">
      <c r="A21" s="76"/>
      <c r="B21" s="77"/>
      <c r="C21" s="117"/>
      <c r="D21" s="74">
        <v>0</v>
      </c>
      <c r="E21" s="187">
        <f t="shared" si="1"/>
        <v>0</v>
      </c>
      <c r="F21" s="170"/>
      <c r="G21" s="188">
        <f t="shared" si="0"/>
        <v>0</v>
      </c>
      <c r="H21" s="48"/>
    </row>
    <row r="22" spans="1:8">
      <c r="A22" s="32"/>
      <c r="B22" s="33"/>
      <c r="C22" s="33"/>
      <c r="D22" s="51" t="s">
        <v>87</v>
      </c>
      <c r="E22" s="48"/>
      <c r="F22" s="34"/>
      <c r="G22" s="186">
        <f>SUM(G6:G21)</f>
        <v>0</v>
      </c>
      <c r="H22" s="48"/>
    </row>
    <row r="23" spans="1:8" ht="18" thickBot="1">
      <c r="A23" s="35"/>
      <c r="B23" s="36"/>
      <c r="C23" s="36"/>
      <c r="D23" s="36"/>
      <c r="E23" s="45"/>
      <c r="F23" s="37"/>
      <c r="G23" s="31"/>
      <c r="H23" s="48"/>
    </row>
  </sheetData>
  <phoneticPr fontId="22" type="noConversion"/>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7" tint="0.39997558519241921"/>
  </sheetPr>
  <dimension ref="A1:H25"/>
  <sheetViews>
    <sheetView topLeftCell="A13" zoomScaleNormal="100" workbookViewId="0">
      <selection activeCell="H22" sqref="H22"/>
    </sheetView>
  </sheetViews>
  <sheetFormatPr defaultRowHeight="17.25"/>
  <cols>
    <col min="1" max="1" width="19.75" customWidth="1"/>
    <col min="2" max="2" width="11.125" customWidth="1"/>
    <col min="3" max="3" width="11.625" customWidth="1"/>
    <col min="4" max="4" width="7.875" customWidth="1"/>
    <col min="5" max="5" width="14.625" customWidth="1"/>
    <col min="6" max="6" width="17" customWidth="1"/>
    <col min="7" max="7" width="10.75" customWidth="1"/>
    <col min="8" max="8" width="21.625" customWidth="1"/>
  </cols>
  <sheetData>
    <row r="1" spans="1:8" ht="19.5">
      <c r="A1" s="52" t="s">
        <v>215</v>
      </c>
      <c r="B1" s="50"/>
      <c r="C1" s="50"/>
      <c r="D1" s="50"/>
      <c r="E1" s="50"/>
      <c r="F1" s="48"/>
    </row>
    <row r="2" spans="1:8">
      <c r="A2" s="1" t="s">
        <v>90</v>
      </c>
      <c r="B2" s="50"/>
      <c r="C2" s="50"/>
      <c r="D2" s="50"/>
      <c r="E2" s="50"/>
      <c r="F2" s="48"/>
    </row>
    <row r="3" spans="1:8">
      <c r="A3" s="543" t="s">
        <v>181</v>
      </c>
      <c r="B3" s="543"/>
      <c r="C3" s="543"/>
      <c r="D3" s="543"/>
      <c r="E3" s="543"/>
      <c r="F3" s="543"/>
    </row>
    <row r="4" spans="1:8">
      <c r="A4" s="543"/>
      <c r="B4" s="543"/>
      <c r="C4" s="543"/>
      <c r="D4" s="543"/>
      <c r="E4" s="543"/>
      <c r="F4" s="543"/>
    </row>
    <row r="5" spans="1:8">
      <c r="A5" s="543"/>
      <c r="B5" s="543"/>
      <c r="C5" s="543"/>
      <c r="D5" s="543"/>
      <c r="E5" s="543"/>
      <c r="F5" s="543"/>
    </row>
    <row r="6" spans="1:8">
      <c r="A6" s="543"/>
      <c r="B6" s="543"/>
      <c r="C6" s="543"/>
      <c r="D6" s="543"/>
      <c r="E6" s="543"/>
      <c r="F6" s="543"/>
    </row>
    <row r="7" spans="1:8" ht="37.5" customHeight="1">
      <c r="A7" s="543"/>
      <c r="B7" s="543"/>
      <c r="C7" s="543"/>
      <c r="D7" s="543"/>
      <c r="E7" s="543"/>
      <c r="F7" s="543"/>
    </row>
    <row r="8" spans="1:8" ht="18" thickBot="1">
      <c r="A8" s="546" t="s">
        <v>182</v>
      </c>
      <c r="B8" s="546"/>
      <c r="C8" s="546"/>
      <c r="D8" s="546"/>
      <c r="E8" s="118"/>
      <c r="F8" s="118"/>
      <c r="G8" s="118"/>
    </row>
    <row r="9" spans="1:8" s="257" customFormat="1" ht="47.25" customHeight="1">
      <c r="A9" s="547" t="s">
        <v>134</v>
      </c>
      <c r="B9" s="548"/>
      <c r="C9" s="433" t="s">
        <v>123</v>
      </c>
      <c r="D9" s="433" t="s">
        <v>125</v>
      </c>
      <c r="E9" s="433" t="s">
        <v>183</v>
      </c>
      <c r="F9" s="434" t="s">
        <v>184</v>
      </c>
      <c r="G9" s="435" t="s">
        <v>148</v>
      </c>
      <c r="H9" s="436" t="s">
        <v>124</v>
      </c>
    </row>
    <row r="10" spans="1:8">
      <c r="A10" s="549"/>
      <c r="B10" s="550"/>
      <c r="C10" s="119"/>
      <c r="D10" s="122"/>
      <c r="E10" s="129"/>
      <c r="F10" s="74">
        <v>0</v>
      </c>
      <c r="G10" s="171"/>
      <c r="H10" s="187">
        <f>G10*F10</f>
        <v>0</v>
      </c>
    </row>
    <row r="11" spans="1:8">
      <c r="A11" s="551"/>
      <c r="B11" s="552"/>
      <c r="C11" s="120"/>
      <c r="D11" s="123"/>
      <c r="E11" s="83"/>
      <c r="F11" s="74">
        <v>0</v>
      </c>
      <c r="G11" s="171"/>
      <c r="H11" s="187">
        <f>G11*F11</f>
        <v>0</v>
      </c>
    </row>
    <row r="12" spans="1:8">
      <c r="A12" s="551"/>
      <c r="B12" s="552"/>
      <c r="C12" s="120"/>
      <c r="D12" s="123"/>
      <c r="E12" s="83"/>
      <c r="F12" s="74">
        <v>0</v>
      </c>
      <c r="G12" s="171"/>
      <c r="H12" s="187">
        <f>G12*F12</f>
        <v>0</v>
      </c>
    </row>
    <row r="13" spans="1:8">
      <c r="A13" s="551"/>
      <c r="B13" s="552"/>
      <c r="C13" s="120"/>
      <c r="D13" s="123"/>
      <c r="E13" s="83"/>
      <c r="F13" s="74">
        <v>0</v>
      </c>
      <c r="G13" s="171"/>
      <c r="H13" s="187">
        <f>G13*F13</f>
        <v>0</v>
      </c>
    </row>
    <row r="14" spans="1:8" ht="18" thickBot="1">
      <c r="A14" s="544"/>
      <c r="B14" s="545"/>
      <c r="C14" s="121"/>
      <c r="D14" s="126"/>
      <c r="E14" s="124"/>
      <c r="F14" s="75">
        <v>0</v>
      </c>
      <c r="G14" s="172"/>
      <c r="H14" s="187">
        <f>G14*F14</f>
        <v>0</v>
      </c>
    </row>
    <row r="15" spans="1:8" ht="20.25" thickBot="1">
      <c r="A15" s="127"/>
      <c r="B15" s="128"/>
      <c r="C15" s="128"/>
      <c r="D15" s="128"/>
      <c r="E15" s="125"/>
      <c r="F15" s="125"/>
      <c r="G15" s="125"/>
      <c r="H15" s="189">
        <f>SUM(H10:H14)</f>
        <v>0</v>
      </c>
    </row>
    <row r="16" spans="1:8">
      <c r="A16" s="53" t="s">
        <v>91</v>
      </c>
      <c r="B16" s="48"/>
      <c r="C16" s="48"/>
      <c r="D16" s="48"/>
      <c r="E16" s="48"/>
      <c r="F16" s="48"/>
    </row>
    <row r="17" spans="1:6">
      <c r="A17" s="53" t="s">
        <v>92</v>
      </c>
      <c r="B17" s="48"/>
      <c r="C17" s="48"/>
      <c r="D17" s="48"/>
      <c r="E17" s="48"/>
      <c r="F17" s="48"/>
    </row>
    <row r="18" spans="1:6" ht="36.75" customHeight="1">
      <c r="A18" s="541" t="s">
        <v>185</v>
      </c>
      <c r="B18" s="542"/>
      <c r="C18" s="535" t="s">
        <v>186</v>
      </c>
      <c r="D18" s="536"/>
      <c r="E18" s="433" t="s">
        <v>36</v>
      </c>
      <c r="F18" s="437" t="s">
        <v>65</v>
      </c>
    </row>
    <row r="19" spans="1:6">
      <c r="A19" s="98"/>
      <c r="B19" s="99"/>
      <c r="C19" s="537"/>
      <c r="D19" s="538"/>
      <c r="E19" s="86"/>
      <c r="F19" s="184">
        <f>E19*C19</f>
        <v>0</v>
      </c>
    </row>
    <row r="20" spans="1:6">
      <c r="A20" s="98"/>
      <c r="B20" s="99"/>
      <c r="C20" s="537"/>
      <c r="D20" s="538"/>
      <c r="E20" s="86"/>
      <c r="F20" s="184">
        <f>E20*C20</f>
        <v>0</v>
      </c>
    </row>
    <row r="21" spans="1:6">
      <c r="A21" s="98"/>
      <c r="B21" s="99"/>
      <c r="C21" s="537"/>
      <c r="D21" s="538"/>
      <c r="E21" s="86"/>
      <c r="F21" s="184">
        <f>E21*C21</f>
        <v>0</v>
      </c>
    </row>
    <row r="22" spans="1:6" ht="18" thickBot="1">
      <c r="A22" s="98"/>
      <c r="B22" s="100"/>
      <c r="C22" s="539"/>
      <c r="D22" s="540"/>
      <c r="E22" s="86"/>
      <c r="F22" s="185">
        <f>E22*C22</f>
        <v>0</v>
      </c>
    </row>
    <row r="23" spans="1:6" ht="18.75" thickTop="1" thickBot="1">
      <c r="A23" s="96"/>
      <c r="B23" s="191" t="s">
        <v>94</v>
      </c>
      <c r="C23" s="192"/>
      <c r="D23" s="192"/>
      <c r="E23" s="193"/>
      <c r="F23" s="194">
        <f>SUM(F19:F22)</f>
        <v>0</v>
      </c>
    </row>
    <row r="24" spans="1:6" ht="18" thickBot="1">
      <c r="A24" s="49"/>
      <c r="B24" s="132"/>
      <c r="C24" s="56"/>
      <c r="D24" s="56"/>
      <c r="E24" s="190"/>
      <c r="F24" s="195"/>
    </row>
    <row r="25" spans="1:6" ht="20.25" thickBot="1">
      <c r="A25" s="60"/>
      <c r="B25" s="18"/>
      <c r="C25" s="61"/>
      <c r="D25" s="533" t="s">
        <v>95</v>
      </c>
      <c r="E25" s="534"/>
      <c r="F25" s="258">
        <f>H15+F23</f>
        <v>0</v>
      </c>
    </row>
  </sheetData>
  <mergeCells count="15">
    <mergeCell ref="A18:B18"/>
    <mergeCell ref="A3:F7"/>
    <mergeCell ref="A14:B14"/>
    <mergeCell ref="A8:D8"/>
    <mergeCell ref="A9:B9"/>
    <mergeCell ref="A10:B10"/>
    <mergeCell ref="A11:B11"/>
    <mergeCell ref="A12:B12"/>
    <mergeCell ref="A13:B13"/>
    <mergeCell ref="D25:E25"/>
    <mergeCell ref="C18:D18"/>
    <mergeCell ref="C19:D19"/>
    <mergeCell ref="C20:D20"/>
    <mergeCell ref="C21:D21"/>
    <mergeCell ref="C22:D22"/>
  </mergeCells>
  <phoneticPr fontId="22" type="noConversion"/>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8" tint="0.39997558519241921"/>
  </sheetPr>
  <dimension ref="A1:I24"/>
  <sheetViews>
    <sheetView topLeftCell="B1" zoomScaleNormal="100" workbookViewId="0">
      <selection activeCell="F3" sqref="F3"/>
    </sheetView>
  </sheetViews>
  <sheetFormatPr defaultRowHeight="17.25"/>
  <cols>
    <col min="1" max="1" width="44.375" customWidth="1"/>
    <col min="2" max="3" width="12.5" customWidth="1"/>
    <col min="5" max="5" width="13.75" customWidth="1"/>
    <col min="6" max="6" width="14.75" customWidth="1"/>
    <col min="7" max="7" width="12.625" customWidth="1"/>
    <col min="8" max="8" width="8.875" customWidth="1"/>
    <col min="9" max="9" width="28.125" customWidth="1"/>
  </cols>
  <sheetData>
    <row r="1" spans="1:9" ht="19.5">
      <c r="A1" s="553" t="s">
        <v>216</v>
      </c>
      <c r="B1" s="553"/>
      <c r="C1" s="20"/>
      <c r="D1" s="52"/>
      <c r="E1" s="39"/>
      <c r="F1" s="39"/>
      <c r="G1" s="39"/>
      <c r="H1" s="39"/>
      <c r="I1" s="39"/>
    </row>
    <row r="2" spans="1:9">
      <c r="A2" s="39"/>
      <c r="B2" s="39"/>
      <c r="C2" s="39"/>
      <c r="D2" s="39"/>
      <c r="E2" s="39"/>
      <c r="F2" s="39"/>
      <c r="G2" s="39"/>
      <c r="H2" s="39"/>
      <c r="I2" s="39"/>
    </row>
    <row r="3" spans="1:9">
      <c r="A3" s="39" t="s">
        <v>152</v>
      </c>
      <c r="B3" s="39"/>
      <c r="C3" s="39"/>
      <c r="D3" s="39"/>
      <c r="E3" s="39"/>
      <c r="F3" s="39"/>
      <c r="G3" s="39"/>
      <c r="H3" s="39"/>
      <c r="I3" s="39"/>
    </row>
    <row r="4" spans="1:9">
      <c r="A4" s="39" t="s">
        <v>96</v>
      </c>
      <c r="B4" s="39"/>
      <c r="C4" s="39"/>
      <c r="D4" s="39"/>
      <c r="E4" s="39"/>
      <c r="F4" s="39"/>
      <c r="G4" s="39"/>
      <c r="H4" s="39"/>
      <c r="I4" s="39"/>
    </row>
    <row r="5" spans="1:9">
      <c r="A5" s="9"/>
      <c r="B5" s="39"/>
      <c r="C5" s="39"/>
      <c r="D5" s="39"/>
      <c r="E5" s="39"/>
      <c r="F5" s="39"/>
      <c r="G5" s="39"/>
      <c r="H5" s="39"/>
      <c r="I5" s="39"/>
    </row>
    <row r="6" spans="1:9" ht="47.25" customHeight="1">
      <c r="A6" s="438" t="s">
        <v>149</v>
      </c>
      <c r="B6" s="439" t="s">
        <v>85</v>
      </c>
      <c r="C6" s="439" t="s">
        <v>150</v>
      </c>
      <c r="D6" s="439" t="s">
        <v>51</v>
      </c>
      <c r="E6" s="439" t="s">
        <v>93</v>
      </c>
      <c r="F6" s="438" t="s">
        <v>187</v>
      </c>
      <c r="G6" s="438" t="s">
        <v>188</v>
      </c>
      <c r="H6" s="440" t="s">
        <v>36</v>
      </c>
      <c r="I6" s="438" t="s">
        <v>39</v>
      </c>
    </row>
    <row r="7" spans="1:9">
      <c r="A7" s="79"/>
      <c r="B7" s="80"/>
      <c r="C7" s="196"/>
      <c r="D7" s="173"/>
      <c r="E7" s="187">
        <f>D7*C7</f>
        <v>0</v>
      </c>
      <c r="F7" s="198"/>
      <c r="G7" s="74"/>
      <c r="H7" s="82"/>
      <c r="I7" s="187">
        <f>G7*H7</f>
        <v>0</v>
      </c>
    </row>
    <row r="8" spans="1:9">
      <c r="A8" s="79"/>
      <c r="B8" s="81"/>
      <c r="C8" s="196"/>
      <c r="D8" s="173"/>
      <c r="E8" s="187">
        <f t="shared" ref="E8:E22" si="0">D8*C8</f>
        <v>0</v>
      </c>
      <c r="F8" s="198"/>
      <c r="G8" s="74">
        <v>0</v>
      </c>
      <c r="H8" s="82"/>
      <c r="I8" s="187">
        <f>G8*H8</f>
        <v>0</v>
      </c>
    </row>
    <row r="9" spans="1:9">
      <c r="A9" s="79"/>
      <c r="B9" s="81"/>
      <c r="C9" s="196"/>
      <c r="D9" s="173"/>
      <c r="E9" s="187">
        <f t="shared" si="0"/>
        <v>0</v>
      </c>
      <c r="F9" s="198"/>
      <c r="G9" s="74">
        <v>0</v>
      </c>
      <c r="H9" s="82"/>
      <c r="I9" s="187">
        <f>G9*H9</f>
        <v>0</v>
      </c>
    </row>
    <row r="10" spans="1:9">
      <c r="A10" s="79"/>
      <c r="B10" s="81"/>
      <c r="C10" s="196"/>
      <c r="D10" s="173"/>
      <c r="E10" s="187">
        <f t="shared" si="0"/>
        <v>0</v>
      </c>
      <c r="F10" s="199"/>
      <c r="G10" s="74">
        <v>0</v>
      </c>
      <c r="H10" s="82"/>
      <c r="I10" s="187">
        <f>G10*H10</f>
        <v>0</v>
      </c>
    </row>
    <row r="11" spans="1:9">
      <c r="A11" s="79"/>
      <c r="B11" s="81"/>
      <c r="C11" s="196"/>
      <c r="D11" s="173"/>
      <c r="E11" s="187">
        <f t="shared" si="0"/>
        <v>0</v>
      </c>
      <c r="F11" s="199"/>
      <c r="G11" s="74">
        <v>0</v>
      </c>
      <c r="H11" s="82"/>
      <c r="I11" s="187">
        <f t="shared" ref="I11:I22" si="1">G11*H11</f>
        <v>0</v>
      </c>
    </row>
    <row r="12" spans="1:9">
      <c r="A12" s="79"/>
      <c r="B12" s="81"/>
      <c r="C12" s="196"/>
      <c r="D12" s="173"/>
      <c r="E12" s="187">
        <f t="shared" si="0"/>
        <v>0</v>
      </c>
      <c r="F12" s="199"/>
      <c r="G12" s="74">
        <v>0</v>
      </c>
      <c r="H12" s="82"/>
      <c r="I12" s="187">
        <f t="shared" si="1"/>
        <v>0</v>
      </c>
    </row>
    <row r="13" spans="1:9">
      <c r="A13" s="79"/>
      <c r="B13" s="81"/>
      <c r="C13" s="196"/>
      <c r="D13" s="173"/>
      <c r="E13" s="187">
        <f t="shared" si="0"/>
        <v>0</v>
      </c>
      <c r="F13" s="199"/>
      <c r="G13" s="74">
        <v>0</v>
      </c>
      <c r="H13" s="82"/>
      <c r="I13" s="187">
        <f t="shared" si="1"/>
        <v>0</v>
      </c>
    </row>
    <row r="14" spans="1:9">
      <c r="A14" s="79"/>
      <c r="B14" s="81"/>
      <c r="C14" s="196"/>
      <c r="D14" s="173"/>
      <c r="E14" s="187">
        <f t="shared" si="0"/>
        <v>0</v>
      </c>
      <c r="F14" s="199"/>
      <c r="G14" s="74">
        <v>0</v>
      </c>
      <c r="H14" s="82"/>
      <c r="I14" s="187">
        <f t="shared" si="1"/>
        <v>0</v>
      </c>
    </row>
    <row r="15" spans="1:9">
      <c r="A15" s="79"/>
      <c r="B15" s="81"/>
      <c r="C15" s="196"/>
      <c r="D15" s="173"/>
      <c r="E15" s="187">
        <f t="shared" si="0"/>
        <v>0</v>
      </c>
      <c r="F15" s="199"/>
      <c r="G15" s="74">
        <v>0</v>
      </c>
      <c r="H15" s="82"/>
      <c r="I15" s="187">
        <f t="shared" si="1"/>
        <v>0</v>
      </c>
    </row>
    <row r="16" spans="1:9">
      <c r="A16" s="79"/>
      <c r="B16" s="81"/>
      <c r="C16" s="196"/>
      <c r="D16" s="173"/>
      <c r="E16" s="187">
        <f t="shared" si="0"/>
        <v>0</v>
      </c>
      <c r="F16" s="199"/>
      <c r="G16" s="74">
        <v>0</v>
      </c>
      <c r="H16" s="82"/>
      <c r="I16" s="187">
        <f t="shared" si="1"/>
        <v>0</v>
      </c>
    </row>
    <row r="17" spans="1:9">
      <c r="A17" s="79"/>
      <c r="B17" s="81"/>
      <c r="C17" s="196"/>
      <c r="D17" s="173"/>
      <c r="E17" s="187">
        <f t="shared" si="0"/>
        <v>0</v>
      </c>
      <c r="F17" s="199"/>
      <c r="G17" s="74">
        <v>0</v>
      </c>
      <c r="H17" s="82"/>
      <c r="I17" s="187">
        <f t="shared" si="1"/>
        <v>0</v>
      </c>
    </row>
    <row r="18" spans="1:9">
      <c r="A18" s="79"/>
      <c r="B18" s="81"/>
      <c r="C18" s="196"/>
      <c r="D18" s="173"/>
      <c r="E18" s="187">
        <f t="shared" si="0"/>
        <v>0</v>
      </c>
      <c r="F18" s="199"/>
      <c r="G18" s="74">
        <v>0</v>
      </c>
      <c r="H18" s="82"/>
      <c r="I18" s="187">
        <f t="shared" si="1"/>
        <v>0</v>
      </c>
    </row>
    <row r="19" spans="1:9">
      <c r="A19" s="79"/>
      <c r="B19" s="81"/>
      <c r="C19" s="196"/>
      <c r="D19" s="173"/>
      <c r="E19" s="187">
        <f t="shared" si="0"/>
        <v>0</v>
      </c>
      <c r="F19" s="199"/>
      <c r="G19" s="74">
        <v>0</v>
      </c>
      <c r="H19" s="82"/>
      <c r="I19" s="187">
        <f t="shared" si="1"/>
        <v>0</v>
      </c>
    </row>
    <row r="20" spans="1:9">
      <c r="A20" s="79"/>
      <c r="B20" s="81"/>
      <c r="C20" s="196"/>
      <c r="D20" s="173"/>
      <c r="E20" s="187">
        <f t="shared" si="0"/>
        <v>0</v>
      </c>
      <c r="F20" s="199"/>
      <c r="G20" s="74">
        <v>0</v>
      </c>
      <c r="H20" s="82"/>
      <c r="I20" s="187">
        <f t="shared" si="1"/>
        <v>0</v>
      </c>
    </row>
    <row r="21" spans="1:9">
      <c r="A21" s="79"/>
      <c r="B21" s="81"/>
      <c r="C21" s="196"/>
      <c r="D21" s="173"/>
      <c r="E21" s="187">
        <f t="shared" si="0"/>
        <v>0</v>
      </c>
      <c r="F21" s="199"/>
      <c r="G21" s="74">
        <v>0</v>
      </c>
      <c r="H21" s="82"/>
      <c r="I21" s="187">
        <f t="shared" si="1"/>
        <v>0</v>
      </c>
    </row>
    <row r="22" spans="1:9" ht="18" thickBot="1">
      <c r="A22" s="84"/>
      <c r="B22" s="85"/>
      <c r="C22" s="201"/>
      <c r="D22" s="174"/>
      <c r="E22" s="197">
        <f t="shared" si="0"/>
        <v>0</v>
      </c>
      <c r="F22" s="200"/>
      <c r="G22" s="74">
        <v>0</v>
      </c>
      <c r="H22" s="82"/>
      <c r="I22" s="187">
        <f t="shared" si="1"/>
        <v>0</v>
      </c>
    </row>
    <row r="23" spans="1:9" ht="18" thickBot="1">
      <c r="A23" s="15"/>
      <c r="B23" s="42"/>
      <c r="C23" s="54"/>
      <c r="D23" s="54"/>
      <c r="E23" s="9"/>
      <c r="F23" s="554" t="s">
        <v>151</v>
      </c>
      <c r="G23" s="555"/>
      <c r="H23" s="556"/>
      <c r="I23" s="259">
        <f>SUM(I7:I22)</f>
        <v>0</v>
      </c>
    </row>
    <row r="24" spans="1:9" s="262" customFormat="1">
      <c r="A24" s="42"/>
      <c r="B24" s="42"/>
      <c r="C24" s="42"/>
      <c r="D24" s="42"/>
      <c r="E24" s="42"/>
      <c r="F24" s="34"/>
      <c r="G24" s="34"/>
      <c r="H24" s="260"/>
      <c r="I24" s="261"/>
    </row>
  </sheetData>
  <mergeCells count="2">
    <mergeCell ref="A1:B1"/>
    <mergeCell ref="F23:H23"/>
  </mergeCells>
  <phoneticPr fontId="22" type="noConversion"/>
  <pageMargins left="0.7" right="0.7" top="0.75" bottom="0.75" header="0.3" footer="0.3"/>
  <pageSetup scale="73"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9" tint="0.39997558519241921"/>
  </sheetPr>
  <dimension ref="A1:Q19"/>
  <sheetViews>
    <sheetView zoomScaleNormal="100" workbookViewId="0">
      <selection activeCell="N5" sqref="N5"/>
    </sheetView>
  </sheetViews>
  <sheetFormatPr defaultRowHeight="17.25"/>
  <cols>
    <col min="1" max="1" width="9.125" customWidth="1"/>
    <col min="3" max="3" width="19.25" customWidth="1"/>
    <col min="4" max="4" width="9.375" customWidth="1"/>
    <col min="5" max="5" width="9.25" customWidth="1"/>
    <col min="6" max="6" width="9.625" customWidth="1"/>
    <col min="7" max="7" width="10.5" customWidth="1"/>
    <col min="8" max="8" width="7" customWidth="1"/>
    <col min="9" max="9" width="7.75" customWidth="1"/>
    <col min="10" max="10" width="7.25" customWidth="1"/>
    <col min="14" max="14" width="11.375" customWidth="1"/>
  </cols>
  <sheetData>
    <row r="1" spans="1:17" ht="19.5">
      <c r="A1" s="282" t="s">
        <v>200</v>
      </c>
      <c r="C1" s="57"/>
      <c r="D1" s="57"/>
      <c r="E1" s="48"/>
      <c r="F1" s="48"/>
    </row>
    <row r="2" spans="1:17" s="130" customFormat="1" ht="15.75">
      <c r="A2" s="563" t="s">
        <v>193</v>
      </c>
      <c r="B2" s="563"/>
      <c r="C2" s="563"/>
      <c r="D2" s="563"/>
      <c r="E2" s="563"/>
      <c r="F2" s="563"/>
      <c r="G2" s="563"/>
      <c r="H2" s="563"/>
      <c r="I2" s="563"/>
      <c r="J2" s="563"/>
      <c r="K2" s="563"/>
      <c r="L2" s="398"/>
    </row>
    <row r="3" spans="1:17" s="130" customFormat="1" ht="15.75">
      <c r="A3" s="563" t="s">
        <v>194</v>
      </c>
      <c r="B3" s="563"/>
      <c r="C3" s="563"/>
      <c r="D3" s="563"/>
      <c r="E3" s="563"/>
      <c r="F3" s="563"/>
      <c r="G3" s="563"/>
      <c r="H3" s="563"/>
      <c r="I3" s="563"/>
      <c r="J3" s="563"/>
      <c r="K3" s="563"/>
      <c r="L3" s="563"/>
    </row>
    <row r="4" spans="1:17" s="130" customFormat="1" ht="15.75">
      <c r="A4" s="564" t="s">
        <v>195</v>
      </c>
      <c r="B4" s="564"/>
      <c r="C4" s="564"/>
      <c r="D4" s="564"/>
      <c r="E4" s="564"/>
      <c r="F4" s="564"/>
      <c r="G4" s="564"/>
      <c r="H4" s="564"/>
      <c r="I4" s="564"/>
      <c r="J4" s="564"/>
      <c r="K4" s="398"/>
      <c r="L4" s="398"/>
      <c r="O4" s="562"/>
      <c r="P4" s="562"/>
      <c r="Q4" s="562"/>
    </row>
    <row r="5" spans="1:17" s="278" customFormat="1" ht="45" customHeight="1">
      <c r="A5" s="441" t="s">
        <v>198</v>
      </c>
      <c r="B5" s="565" t="s">
        <v>199</v>
      </c>
      <c r="C5" s="566"/>
      <c r="D5" s="442" t="s">
        <v>189</v>
      </c>
      <c r="E5" s="443" t="s">
        <v>190</v>
      </c>
      <c r="F5" s="444" t="s">
        <v>197</v>
      </c>
      <c r="G5" s="445" t="s">
        <v>191</v>
      </c>
      <c r="H5" s="442" t="s">
        <v>196</v>
      </c>
      <c r="I5" s="397" t="s">
        <v>18</v>
      </c>
      <c r="J5" s="397" t="s">
        <v>19</v>
      </c>
      <c r="K5" s="397" t="s">
        <v>192</v>
      </c>
      <c r="L5" s="397" t="s">
        <v>130</v>
      </c>
      <c r="M5" s="446" t="s">
        <v>36</v>
      </c>
      <c r="N5" s="446" t="s">
        <v>127</v>
      </c>
    </row>
    <row r="6" spans="1:17">
      <c r="A6" s="277"/>
      <c r="B6" s="567"/>
      <c r="C6" s="568"/>
      <c r="D6" s="263"/>
      <c r="E6" s="263"/>
      <c r="F6" s="263"/>
      <c r="G6" s="263"/>
      <c r="H6" s="263"/>
      <c r="I6" s="263"/>
      <c r="J6" s="263"/>
      <c r="K6" s="263"/>
      <c r="L6" s="264">
        <f>K6+J6+I6+H6+G6+F6+E6+D6</f>
        <v>0</v>
      </c>
      <c r="M6" s="265"/>
      <c r="N6" s="264">
        <f>M6*L6</f>
        <v>0</v>
      </c>
    </row>
    <row r="7" spans="1:17">
      <c r="A7" s="277"/>
      <c r="B7" s="558"/>
      <c r="C7" s="559"/>
      <c r="D7" s="263"/>
      <c r="E7" s="263"/>
      <c r="F7" s="263"/>
      <c r="G7" s="263"/>
      <c r="H7" s="263"/>
      <c r="I7" s="263"/>
      <c r="J7" s="263"/>
      <c r="K7" s="263"/>
      <c r="L7" s="264">
        <f t="shared" ref="L7:L17" si="0">K7+J7+I7+H7+G7+F7+E7+D7</f>
        <v>0</v>
      </c>
      <c r="M7" s="265"/>
      <c r="N7" s="264">
        <f t="shared" ref="N7:N17" si="1">M7*L7</f>
        <v>0</v>
      </c>
    </row>
    <row r="8" spans="1:17">
      <c r="A8" s="277"/>
      <c r="B8" s="558"/>
      <c r="C8" s="559"/>
      <c r="D8" s="263"/>
      <c r="E8" s="263"/>
      <c r="F8" s="263"/>
      <c r="G8" s="263"/>
      <c r="H8" s="263"/>
      <c r="I8" s="263"/>
      <c r="J8" s="263"/>
      <c r="K8" s="263"/>
      <c r="L8" s="264">
        <f t="shared" si="0"/>
        <v>0</v>
      </c>
      <c r="M8" s="265"/>
      <c r="N8" s="264">
        <f t="shared" si="1"/>
        <v>0</v>
      </c>
    </row>
    <row r="9" spans="1:17">
      <c r="A9" s="277"/>
      <c r="B9" s="558"/>
      <c r="C9" s="559"/>
      <c r="D9" s="263"/>
      <c r="E9" s="263"/>
      <c r="F9" s="263"/>
      <c r="G9" s="263"/>
      <c r="H9" s="263"/>
      <c r="I9" s="263"/>
      <c r="J9" s="263"/>
      <c r="K9" s="263"/>
      <c r="L9" s="264">
        <f t="shared" si="0"/>
        <v>0</v>
      </c>
      <c r="M9" s="265"/>
      <c r="N9" s="264">
        <f t="shared" si="1"/>
        <v>0</v>
      </c>
    </row>
    <row r="10" spans="1:17">
      <c r="A10" s="277"/>
      <c r="B10" s="558"/>
      <c r="C10" s="559"/>
      <c r="D10" s="263"/>
      <c r="E10" s="263"/>
      <c r="F10" s="263"/>
      <c r="G10" s="263"/>
      <c r="H10" s="263"/>
      <c r="I10" s="263"/>
      <c r="J10" s="263"/>
      <c r="K10" s="263"/>
      <c r="L10" s="264">
        <f t="shared" si="0"/>
        <v>0</v>
      </c>
      <c r="M10" s="265"/>
      <c r="N10" s="264">
        <f t="shared" si="1"/>
        <v>0</v>
      </c>
    </row>
    <row r="11" spans="1:17">
      <c r="A11" s="277"/>
      <c r="B11" s="558"/>
      <c r="C11" s="559"/>
      <c r="D11" s="263"/>
      <c r="E11" s="263"/>
      <c r="F11" s="263"/>
      <c r="G11" s="263"/>
      <c r="H11" s="263"/>
      <c r="I11" s="263"/>
      <c r="J11" s="263"/>
      <c r="K11" s="263"/>
      <c r="L11" s="264">
        <f t="shared" si="0"/>
        <v>0</v>
      </c>
      <c r="M11" s="265"/>
      <c r="N11" s="264">
        <f t="shared" si="1"/>
        <v>0</v>
      </c>
    </row>
    <row r="12" spans="1:17">
      <c r="A12" s="277"/>
      <c r="B12" s="558"/>
      <c r="C12" s="559"/>
      <c r="D12" s="263"/>
      <c r="E12" s="263"/>
      <c r="F12" s="263"/>
      <c r="G12" s="263"/>
      <c r="H12" s="263"/>
      <c r="I12" s="263"/>
      <c r="J12" s="263"/>
      <c r="K12" s="263"/>
      <c r="L12" s="264">
        <f t="shared" si="0"/>
        <v>0</v>
      </c>
      <c r="M12" s="265"/>
      <c r="N12" s="264">
        <f t="shared" si="1"/>
        <v>0</v>
      </c>
    </row>
    <row r="13" spans="1:17">
      <c r="A13" s="277"/>
      <c r="B13" s="558"/>
      <c r="C13" s="559"/>
      <c r="D13" s="263"/>
      <c r="E13" s="263"/>
      <c r="F13" s="263"/>
      <c r="G13" s="263"/>
      <c r="H13" s="263"/>
      <c r="I13" s="263"/>
      <c r="J13" s="263"/>
      <c r="K13" s="263"/>
      <c r="L13" s="264">
        <f t="shared" si="0"/>
        <v>0</v>
      </c>
      <c r="M13" s="265"/>
      <c r="N13" s="264">
        <f t="shared" si="1"/>
        <v>0</v>
      </c>
    </row>
    <row r="14" spans="1:17">
      <c r="A14" s="277"/>
      <c r="B14" s="558"/>
      <c r="C14" s="559"/>
      <c r="D14" s="263"/>
      <c r="E14" s="263"/>
      <c r="F14" s="263"/>
      <c r="G14" s="263"/>
      <c r="H14" s="263"/>
      <c r="I14" s="263"/>
      <c r="J14" s="263"/>
      <c r="K14" s="263"/>
      <c r="L14" s="264">
        <f t="shared" si="0"/>
        <v>0</v>
      </c>
      <c r="M14" s="265"/>
      <c r="N14" s="264">
        <f t="shared" si="1"/>
        <v>0</v>
      </c>
    </row>
    <row r="15" spans="1:17">
      <c r="A15" s="277"/>
      <c r="B15" s="558"/>
      <c r="C15" s="559"/>
      <c r="D15" s="263"/>
      <c r="E15" s="263"/>
      <c r="F15" s="263"/>
      <c r="G15" s="263"/>
      <c r="H15" s="263"/>
      <c r="I15" s="263"/>
      <c r="J15" s="263"/>
      <c r="K15" s="263"/>
      <c r="L15" s="264">
        <f t="shared" si="0"/>
        <v>0</v>
      </c>
      <c r="M15" s="265"/>
      <c r="N15" s="264">
        <f t="shared" si="1"/>
        <v>0</v>
      </c>
    </row>
    <row r="16" spans="1:17">
      <c r="A16" s="277"/>
      <c r="B16" s="558"/>
      <c r="C16" s="559"/>
      <c r="D16" s="263"/>
      <c r="E16" s="263"/>
      <c r="F16" s="263"/>
      <c r="G16" s="263"/>
      <c r="H16" s="263"/>
      <c r="I16" s="263"/>
      <c r="J16" s="263"/>
      <c r="K16" s="263"/>
      <c r="L16" s="264">
        <f t="shared" si="0"/>
        <v>0</v>
      </c>
      <c r="M16" s="265"/>
      <c r="N16" s="264">
        <f t="shared" si="1"/>
        <v>0</v>
      </c>
    </row>
    <row r="17" spans="1:14" ht="18" thickBot="1">
      <c r="A17" s="277"/>
      <c r="B17" s="560"/>
      <c r="C17" s="561"/>
      <c r="D17" s="266"/>
      <c r="E17" s="267"/>
      <c r="F17" s="266"/>
      <c r="G17" s="266"/>
      <c r="H17" s="266"/>
      <c r="I17" s="266"/>
      <c r="J17" s="266"/>
      <c r="K17" s="267"/>
      <c r="L17" s="264">
        <f t="shared" si="0"/>
        <v>0</v>
      </c>
      <c r="M17" s="268"/>
      <c r="N17" s="264">
        <f t="shared" si="1"/>
        <v>0</v>
      </c>
    </row>
    <row r="18" spans="1:14" ht="18" thickBot="1">
      <c r="A18" s="257"/>
      <c r="B18" s="269"/>
      <c r="C18" s="270"/>
      <c r="D18" s="356">
        <f t="shared" ref="D18:L18" si="2">SUM(D6:D17)</f>
        <v>0</v>
      </c>
      <c r="E18" s="357">
        <f t="shared" si="2"/>
        <v>0</v>
      </c>
      <c r="F18" s="357">
        <f t="shared" si="2"/>
        <v>0</v>
      </c>
      <c r="G18" s="357">
        <f t="shared" si="2"/>
        <v>0</v>
      </c>
      <c r="H18" s="357">
        <f t="shared" si="2"/>
        <v>0</v>
      </c>
      <c r="I18" s="357">
        <f t="shared" si="2"/>
        <v>0</v>
      </c>
      <c r="J18" s="357">
        <f t="shared" si="2"/>
        <v>0</v>
      </c>
      <c r="K18" s="357">
        <f t="shared" si="2"/>
        <v>0</v>
      </c>
      <c r="L18" s="271">
        <f t="shared" si="2"/>
        <v>0</v>
      </c>
      <c r="M18" s="272"/>
      <c r="N18" s="276"/>
    </row>
    <row r="19" spans="1:14" ht="20.25" customHeight="1" thickBot="1">
      <c r="A19" s="257"/>
      <c r="B19" s="273"/>
      <c r="C19" s="274"/>
      <c r="D19" s="274"/>
      <c r="E19" s="274"/>
      <c r="F19" s="274"/>
      <c r="G19" s="274"/>
      <c r="H19" s="274"/>
      <c r="I19" s="274"/>
      <c r="J19" s="557" t="s">
        <v>110</v>
      </c>
      <c r="K19" s="557"/>
      <c r="L19" s="557"/>
      <c r="M19" s="557"/>
      <c r="N19" s="275">
        <f>SUM(N6:N17)</f>
        <v>0</v>
      </c>
    </row>
  </sheetData>
  <mergeCells count="19">
    <mergeCell ref="O4:Q4"/>
    <mergeCell ref="B7:C7"/>
    <mergeCell ref="B8:C8"/>
    <mergeCell ref="B9:C9"/>
    <mergeCell ref="A2:K2"/>
    <mergeCell ref="A4:F4"/>
    <mergeCell ref="G4:J4"/>
    <mergeCell ref="B5:C5"/>
    <mergeCell ref="A3:L3"/>
    <mergeCell ref="B6:C6"/>
    <mergeCell ref="J19:M19"/>
    <mergeCell ref="B10:C10"/>
    <mergeCell ref="B11:C11"/>
    <mergeCell ref="B12:C12"/>
    <mergeCell ref="B13:C13"/>
    <mergeCell ref="B14:C14"/>
    <mergeCell ref="B15:C15"/>
    <mergeCell ref="B16:C16"/>
    <mergeCell ref="B17:C17"/>
  </mergeCells>
  <phoneticPr fontId="22" type="noConversion"/>
  <pageMargins left="0.7" right="0.7" top="0.75" bottom="0.75" header="0.3" footer="0.3"/>
  <pageSetup scale="87"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0" tint="-0.249977111117893"/>
    <pageSetUpPr fitToPage="1"/>
  </sheetPr>
  <dimension ref="A1:N20"/>
  <sheetViews>
    <sheetView zoomScaleNormal="100" workbookViewId="0">
      <selection activeCell="A4" sqref="A4:N4"/>
    </sheetView>
  </sheetViews>
  <sheetFormatPr defaultRowHeight="17.25"/>
  <cols>
    <col min="1" max="1" width="7.5" customWidth="1"/>
    <col min="2" max="2" width="20.375" customWidth="1"/>
    <col min="3" max="3" width="3.625" customWidth="1"/>
    <col min="4" max="5" width="10.25" customWidth="1"/>
    <col min="6" max="6" width="10.625" customWidth="1"/>
  </cols>
  <sheetData>
    <row r="1" spans="1:14" ht="19.5">
      <c r="A1" s="580" t="s">
        <v>217</v>
      </c>
      <c r="B1" s="580"/>
      <c r="C1" s="580"/>
      <c r="D1" s="580"/>
      <c r="E1" s="48"/>
      <c r="F1" s="48"/>
    </row>
    <row r="2" spans="1:14" ht="19.5">
      <c r="A2" s="583" t="s">
        <v>201</v>
      </c>
      <c r="B2" s="583"/>
      <c r="C2" s="583"/>
      <c r="D2" s="583"/>
      <c r="E2" s="583"/>
      <c r="F2" s="584"/>
      <c r="G2" s="584"/>
      <c r="H2" s="584"/>
      <c r="I2" s="584"/>
      <c r="J2" s="584"/>
      <c r="K2" s="584"/>
    </row>
    <row r="3" spans="1:14" s="168" customFormat="1">
      <c r="A3" s="367" t="s">
        <v>202</v>
      </c>
      <c r="B3" s="50"/>
      <c r="C3" s="50"/>
      <c r="D3" s="50"/>
      <c r="E3" s="50"/>
      <c r="F3" s="39"/>
      <c r="G3" s="39"/>
      <c r="H3" s="39"/>
      <c r="I3" s="39"/>
      <c r="J3" s="39"/>
      <c r="K3" s="39"/>
      <c r="L3" s="167"/>
    </row>
    <row r="4" spans="1:14" s="279" customFormat="1" ht="114" customHeight="1">
      <c r="A4" s="448" t="s">
        <v>198</v>
      </c>
      <c r="B4" s="571" t="s">
        <v>203</v>
      </c>
      <c r="C4" s="572"/>
      <c r="D4" s="449" t="s">
        <v>113</v>
      </c>
      <c r="E4" s="450" t="s">
        <v>114</v>
      </c>
      <c r="F4" s="451" t="s">
        <v>115</v>
      </c>
      <c r="G4" s="449" t="s">
        <v>117</v>
      </c>
      <c r="H4" s="449" t="s">
        <v>118</v>
      </c>
      <c r="I4" s="447" t="s">
        <v>119</v>
      </c>
      <c r="J4" s="447" t="s">
        <v>116</v>
      </c>
      <c r="K4" s="447" t="s">
        <v>120</v>
      </c>
      <c r="L4" s="447" t="s">
        <v>129</v>
      </c>
      <c r="M4" s="447" t="s">
        <v>36</v>
      </c>
      <c r="N4" s="447" t="s">
        <v>63</v>
      </c>
    </row>
    <row r="5" spans="1:14">
      <c r="A5" s="277"/>
      <c r="B5" s="574"/>
      <c r="C5" s="575"/>
      <c r="D5" s="149"/>
      <c r="E5" s="2"/>
      <c r="F5" s="2"/>
      <c r="G5" s="2"/>
      <c r="H5" s="2"/>
      <c r="I5" s="2"/>
      <c r="J5" s="2"/>
      <c r="K5" s="2"/>
      <c r="L5" s="202">
        <f>SUM(D5:K5)</f>
        <v>0</v>
      </c>
      <c r="M5" s="175"/>
      <c r="N5" s="202">
        <f>M5*L5</f>
        <v>0</v>
      </c>
    </row>
    <row r="6" spans="1:14">
      <c r="A6" s="277"/>
      <c r="B6" s="576"/>
      <c r="C6" s="577"/>
      <c r="D6" s="149"/>
      <c r="E6" s="2"/>
      <c r="F6" s="2"/>
      <c r="G6" s="2"/>
      <c r="H6" s="2"/>
      <c r="I6" s="2"/>
      <c r="J6" s="2"/>
      <c r="K6" s="2"/>
      <c r="L6" s="202">
        <f>SUM(D6:K6)</f>
        <v>0</v>
      </c>
      <c r="M6" s="175"/>
      <c r="N6" s="202">
        <f t="shared" ref="N6:N16" si="0">M6*L6</f>
        <v>0</v>
      </c>
    </row>
    <row r="7" spans="1:14">
      <c r="A7" s="277"/>
      <c r="B7" s="578"/>
      <c r="C7" s="579"/>
      <c r="D7" s="149"/>
      <c r="E7" s="2"/>
      <c r="F7" s="2"/>
      <c r="G7" s="2"/>
      <c r="H7" s="2"/>
      <c r="I7" s="2"/>
      <c r="J7" s="2"/>
      <c r="K7" s="2"/>
      <c r="L7" s="202">
        <f t="shared" ref="L7:L16" si="1">SUM(D7:K7)</f>
        <v>0</v>
      </c>
      <c r="M7" s="175"/>
      <c r="N7" s="202">
        <f t="shared" si="0"/>
        <v>0</v>
      </c>
    </row>
    <row r="8" spans="1:14">
      <c r="A8" s="277"/>
      <c r="B8" s="578"/>
      <c r="C8" s="579"/>
      <c r="D8" s="149"/>
      <c r="E8" s="2"/>
      <c r="F8" s="2"/>
      <c r="G8" s="2"/>
      <c r="H8" s="2"/>
      <c r="I8" s="2"/>
      <c r="J8" s="2"/>
      <c r="K8" s="2"/>
      <c r="L8" s="202">
        <f t="shared" si="1"/>
        <v>0</v>
      </c>
      <c r="M8" s="175"/>
      <c r="N8" s="202">
        <f t="shared" si="0"/>
        <v>0</v>
      </c>
    </row>
    <row r="9" spans="1:14">
      <c r="A9" s="277"/>
      <c r="B9" s="578"/>
      <c r="C9" s="579"/>
      <c r="D9" s="149"/>
      <c r="E9" s="2"/>
      <c r="F9" s="2"/>
      <c r="G9" s="2"/>
      <c r="H9" s="2"/>
      <c r="I9" s="2"/>
      <c r="J9" s="2"/>
      <c r="K9" s="2"/>
      <c r="L9" s="202">
        <f t="shared" si="1"/>
        <v>0</v>
      </c>
      <c r="M9" s="175"/>
      <c r="N9" s="202">
        <f t="shared" si="0"/>
        <v>0</v>
      </c>
    </row>
    <row r="10" spans="1:14">
      <c r="A10" s="277"/>
      <c r="B10" s="578"/>
      <c r="C10" s="579"/>
      <c r="D10" s="149"/>
      <c r="E10" s="2"/>
      <c r="F10" s="2"/>
      <c r="G10" s="2"/>
      <c r="H10" s="2"/>
      <c r="I10" s="2"/>
      <c r="J10" s="2"/>
      <c r="K10" s="2"/>
      <c r="L10" s="202">
        <f t="shared" si="1"/>
        <v>0</v>
      </c>
      <c r="M10" s="175"/>
      <c r="N10" s="202">
        <f t="shared" si="0"/>
        <v>0</v>
      </c>
    </row>
    <row r="11" spans="1:14">
      <c r="A11" s="277"/>
      <c r="B11" s="578"/>
      <c r="C11" s="579"/>
      <c r="D11" s="149"/>
      <c r="E11" s="2"/>
      <c r="F11" s="2"/>
      <c r="G11" s="2"/>
      <c r="H11" s="2"/>
      <c r="I11" s="2"/>
      <c r="J11" s="2"/>
      <c r="K11" s="2"/>
      <c r="L11" s="202">
        <f t="shared" si="1"/>
        <v>0</v>
      </c>
      <c r="M11" s="175"/>
      <c r="N11" s="202">
        <f t="shared" si="0"/>
        <v>0</v>
      </c>
    </row>
    <row r="12" spans="1:14">
      <c r="A12" s="277"/>
      <c r="B12" s="578"/>
      <c r="C12" s="579"/>
      <c r="D12" s="149"/>
      <c r="E12" s="2"/>
      <c r="F12" s="2"/>
      <c r="G12" s="2"/>
      <c r="H12" s="2"/>
      <c r="I12" s="2"/>
      <c r="J12" s="2"/>
      <c r="K12" s="2"/>
      <c r="L12" s="202">
        <f t="shared" si="1"/>
        <v>0</v>
      </c>
      <c r="M12" s="175"/>
      <c r="N12" s="202">
        <f t="shared" si="0"/>
        <v>0</v>
      </c>
    </row>
    <row r="13" spans="1:14">
      <c r="A13" s="277"/>
      <c r="B13" s="578"/>
      <c r="C13" s="579"/>
      <c r="D13" s="149"/>
      <c r="E13" s="2"/>
      <c r="F13" s="2"/>
      <c r="G13" s="2"/>
      <c r="H13" s="2"/>
      <c r="I13" s="2"/>
      <c r="J13" s="2"/>
      <c r="K13" s="2"/>
      <c r="L13" s="202">
        <f t="shared" si="1"/>
        <v>0</v>
      </c>
      <c r="M13" s="175"/>
      <c r="N13" s="202">
        <f t="shared" si="0"/>
        <v>0</v>
      </c>
    </row>
    <row r="14" spans="1:14">
      <c r="A14" s="277"/>
      <c r="B14" s="578"/>
      <c r="C14" s="579"/>
      <c r="D14" s="149"/>
      <c r="E14" s="2"/>
      <c r="F14" s="2"/>
      <c r="G14" s="2"/>
      <c r="H14" s="2"/>
      <c r="I14" s="2"/>
      <c r="J14" s="2"/>
      <c r="K14" s="2"/>
      <c r="L14" s="202">
        <f t="shared" si="1"/>
        <v>0</v>
      </c>
      <c r="M14" s="175"/>
      <c r="N14" s="202">
        <f t="shared" si="0"/>
        <v>0</v>
      </c>
    </row>
    <row r="15" spans="1:14">
      <c r="A15" s="359"/>
      <c r="B15" s="581"/>
      <c r="C15" s="582"/>
      <c r="D15" s="150"/>
      <c r="E15" s="97"/>
      <c r="F15" s="97"/>
      <c r="G15" s="97"/>
      <c r="H15" s="97"/>
      <c r="I15" s="97"/>
      <c r="J15" s="97"/>
      <c r="K15" s="97"/>
      <c r="L15" s="358">
        <f t="shared" si="1"/>
        <v>0</v>
      </c>
      <c r="M15" s="176"/>
      <c r="N15" s="358">
        <f t="shared" si="0"/>
        <v>0</v>
      </c>
    </row>
    <row r="16" spans="1:14">
      <c r="A16" s="8"/>
      <c r="B16" s="569"/>
      <c r="C16" s="569"/>
      <c r="D16" s="2"/>
      <c r="E16" s="2"/>
      <c r="F16" s="2"/>
      <c r="G16" s="2"/>
      <c r="H16" s="2"/>
      <c r="I16" s="2"/>
      <c r="J16" s="2"/>
      <c r="K16" s="2"/>
      <c r="L16" s="202">
        <f t="shared" si="1"/>
        <v>0</v>
      </c>
      <c r="M16" s="175"/>
      <c r="N16" s="202">
        <f t="shared" si="0"/>
        <v>0</v>
      </c>
    </row>
    <row r="17" spans="1:14" ht="18" thickBot="1">
      <c r="A17" s="8"/>
      <c r="B17" s="573"/>
      <c r="C17" s="573"/>
      <c r="D17" s="19"/>
      <c r="E17" s="19"/>
      <c r="F17" s="19"/>
      <c r="G17" s="19"/>
      <c r="H17" s="360"/>
      <c r="I17" s="361"/>
      <c r="J17" s="361"/>
      <c r="K17" s="361"/>
      <c r="L17" s="362">
        <f>SUM(L5:L16)</f>
        <v>0</v>
      </c>
      <c r="M17" s="363"/>
      <c r="N17" s="362"/>
    </row>
    <row r="18" spans="1:14" ht="20.25" thickBot="1">
      <c r="B18" s="16"/>
      <c r="C18" s="16"/>
      <c r="D18" s="16"/>
      <c r="E18" s="16"/>
      <c r="F18" s="16"/>
      <c r="G18" s="16"/>
      <c r="H18" s="16"/>
      <c r="I18" s="127"/>
      <c r="J18" s="570" t="s">
        <v>111</v>
      </c>
      <c r="K18" s="570"/>
      <c r="L18" s="570"/>
      <c r="M18" s="570"/>
      <c r="N18" s="364">
        <f>SUM(N5:N17)</f>
        <v>0</v>
      </c>
    </row>
    <row r="20" spans="1:14">
      <c r="B20" s="55"/>
      <c r="C20" s="55"/>
      <c r="D20" s="55"/>
      <c r="E20" s="55"/>
      <c r="F20" s="55"/>
      <c r="G20" s="55"/>
    </row>
  </sheetData>
  <mergeCells count="17">
    <mergeCell ref="A1:D1"/>
    <mergeCell ref="B14:C14"/>
    <mergeCell ref="B15:C15"/>
    <mergeCell ref="B11:C11"/>
    <mergeCell ref="B12:C12"/>
    <mergeCell ref="B13:C13"/>
    <mergeCell ref="A2:K2"/>
    <mergeCell ref="B16:C16"/>
    <mergeCell ref="J18:M18"/>
    <mergeCell ref="B4:C4"/>
    <mergeCell ref="B17:C17"/>
    <mergeCell ref="B5:C5"/>
    <mergeCell ref="B6:C6"/>
    <mergeCell ref="B7:C7"/>
    <mergeCell ref="B8:C8"/>
    <mergeCell ref="B9:C9"/>
    <mergeCell ref="B10:C10"/>
  </mergeCells>
  <phoneticPr fontId="22" type="noConversion"/>
  <pageMargins left="0.7" right="0.7" top="0.75" bottom="0.75" header="0.3" footer="0.3"/>
  <pageSetup scale="92"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FFFF00"/>
  </sheetPr>
  <dimension ref="A1:J27"/>
  <sheetViews>
    <sheetView topLeftCell="C4" zoomScaleNormal="100" workbookViewId="0">
      <selection activeCell="A8" sqref="A8:I8"/>
    </sheetView>
  </sheetViews>
  <sheetFormatPr defaultRowHeight="17.25"/>
  <cols>
    <col min="1" max="1" width="18.875" customWidth="1"/>
    <col min="2" max="2" width="28.875" customWidth="1"/>
    <col min="3" max="3" width="24.5" customWidth="1"/>
    <col min="4" max="5" width="12.625" customWidth="1"/>
    <col min="6" max="6" width="18.5" customWidth="1"/>
    <col min="7" max="7" width="14" customWidth="1"/>
    <col min="8" max="8" width="11.375" customWidth="1"/>
    <col min="9" max="9" width="11.5" customWidth="1"/>
  </cols>
  <sheetData>
    <row r="1" spans="1:10" ht="19.5">
      <c r="A1" s="203" t="s">
        <v>218</v>
      </c>
      <c r="B1" s="203"/>
      <c r="C1" s="203"/>
      <c r="D1" s="20"/>
      <c r="E1" s="20"/>
      <c r="F1" s="20"/>
      <c r="G1" s="39"/>
    </row>
    <row r="2" spans="1:10">
      <c r="A2" s="181" t="s">
        <v>169</v>
      </c>
      <c r="B2" s="181"/>
      <c r="C2" s="181"/>
      <c r="D2" s="9"/>
      <c r="E2" s="9"/>
      <c r="F2" s="9"/>
      <c r="G2" s="9"/>
      <c r="H2" s="104"/>
    </row>
    <row r="3" spans="1:10">
      <c r="A3" s="181" t="s">
        <v>154</v>
      </c>
      <c r="B3" s="181"/>
      <c r="C3" s="181"/>
      <c r="D3" s="9"/>
      <c r="E3" s="9"/>
      <c r="F3" s="9"/>
      <c r="G3" s="9"/>
      <c r="H3" s="135"/>
      <c r="I3" s="135"/>
      <c r="J3" s="135"/>
    </row>
    <row r="4" spans="1:10">
      <c r="A4" s="452" t="s">
        <v>128</v>
      </c>
      <c r="B4" s="452"/>
      <c r="C4" s="452"/>
      <c r="D4" s="39"/>
      <c r="E4" s="39"/>
      <c r="F4" s="39"/>
      <c r="G4" s="9"/>
      <c r="H4" s="135"/>
      <c r="I4" s="135"/>
      <c r="J4" s="135"/>
    </row>
    <row r="5" spans="1:10">
      <c r="A5" s="453" t="s">
        <v>170</v>
      </c>
      <c r="B5" s="452"/>
      <c r="C5" s="452"/>
      <c r="D5" s="39"/>
      <c r="E5" s="39"/>
      <c r="F5" s="39"/>
      <c r="G5" s="9"/>
      <c r="H5" s="135"/>
      <c r="I5" s="135"/>
      <c r="J5" s="135"/>
    </row>
    <row r="6" spans="1:10">
      <c r="A6" s="453" t="s">
        <v>97</v>
      </c>
      <c r="B6" s="452"/>
      <c r="C6" s="452"/>
      <c r="D6" s="39"/>
      <c r="E6" s="39"/>
      <c r="F6" s="39"/>
      <c r="G6" s="9"/>
      <c r="H6" s="135"/>
      <c r="I6" s="135"/>
      <c r="J6" s="135"/>
    </row>
    <row r="7" spans="1:10">
      <c r="A7" s="452" t="s">
        <v>171</v>
      </c>
      <c r="B7" s="452"/>
      <c r="C7" s="452"/>
      <c r="D7" s="39"/>
      <c r="E7" s="39"/>
      <c r="F7" s="39"/>
      <c r="G7" s="9"/>
      <c r="H7" s="135"/>
      <c r="I7" s="135"/>
      <c r="J7" s="135"/>
    </row>
    <row r="8" spans="1:10" s="257" customFormat="1" ht="64.5">
      <c r="A8" s="454" t="s">
        <v>153</v>
      </c>
      <c r="B8" s="455" t="s">
        <v>35</v>
      </c>
      <c r="C8" s="456" t="s">
        <v>135</v>
      </c>
      <c r="D8" s="457" t="s">
        <v>172</v>
      </c>
      <c r="E8" s="457" t="s">
        <v>173</v>
      </c>
      <c r="F8" s="456" t="s">
        <v>174</v>
      </c>
      <c r="G8" s="457" t="s">
        <v>65</v>
      </c>
      <c r="H8" s="457" t="s">
        <v>36</v>
      </c>
      <c r="I8" s="457" t="s">
        <v>39</v>
      </c>
    </row>
    <row r="9" spans="1:10">
      <c r="A9" s="8"/>
      <c r="B9" s="88"/>
      <c r="C9" s="88"/>
      <c r="D9" s="160"/>
      <c r="E9" s="204"/>
      <c r="F9" s="88"/>
      <c r="G9" s="64"/>
      <c r="H9" s="86"/>
      <c r="I9" s="205">
        <f>H9*G9</f>
        <v>0</v>
      </c>
    </row>
    <row r="10" spans="1:10">
      <c r="A10" s="8"/>
      <c r="B10" s="73"/>
      <c r="C10" s="73"/>
      <c r="D10" s="160"/>
      <c r="E10" s="160"/>
      <c r="F10" s="73"/>
      <c r="G10" s="4"/>
      <c r="H10" s="86"/>
      <c r="I10" s="205">
        <f t="shared" ref="I10:I25" si="0">H10*G10</f>
        <v>0</v>
      </c>
    </row>
    <row r="11" spans="1:10">
      <c r="A11" s="8"/>
      <c r="B11" s="73"/>
      <c r="C11" s="73"/>
      <c r="D11" s="161"/>
      <c r="E11" s="161"/>
      <c r="F11" s="73"/>
      <c r="G11" s="4"/>
      <c r="H11" s="86"/>
      <c r="I11" s="205">
        <f t="shared" si="0"/>
        <v>0</v>
      </c>
    </row>
    <row r="12" spans="1:10">
      <c r="A12" s="8"/>
      <c r="B12" s="73"/>
      <c r="C12" s="73"/>
      <c r="D12" s="161"/>
      <c r="E12" s="161"/>
      <c r="F12" s="73"/>
      <c r="G12" s="4"/>
      <c r="H12" s="86"/>
      <c r="I12" s="205">
        <f t="shared" si="0"/>
        <v>0</v>
      </c>
    </row>
    <row r="13" spans="1:10">
      <c r="A13" s="8"/>
      <c r="B13" s="73"/>
      <c r="C13" s="73"/>
      <c r="D13" s="161"/>
      <c r="E13" s="161"/>
      <c r="F13" s="73"/>
      <c r="G13" s="4"/>
      <c r="H13" s="86"/>
      <c r="I13" s="205">
        <f t="shared" si="0"/>
        <v>0</v>
      </c>
    </row>
    <row r="14" spans="1:10">
      <c r="A14" s="8"/>
      <c r="B14" s="73"/>
      <c r="C14" s="73"/>
      <c r="D14" s="161"/>
      <c r="E14" s="161"/>
      <c r="F14" s="73"/>
      <c r="G14" s="4"/>
      <c r="H14" s="86"/>
      <c r="I14" s="205">
        <f t="shared" si="0"/>
        <v>0</v>
      </c>
    </row>
    <row r="15" spans="1:10">
      <c r="A15" s="8"/>
      <c r="B15" s="73"/>
      <c r="C15" s="73"/>
      <c r="D15" s="161"/>
      <c r="E15" s="161"/>
      <c r="F15" s="73"/>
      <c r="G15" s="4"/>
      <c r="H15" s="86"/>
      <c r="I15" s="205">
        <f t="shared" si="0"/>
        <v>0</v>
      </c>
    </row>
    <row r="16" spans="1:10">
      <c r="A16" s="8"/>
      <c r="B16" s="73"/>
      <c r="C16" s="73"/>
      <c r="D16" s="161"/>
      <c r="E16" s="161"/>
      <c r="F16" s="73"/>
      <c r="G16" s="4"/>
      <c r="H16" s="86"/>
      <c r="I16" s="205">
        <f t="shared" si="0"/>
        <v>0</v>
      </c>
    </row>
    <row r="17" spans="1:9">
      <c r="A17" s="8"/>
      <c r="B17" s="73"/>
      <c r="C17" s="73"/>
      <c r="D17" s="161"/>
      <c r="E17" s="161"/>
      <c r="F17" s="73"/>
      <c r="G17" s="4"/>
      <c r="H17" s="86"/>
      <c r="I17" s="205">
        <f t="shared" si="0"/>
        <v>0</v>
      </c>
    </row>
    <row r="18" spans="1:9">
      <c r="A18" s="8"/>
      <c r="B18" s="73"/>
      <c r="C18" s="73"/>
      <c r="D18" s="161"/>
      <c r="E18" s="161"/>
      <c r="F18" s="73"/>
      <c r="G18" s="4"/>
      <c r="H18" s="86"/>
      <c r="I18" s="205">
        <f t="shared" si="0"/>
        <v>0</v>
      </c>
    </row>
    <row r="19" spans="1:9">
      <c r="A19" s="8"/>
      <c r="B19" s="73"/>
      <c r="C19" s="73"/>
      <c r="D19" s="161"/>
      <c r="E19" s="161"/>
      <c r="F19" s="73"/>
      <c r="G19" s="4"/>
      <c r="H19" s="86"/>
      <c r="I19" s="205">
        <f t="shared" si="0"/>
        <v>0</v>
      </c>
    </row>
    <row r="20" spans="1:9">
      <c r="A20" s="8"/>
      <c r="B20" s="73"/>
      <c r="C20" s="73"/>
      <c r="D20" s="161"/>
      <c r="E20" s="161"/>
      <c r="F20" s="73"/>
      <c r="G20" s="4"/>
      <c r="H20" s="86"/>
      <c r="I20" s="205">
        <f t="shared" si="0"/>
        <v>0</v>
      </c>
    </row>
    <row r="21" spans="1:9">
      <c r="A21" s="8"/>
      <c r="B21" s="73"/>
      <c r="C21" s="73"/>
      <c r="D21" s="161"/>
      <c r="E21" s="161"/>
      <c r="F21" s="73"/>
      <c r="G21" s="4"/>
      <c r="H21" s="86"/>
      <c r="I21" s="205">
        <f t="shared" si="0"/>
        <v>0</v>
      </c>
    </row>
    <row r="22" spans="1:9">
      <c r="A22" s="8"/>
      <c r="B22" s="73"/>
      <c r="C22" s="73"/>
      <c r="D22" s="161"/>
      <c r="E22" s="161"/>
      <c r="F22" s="73"/>
      <c r="G22" s="4"/>
      <c r="H22" s="86"/>
      <c r="I22" s="205">
        <f t="shared" si="0"/>
        <v>0</v>
      </c>
    </row>
    <row r="23" spans="1:9">
      <c r="A23" s="8"/>
      <c r="B23" s="73"/>
      <c r="C23" s="73"/>
      <c r="D23" s="161"/>
      <c r="E23" s="161"/>
      <c r="F23" s="73"/>
      <c r="G23" s="4"/>
      <c r="H23" s="86"/>
      <c r="I23" s="205">
        <f t="shared" si="0"/>
        <v>0</v>
      </c>
    </row>
    <row r="24" spans="1:9">
      <c r="A24" s="8"/>
      <c r="B24" s="73"/>
      <c r="C24" s="73"/>
      <c r="D24" s="161"/>
      <c r="E24" s="161"/>
      <c r="F24" s="73"/>
      <c r="G24" s="4"/>
      <c r="H24" s="86"/>
      <c r="I24" s="205">
        <f t="shared" si="0"/>
        <v>0</v>
      </c>
    </row>
    <row r="25" spans="1:9" ht="18" thickBot="1">
      <c r="A25" s="8"/>
      <c r="B25" s="77"/>
      <c r="C25" s="77"/>
      <c r="D25" s="162"/>
      <c r="E25" s="162"/>
      <c r="F25" s="77"/>
      <c r="G25" s="95"/>
      <c r="H25" s="365"/>
      <c r="I25" s="366">
        <f t="shared" si="0"/>
        <v>0</v>
      </c>
    </row>
    <row r="26" spans="1:9" ht="20.25" thickBot="1">
      <c r="B26" s="370"/>
      <c r="C26" s="128"/>
      <c r="D26" s="128"/>
      <c r="E26" s="128"/>
      <c r="F26" s="352" t="s">
        <v>37</v>
      </c>
      <c r="G26" s="371"/>
      <c r="H26" s="372"/>
      <c r="I26" s="373">
        <f>SUM(I9:I25)</f>
        <v>0</v>
      </c>
    </row>
    <row r="27" spans="1:9">
      <c r="B27" s="367"/>
      <c r="C27" s="367"/>
      <c r="D27" s="367"/>
      <c r="E27" s="367"/>
      <c r="F27" s="367"/>
      <c r="G27" s="367"/>
      <c r="H27" s="368"/>
      <c r="I27" s="369"/>
    </row>
  </sheetData>
  <phoneticPr fontId="22" type="noConversion"/>
  <pageMargins left="0.7" right="0.7" top="0.75" bottom="0.75" header="0.3" footer="0.3"/>
  <pageSetup scale="81"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4" tint="-0.249977111117893"/>
  </sheetPr>
  <dimension ref="A1:I24"/>
  <sheetViews>
    <sheetView topLeftCell="A5" zoomScaleNormal="100" workbookViewId="0">
      <selection activeCell="J6" sqref="J6"/>
    </sheetView>
  </sheetViews>
  <sheetFormatPr defaultRowHeight="17.25"/>
  <cols>
    <col min="1" max="1" width="9.25" customWidth="1"/>
    <col min="2" max="3" width="16" customWidth="1"/>
    <col min="5" max="5" width="8.125" customWidth="1"/>
    <col min="8" max="8" width="14.75" customWidth="1"/>
  </cols>
  <sheetData>
    <row r="1" spans="1:8" s="130" customFormat="1" ht="18.75">
      <c r="A1" s="169" t="s">
        <v>219</v>
      </c>
      <c r="B1" s="169"/>
    </row>
    <row r="2" spans="1:8" ht="19.5">
      <c r="A2" s="583" t="s">
        <v>176</v>
      </c>
      <c r="B2" s="583"/>
      <c r="C2" s="583"/>
      <c r="D2" s="583"/>
      <c r="E2" s="583"/>
      <c r="F2" s="583"/>
      <c r="G2" s="584"/>
    </row>
    <row r="3" spans="1:8">
      <c r="A3" s="563" t="s">
        <v>177</v>
      </c>
      <c r="B3" s="563"/>
      <c r="C3" s="563"/>
      <c r="D3" s="563"/>
      <c r="E3" s="563"/>
      <c r="F3" s="563"/>
      <c r="G3" s="563"/>
    </row>
    <row r="4" spans="1:8">
      <c r="A4" s="563" t="s">
        <v>178</v>
      </c>
      <c r="B4" s="563"/>
      <c r="C4" s="563"/>
      <c r="D4" s="563"/>
      <c r="E4" s="398"/>
      <c r="F4" s="398"/>
      <c r="G4" s="398"/>
    </row>
    <row r="5" spans="1:8">
      <c r="D5" s="591" t="s">
        <v>131</v>
      </c>
      <c r="E5" s="592"/>
      <c r="F5" s="592"/>
      <c r="G5" s="592"/>
      <c r="H5" s="593"/>
    </row>
    <row r="6" spans="1:8" s="257" customFormat="1" ht="17.25" customHeight="1">
      <c r="A6" s="587" t="s">
        <v>16</v>
      </c>
      <c r="B6" s="588"/>
      <c r="C6" s="585" t="s">
        <v>25</v>
      </c>
      <c r="D6" s="458" t="s">
        <v>17</v>
      </c>
      <c r="E6" s="459" t="s">
        <v>17</v>
      </c>
      <c r="F6" s="458" t="s">
        <v>18</v>
      </c>
      <c r="G6" s="459" t="s">
        <v>19</v>
      </c>
      <c r="H6" s="459" t="s">
        <v>20</v>
      </c>
    </row>
    <row r="7" spans="1:8" s="257" customFormat="1">
      <c r="A7" s="589"/>
      <c r="B7" s="590"/>
      <c r="C7" s="586"/>
      <c r="D7" s="460" t="s">
        <v>21</v>
      </c>
      <c r="E7" s="461" t="s">
        <v>22</v>
      </c>
      <c r="F7" s="460"/>
      <c r="G7" s="461"/>
      <c r="H7" s="461" t="s">
        <v>23</v>
      </c>
    </row>
    <row r="8" spans="1:8">
      <c r="A8" s="558"/>
      <c r="B8" s="559"/>
      <c r="C8" s="2"/>
      <c r="D8" s="3">
        <v>0</v>
      </c>
      <c r="E8" s="4"/>
      <c r="F8" s="2"/>
      <c r="G8" s="2"/>
      <c r="H8" s="206">
        <f>(D8*E8)+F8+G8</f>
        <v>0</v>
      </c>
    </row>
    <row r="9" spans="1:8">
      <c r="A9" s="558"/>
      <c r="B9" s="559"/>
      <c r="C9" s="5"/>
      <c r="D9" s="6">
        <v>0</v>
      </c>
      <c r="E9" s="4"/>
      <c r="F9" s="2"/>
      <c r="G9" s="2"/>
      <c r="H9" s="206">
        <f t="shared" ref="H9:H23" si="0">(D9*E9)+F9+G9</f>
        <v>0</v>
      </c>
    </row>
    <row r="10" spans="1:8">
      <c r="A10" s="558"/>
      <c r="B10" s="559"/>
      <c r="C10" s="5"/>
      <c r="D10" s="3">
        <v>0</v>
      </c>
      <c r="E10" s="4"/>
      <c r="F10" s="2"/>
      <c r="G10" s="2"/>
      <c r="H10" s="206">
        <f t="shared" si="0"/>
        <v>0</v>
      </c>
    </row>
    <row r="11" spans="1:8">
      <c r="A11" s="558"/>
      <c r="B11" s="559"/>
      <c r="C11" s="5"/>
      <c r="D11" s="3">
        <v>0</v>
      </c>
      <c r="E11" s="4"/>
      <c r="F11" s="2"/>
      <c r="G11" s="2"/>
      <c r="H11" s="206">
        <f t="shared" si="0"/>
        <v>0</v>
      </c>
    </row>
    <row r="12" spans="1:8">
      <c r="A12" s="558"/>
      <c r="B12" s="559"/>
      <c r="C12" s="5"/>
      <c r="D12" s="3">
        <v>0</v>
      </c>
      <c r="E12" s="4"/>
      <c r="F12" s="2"/>
      <c r="G12" s="2"/>
      <c r="H12" s="206">
        <f t="shared" si="0"/>
        <v>0</v>
      </c>
    </row>
    <row r="13" spans="1:8">
      <c r="A13" s="558"/>
      <c r="B13" s="559"/>
      <c r="C13" s="5"/>
      <c r="D13" s="3">
        <v>0</v>
      </c>
      <c r="E13" s="4"/>
      <c r="F13" s="2"/>
      <c r="G13" s="2"/>
      <c r="H13" s="206">
        <f t="shared" si="0"/>
        <v>0</v>
      </c>
    </row>
    <row r="14" spans="1:8">
      <c r="A14" s="558"/>
      <c r="B14" s="559"/>
      <c r="C14" s="5"/>
      <c r="D14" s="3">
        <v>0</v>
      </c>
      <c r="E14" s="4"/>
      <c r="F14" s="2"/>
      <c r="G14" s="2"/>
      <c r="H14" s="206">
        <f t="shared" si="0"/>
        <v>0</v>
      </c>
    </row>
    <row r="15" spans="1:8">
      <c r="A15" s="558"/>
      <c r="B15" s="559"/>
      <c r="C15" s="5"/>
      <c r="D15" s="3">
        <v>0</v>
      </c>
      <c r="E15" s="4"/>
      <c r="F15" s="2"/>
      <c r="G15" s="2"/>
      <c r="H15" s="206">
        <f t="shared" si="0"/>
        <v>0</v>
      </c>
    </row>
    <row r="16" spans="1:8">
      <c r="A16" s="558"/>
      <c r="B16" s="559"/>
      <c r="C16" s="5"/>
      <c r="D16" s="3">
        <v>0</v>
      </c>
      <c r="E16" s="4"/>
      <c r="F16" s="2"/>
      <c r="G16" s="2"/>
      <c r="H16" s="206">
        <f t="shared" si="0"/>
        <v>0</v>
      </c>
    </row>
    <row r="17" spans="1:9">
      <c r="A17" s="558"/>
      <c r="B17" s="559"/>
      <c r="C17" s="5"/>
      <c r="D17" s="3">
        <v>0</v>
      </c>
      <c r="E17" s="4"/>
      <c r="F17" s="2"/>
      <c r="G17" s="2"/>
      <c r="H17" s="206">
        <f t="shared" si="0"/>
        <v>0</v>
      </c>
    </row>
    <row r="18" spans="1:9">
      <c r="A18" s="558"/>
      <c r="B18" s="559"/>
      <c r="C18" s="5"/>
      <c r="D18" s="3">
        <v>0</v>
      </c>
      <c r="E18" s="4"/>
      <c r="F18" s="2"/>
      <c r="G18" s="2"/>
      <c r="H18" s="206">
        <f t="shared" si="0"/>
        <v>0</v>
      </c>
    </row>
    <row r="19" spans="1:9">
      <c r="A19" s="558"/>
      <c r="B19" s="559"/>
      <c r="C19" s="5"/>
      <c r="D19" s="3">
        <v>0</v>
      </c>
      <c r="E19" s="4"/>
      <c r="F19" s="2"/>
      <c r="G19" s="2"/>
      <c r="H19" s="206">
        <f t="shared" si="0"/>
        <v>0</v>
      </c>
    </row>
    <row r="20" spans="1:9">
      <c r="A20" s="558"/>
      <c r="B20" s="559"/>
      <c r="C20" s="5"/>
      <c r="D20" s="3">
        <v>0</v>
      </c>
      <c r="E20" s="4"/>
      <c r="F20" s="2"/>
      <c r="G20" s="2"/>
      <c r="H20" s="206">
        <f t="shared" si="0"/>
        <v>0</v>
      </c>
    </row>
    <row r="21" spans="1:9">
      <c r="A21" s="558"/>
      <c r="B21" s="559"/>
      <c r="C21" s="5"/>
      <c r="D21" s="3">
        <v>0</v>
      </c>
      <c r="E21" s="4"/>
      <c r="F21" s="2"/>
      <c r="G21" s="2"/>
      <c r="H21" s="206">
        <f t="shared" si="0"/>
        <v>0</v>
      </c>
    </row>
    <row r="22" spans="1:9">
      <c r="A22" s="558"/>
      <c r="B22" s="559"/>
      <c r="C22" s="5"/>
      <c r="D22" s="3">
        <v>0</v>
      </c>
      <c r="E22" s="4"/>
      <c r="F22" s="2"/>
      <c r="G22" s="2"/>
      <c r="H22" s="206">
        <f t="shared" si="0"/>
        <v>0</v>
      </c>
    </row>
    <row r="23" spans="1:9" ht="18" thickBot="1">
      <c r="A23" s="594"/>
      <c r="B23" s="595"/>
      <c r="C23" s="133"/>
      <c r="D23" s="134">
        <v>0</v>
      </c>
      <c r="E23" s="92"/>
      <c r="F23" s="103"/>
      <c r="G23" s="103"/>
      <c r="H23" s="207">
        <f t="shared" si="0"/>
        <v>0</v>
      </c>
    </row>
    <row r="24" spans="1:9" ht="18" thickBot="1">
      <c r="A24" s="151"/>
      <c r="B24" s="49"/>
      <c r="C24" s="49"/>
      <c r="D24" s="49"/>
      <c r="E24" s="132" t="s">
        <v>24</v>
      </c>
      <c r="F24" s="49"/>
      <c r="G24" s="49"/>
      <c r="H24" s="208">
        <f>SUM(H8:H23)</f>
        <v>0</v>
      </c>
      <c r="I24" s="7"/>
    </row>
  </sheetData>
  <mergeCells count="22">
    <mergeCell ref="A23:B23"/>
    <mergeCell ref="A15:B15"/>
    <mergeCell ref="A16:B16"/>
    <mergeCell ref="A17:B17"/>
    <mergeCell ref="A21:B21"/>
    <mergeCell ref="A22:B22"/>
    <mergeCell ref="A20:B20"/>
    <mergeCell ref="A19:B19"/>
    <mergeCell ref="A18:B18"/>
    <mergeCell ref="A14:B14"/>
    <mergeCell ref="A10:B10"/>
    <mergeCell ref="A11:B11"/>
    <mergeCell ref="A3:G3"/>
    <mergeCell ref="A4:D4"/>
    <mergeCell ref="C6:C7"/>
    <mergeCell ref="A6:B7"/>
    <mergeCell ref="D5:H5"/>
    <mergeCell ref="A2:G2"/>
    <mergeCell ref="A12:B12"/>
    <mergeCell ref="A13:B13"/>
    <mergeCell ref="A8:B8"/>
    <mergeCell ref="A9:B9"/>
  </mergeCells>
  <phoneticPr fontId="22" type="noConversion"/>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5" tint="-0.249977111117893"/>
  </sheetPr>
  <dimension ref="A1:M16"/>
  <sheetViews>
    <sheetView zoomScaleNormal="100" workbookViewId="0">
      <selection activeCell="A4" sqref="A4:M4"/>
    </sheetView>
  </sheetViews>
  <sheetFormatPr defaultRowHeight="17.25"/>
  <cols>
    <col min="1" max="1" width="8" customWidth="1"/>
    <col min="2" max="2" width="7.75" customWidth="1"/>
    <col min="3" max="3" width="12.125" customWidth="1"/>
    <col min="4" max="4" width="7.25" customWidth="1"/>
    <col min="5" max="5" width="11.125" customWidth="1"/>
    <col min="6" max="6" width="8.125" customWidth="1"/>
    <col min="10" max="10" width="9.125" customWidth="1"/>
    <col min="11" max="11" width="10.625" customWidth="1"/>
    <col min="13" max="13" width="10.75" customWidth="1"/>
  </cols>
  <sheetData>
    <row r="1" spans="1:13" ht="21.75">
      <c r="A1" s="596" t="s">
        <v>222</v>
      </c>
      <c r="B1" s="596"/>
      <c r="C1" s="596"/>
      <c r="D1" s="143"/>
    </row>
    <row r="2" spans="1:13" ht="21.75" customHeight="1">
      <c r="A2" s="605" t="s">
        <v>133</v>
      </c>
      <c r="B2" s="605"/>
      <c r="C2" s="605"/>
      <c r="D2" s="605"/>
      <c r="E2" s="605"/>
      <c r="F2" s="605"/>
      <c r="G2" s="517"/>
    </row>
    <row r="3" spans="1:13" ht="21.75" customHeight="1">
      <c r="A3" s="564" t="s">
        <v>297</v>
      </c>
      <c r="B3" s="564"/>
      <c r="C3" s="564"/>
      <c r="D3" s="564"/>
      <c r="E3" s="564"/>
      <c r="F3" s="462"/>
    </row>
    <row r="4" spans="1:13" ht="64.5">
      <c r="A4" s="599" t="s">
        <v>16</v>
      </c>
      <c r="B4" s="600"/>
      <c r="C4" s="464" t="s">
        <v>26</v>
      </c>
      <c r="D4" s="599" t="s">
        <v>132</v>
      </c>
      <c r="E4" s="600"/>
      <c r="F4" s="465" t="s">
        <v>17</v>
      </c>
      <c r="G4" s="466" t="s">
        <v>40</v>
      </c>
      <c r="H4" s="464" t="s">
        <v>27</v>
      </c>
      <c r="I4" s="463" t="s">
        <v>18</v>
      </c>
      <c r="J4" s="463" t="s">
        <v>19</v>
      </c>
      <c r="K4" s="467" t="s">
        <v>41</v>
      </c>
      <c r="L4" s="467" t="s">
        <v>36</v>
      </c>
      <c r="M4" s="467" t="s">
        <v>42</v>
      </c>
    </row>
    <row r="5" spans="1:13">
      <c r="A5" s="601"/>
      <c r="B5" s="602"/>
      <c r="C5" s="177"/>
      <c r="D5" s="164"/>
      <c r="E5" s="164"/>
      <c r="F5" s="165"/>
      <c r="G5" s="141"/>
      <c r="H5" s="13"/>
      <c r="I5" s="13"/>
      <c r="J5" s="13"/>
      <c r="K5" s="13"/>
      <c r="L5" s="374"/>
      <c r="M5" s="101">
        <f>(F5*G5)+(H5+I5+J5+K5)*L5</f>
        <v>0</v>
      </c>
    </row>
    <row r="6" spans="1:13">
      <c r="A6" s="603"/>
      <c r="B6" s="604"/>
      <c r="C6" s="178"/>
      <c r="D6" s="164"/>
      <c r="E6" s="164"/>
      <c r="F6" s="166"/>
      <c r="G6" s="141"/>
      <c r="H6" s="2"/>
      <c r="I6" s="2"/>
      <c r="J6" s="2"/>
      <c r="K6" s="2"/>
      <c r="L6" s="139"/>
      <c r="M6" s="101">
        <f t="shared" ref="M6:M14" si="0">(F6*G6)+(H6+I6+J6+K6)*L6</f>
        <v>0</v>
      </c>
    </row>
    <row r="7" spans="1:13">
      <c r="A7" s="597"/>
      <c r="B7" s="598"/>
      <c r="C7" s="178"/>
      <c r="D7" s="5"/>
      <c r="E7" s="3"/>
      <c r="F7" s="136"/>
      <c r="G7" s="141"/>
      <c r="H7" s="2"/>
      <c r="I7" s="2"/>
      <c r="J7" s="2"/>
      <c r="K7" s="2"/>
      <c r="L7" s="139"/>
      <c r="M7" s="101">
        <f t="shared" si="0"/>
        <v>0</v>
      </c>
    </row>
    <row r="8" spans="1:13">
      <c r="A8" s="597"/>
      <c r="B8" s="598"/>
      <c r="C8" s="178"/>
      <c r="D8" s="5"/>
      <c r="E8" s="3"/>
      <c r="F8" s="137"/>
      <c r="G8" s="141"/>
      <c r="H8" s="2"/>
      <c r="I8" s="2"/>
      <c r="J8" s="2"/>
      <c r="K8" s="2"/>
      <c r="L8" s="139"/>
      <c r="M8" s="101">
        <f t="shared" si="0"/>
        <v>0</v>
      </c>
    </row>
    <row r="9" spans="1:13">
      <c r="A9" s="597"/>
      <c r="B9" s="598"/>
      <c r="C9" s="178"/>
      <c r="D9" s="142"/>
      <c r="E9" s="3"/>
      <c r="F9" s="137"/>
      <c r="G9" s="141"/>
      <c r="H9" s="2"/>
      <c r="I9" s="2"/>
      <c r="J9" s="2"/>
      <c r="K9" s="2"/>
      <c r="L9" s="131"/>
      <c r="M9" s="101">
        <f t="shared" si="0"/>
        <v>0</v>
      </c>
    </row>
    <row r="10" spans="1:13">
      <c r="A10" s="597"/>
      <c r="B10" s="598"/>
      <c r="C10" s="178"/>
      <c r="D10" s="38"/>
      <c r="E10" s="12"/>
      <c r="F10" s="138"/>
      <c r="G10" s="19"/>
      <c r="H10" s="14"/>
      <c r="I10" s="12"/>
      <c r="J10" s="12"/>
      <c r="K10" s="12"/>
      <c r="L10" s="140"/>
      <c r="M10" s="101">
        <f t="shared" si="0"/>
        <v>0</v>
      </c>
    </row>
    <row r="11" spans="1:13">
      <c r="A11" s="597"/>
      <c r="B11" s="598"/>
      <c r="C11" s="178"/>
      <c r="D11" s="38"/>
      <c r="E11" s="12"/>
      <c r="F11" s="138"/>
      <c r="G11" s="19"/>
      <c r="H11" s="14"/>
      <c r="I11" s="12"/>
      <c r="J11" s="12"/>
      <c r="K11" s="12"/>
      <c r="L11" s="140"/>
      <c r="M11" s="101">
        <f t="shared" si="0"/>
        <v>0</v>
      </c>
    </row>
    <row r="12" spans="1:13">
      <c r="A12" s="597"/>
      <c r="B12" s="598"/>
      <c r="C12" s="178"/>
      <c r="D12" s="38"/>
      <c r="E12" s="12"/>
      <c r="F12" s="138"/>
      <c r="G12" s="19"/>
      <c r="H12" s="14"/>
      <c r="I12" s="12"/>
      <c r="J12" s="12"/>
      <c r="K12" s="12"/>
      <c r="L12" s="140"/>
      <c r="M12" s="101">
        <f t="shared" si="0"/>
        <v>0</v>
      </c>
    </row>
    <row r="13" spans="1:13">
      <c r="A13" s="597"/>
      <c r="B13" s="598"/>
      <c r="C13" s="178"/>
      <c r="D13" s="38"/>
      <c r="E13" s="12"/>
      <c r="F13" s="138"/>
      <c r="G13" s="19"/>
      <c r="H13" s="14"/>
      <c r="I13" s="12"/>
      <c r="J13" s="12"/>
      <c r="K13" s="12"/>
      <c r="L13" s="140"/>
      <c r="M13" s="101">
        <f t="shared" si="0"/>
        <v>0</v>
      </c>
    </row>
    <row r="14" spans="1:13" ht="18" thickBot="1">
      <c r="A14" s="597"/>
      <c r="B14" s="598"/>
      <c r="C14" s="178"/>
      <c r="D14" s="38"/>
      <c r="E14" s="12"/>
      <c r="F14" s="138"/>
      <c r="G14" s="19"/>
      <c r="H14" s="144"/>
      <c r="I14" s="144"/>
      <c r="J14" s="144"/>
      <c r="K14" s="144"/>
      <c r="L14" s="145"/>
      <c r="M14" s="146">
        <f t="shared" si="0"/>
        <v>0</v>
      </c>
    </row>
    <row r="15" spans="1:13" ht="18" thickBot="1">
      <c r="A15" s="16"/>
      <c r="B15" s="11"/>
      <c r="C15" s="11"/>
      <c r="D15" s="9"/>
      <c r="E15" s="9"/>
      <c r="F15" s="9"/>
      <c r="G15" s="9"/>
      <c r="H15" s="147" t="s">
        <v>28</v>
      </c>
      <c r="I15" s="22"/>
      <c r="J15" s="22"/>
      <c r="K15" s="22"/>
      <c r="L15" s="22"/>
      <c r="M15" s="148">
        <f>SUM(M5:M14)</f>
        <v>0</v>
      </c>
    </row>
    <row r="16" spans="1:13">
      <c r="B16" s="10"/>
      <c r="C16" s="10"/>
      <c r="D16" s="10"/>
      <c r="E16" s="10"/>
      <c r="F16" s="10"/>
      <c r="G16" s="10"/>
      <c r="H16" s="10"/>
      <c r="I16" s="10"/>
      <c r="J16" s="10"/>
      <c r="K16" s="10"/>
      <c r="L16" s="10"/>
      <c r="M16" s="10"/>
    </row>
  </sheetData>
  <mergeCells count="15">
    <mergeCell ref="A1:C1"/>
    <mergeCell ref="A14:B14"/>
    <mergeCell ref="D4:E4"/>
    <mergeCell ref="A9:B9"/>
    <mergeCell ref="A10:B10"/>
    <mergeCell ref="A11:B11"/>
    <mergeCell ref="A12:B12"/>
    <mergeCell ref="A13:B13"/>
    <mergeCell ref="A8:B8"/>
    <mergeCell ref="A4:B4"/>
    <mergeCell ref="A5:B5"/>
    <mergeCell ref="A6:B6"/>
    <mergeCell ref="A7:B7"/>
    <mergeCell ref="A3:E3"/>
    <mergeCell ref="A2:G2"/>
  </mergeCells>
  <phoneticPr fontId="22" type="noConversion"/>
  <pageMargins left="0.7" right="0.7"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3" tint="-0.249977111117893"/>
  </sheetPr>
  <dimension ref="A1:J33"/>
  <sheetViews>
    <sheetView topLeftCell="A20" zoomScaleNormal="100" workbookViewId="0">
      <selection activeCell="J22" sqref="J22"/>
    </sheetView>
  </sheetViews>
  <sheetFormatPr defaultRowHeight="17.25"/>
  <cols>
    <col min="2" max="2" width="23.125" customWidth="1"/>
    <col min="3" max="3" width="10.75" customWidth="1"/>
    <col min="4" max="4" width="10.5" customWidth="1"/>
    <col min="5" max="5" width="11.75" customWidth="1"/>
    <col min="6" max="6" width="12.75" customWidth="1"/>
    <col min="9" max="9" width="14.375" customWidth="1"/>
  </cols>
  <sheetData>
    <row r="1" spans="1:10" ht="19.5">
      <c r="A1" s="606" t="s">
        <v>220</v>
      </c>
      <c r="B1" s="606"/>
    </row>
    <row r="2" spans="1:10">
      <c r="A2" s="615" t="s">
        <v>138</v>
      </c>
      <c r="B2" s="615"/>
      <c r="C2" s="615"/>
      <c r="D2" s="615"/>
      <c r="E2" s="615"/>
      <c r="F2" s="615"/>
    </row>
    <row r="3" spans="1:10">
      <c r="A3" s="616" t="s">
        <v>139</v>
      </c>
      <c r="B3" s="616"/>
      <c r="C3" s="616"/>
      <c r="D3" s="616"/>
      <c r="E3" s="616"/>
      <c r="F3" s="616"/>
      <c r="G3" s="616"/>
      <c r="H3" s="616"/>
      <c r="I3" s="616"/>
      <c r="J3" s="616"/>
    </row>
    <row r="4" spans="1:10" ht="17.25" customHeight="1">
      <c r="A4" s="616"/>
      <c r="B4" s="616"/>
      <c r="C4" s="616"/>
      <c r="D4" s="616"/>
      <c r="E4" s="616"/>
      <c r="F4" s="616"/>
      <c r="G4" s="616"/>
      <c r="H4" s="616"/>
      <c r="I4" s="616"/>
      <c r="J4" s="616"/>
    </row>
    <row r="5" spans="1:10">
      <c r="A5" s="616"/>
      <c r="B5" s="616"/>
      <c r="C5" s="616"/>
      <c r="D5" s="616"/>
      <c r="E5" s="616"/>
      <c r="F5" s="616"/>
      <c r="G5" s="616"/>
      <c r="H5" s="616"/>
      <c r="I5" s="616"/>
      <c r="J5" s="616"/>
    </row>
    <row r="6" spans="1:10">
      <c r="A6" s="616"/>
      <c r="B6" s="616"/>
      <c r="C6" s="616"/>
      <c r="D6" s="616"/>
      <c r="E6" s="616"/>
      <c r="F6" s="616"/>
      <c r="G6" s="616"/>
      <c r="H6" s="616"/>
      <c r="I6" s="616"/>
      <c r="J6" s="616"/>
    </row>
    <row r="7" spans="1:10" ht="39" customHeight="1">
      <c r="A7" s="616"/>
      <c r="B7" s="616"/>
      <c r="C7" s="616"/>
      <c r="D7" s="616"/>
      <c r="E7" s="616"/>
      <c r="F7" s="616"/>
      <c r="G7" s="616"/>
      <c r="H7" s="616"/>
      <c r="I7" s="616"/>
      <c r="J7" s="616"/>
    </row>
    <row r="8" spans="1:10" ht="49.5">
      <c r="A8" s="617" t="s">
        <v>64</v>
      </c>
      <c r="B8" s="618"/>
      <c r="C8" s="469" t="s">
        <v>112</v>
      </c>
      <c r="D8" s="469" t="s">
        <v>155</v>
      </c>
      <c r="E8" s="469" t="s">
        <v>36</v>
      </c>
      <c r="F8" s="468" t="s">
        <v>65</v>
      </c>
      <c r="G8" s="104"/>
      <c r="H8" s="104"/>
      <c r="I8" s="104"/>
    </row>
    <row r="9" spans="1:10">
      <c r="A9" s="470" t="s">
        <v>66</v>
      </c>
      <c r="B9" s="471"/>
      <c r="C9" s="89"/>
      <c r="D9" s="4"/>
      <c r="E9" s="65"/>
      <c r="F9" s="209">
        <f>(E9*D9)*C9</f>
        <v>0</v>
      </c>
      <c r="G9" s="104"/>
      <c r="H9" s="104"/>
      <c r="I9" s="104"/>
    </row>
    <row r="10" spans="1:10">
      <c r="A10" s="472" t="s">
        <v>67</v>
      </c>
      <c r="B10" s="473"/>
      <c r="C10" s="90"/>
      <c r="D10" s="4"/>
      <c r="E10" s="65"/>
      <c r="F10" s="209">
        <f t="shared" ref="F10:F18" si="0">(E10*D10)*C10</f>
        <v>0</v>
      </c>
      <c r="G10" s="104"/>
      <c r="H10" s="104"/>
      <c r="I10" s="104"/>
    </row>
    <row r="11" spans="1:10">
      <c r="A11" s="472" t="s">
        <v>2</v>
      </c>
      <c r="B11" s="473"/>
      <c r="C11" s="90"/>
      <c r="D11" s="4"/>
      <c r="E11" s="65"/>
      <c r="F11" s="209">
        <f t="shared" si="0"/>
        <v>0</v>
      </c>
      <c r="G11" s="104"/>
      <c r="H11" s="104"/>
      <c r="I11" s="104"/>
    </row>
    <row r="12" spans="1:10" ht="17.25" customHeight="1">
      <c r="A12" s="613" t="s">
        <v>72</v>
      </c>
      <c r="B12" s="614"/>
      <c r="C12" s="90"/>
      <c r="D12" s="4"/>
      <c r="E12" s="65"/>
      <c r="F12" s="209">
        <f t="shared" si="0"/>
        <v>0</v>
      </c>
      <c r="G12" s="104"/>
      <c r="H12" s="104"/>
      <c r="I12" s="104"/>
    </row>
    <row r="13" spans="1:10" ht="15.75" customHeight="1">
      <c r="A13" s="613" t="s">
        <v>71</v>
      </c>
      <c r="B13" s="614"/>
      <c r="C13" s="90"/>
      <c r="D13" s="4"/>
      <c r="E13" s="65"/>
      <c r="F13" s="209">
        <f t="shared" si="0"/>
        <v>0</v>
      </c>
      <c r="G13" s="104"/>
      <c r="H13" s="104"/>
      <c r="I13" s="104"/>
    </row>
    <row r="14" spans="1:10" ht="15.75" customHeight="1">
      <c r="A14" s="474" t="s">
        <v>29</v>
      </c>
      <c r="B14" s="475"/>
      <c r="C14" s="90"/>
      <c r="D14" s="4"/>
      <c r="E14" s="65"/>
      <c r="F14" s="209">
        <f t="shared" si="0"/>
        <v>0</v>
      </c>
      <c r="G14" s="104"/>
      <c r="H14" s="104"/>
      <c r="I14" s="104"/>
    </row>
    <row r="15" spans="1:10" ht="30" customHeight="1">
      <c r="A15" s="613" t="s">
        <v>73</v>
      </c>
      <c r="B15" s="614"/>
      <c r="C15" s="90"/>
      <c r="D15" s="4"/>
      <c r="E15" s="65"/>
      <c r="F15" s="209">
        <f t="shared" si="0"/>
        <v>0</v>
      </c>
      <c r="G15" s="104"/>
      <c r="H15" s="104"/>
      <c r="I15" s="104"/>
    </row>
    <row r="16" spans="1:10" ht="25.5" customHeight="1">
      <c r="A16" s="613" t="s">
        <v>68</v>
      </c>
      <c r="B16" s="614"/>
      <c r="C16" s="90"/>
      <c r="D16" s="4"/>
      <c r="E16" s="65"/>
      <c r="F16" s="209">
        <f t="shared" si="0"/>
        <v>0</v>
      </c>
      <c r="G16" s="104"/>
      <c r="H16" s="104"/>
      <c r="I16" s="104"/>
    </row>
    <row r="17" spans="1:9">
      <c r="A17" s="470" t="s">
        <v>67</v>
      </c>
      <c r="B17" s="471"/>
      <c r="C17" s="91"/>
      <c r="D17" s="4"/>
      <c r="E17" s="65"/>
      <c r="F17" s="209">
        <f t="shared" si="0"/>
        <v>0</v>
      </c>
      <c r="G17" s="104"/>
      <c r="H17" s="104"/>
      <c r="I17" s="104"/>
    </row>
    <row r="18" spans="1:9" ht="18" thickBot="1">
      <c r="A18" s="470" t="s">
        <v>69</v>
      </c>
      <c r="B18" s="476"/>
      <c r="C18" s="102"/>
      <c r="D18" s="92"/>
      <c r="E18" s="87"/>
      <c r="F18" s="209">
        <f t="shared" si="0"/>
        <v>0</v>
      </c>
      <c r="G18" s="104"/>
      <c r="H18" s="104"/>
      <c r="I18" s="104"/>
    </row>
    <row r="19" spans="1:9" ht="18" thickBot="1">
      <c r="A19" s="21"/>
      <c r="B19" s="153"/>
      <c r="C19" s="22"/>
      <c r="D19" s="154" t="s">
        <v>70</v>
      </c>
      <c r="E19" s="22"/>
      <c r="F19" s="210">
        <f>SUM(F9:F18)</f>
        <v>0</v>
      </c>
      <c r="G19" s="104"/>
      <c r="H19" s="104"/>
      <c r="I19" s="104"/>
    </row>
    <row r="20" spans="1:9">
      <c r="A20" s="157" t="s">
        <v>74</v>
      </c>
      <c r="B20" s="157"/>
      <c r="C20" s="48"/>
      <c r="D20" s="157"/>
      <c r="E20" s="48"/>
      <c r="F20" s="48"/>
      <c r="G20" s="104"/>
      <c r="H20" s="104"/>
      <c r="I20" s="104"/>
    </row>
    <row r="21" spans="1:9">
      <c r="A21" s="48" t="s">
        <v>108</v>
      </c>
      <c r="B21" s="48"/>
      <c r="C21" s="48"/>
      <c r="D21" s="48"/>
      <c r="E21" s="48"/>
      <c r="F21" s="48"/>
      <c r="G21" s="104"/>
      <c r="H21" s="104"/>
      <c r="I21" s="104"/>
    </row>
    <row r="22" spans="1:9" ht="76.5">
      <c r="A22" s="607" t="s">
        <v>75</v>
      </c>
      <c r="B22" s="608"/>
      <c r="C22" s="480" t="s">
        <v>83</v>
      </c>
      <c r="D22" s="481" t="s">
        <v>38</v>
      </c>
      <c r="E22" s="480" t="s">
        <v>76</v>
      </c>
      <c r="F22" s="480" t="s">
        <v>77</v>
      </c>
      <c r="G22" s="480" t="s">
        <v>36</v>
      </c>
      <c r="H22" s="482" t="s">
        <v>112</v>
      </c>
      <c r="I22" s="483" t="s">
        <v>78</v>
      </c>
    </row>
    <row r="23" spans="1:9" ht="15" customHeight="1">
      <c r="A23" s="609" t="s">
        <v>79</v>
      </c>
      <c r="B23" s="610"/>
      <c r="C23" s="163"/>
      <c r="D23" s="625"/>
      <c r="E23" s="626"/>
      <c r="F23" s="375"/>
      <c r="G23" s="46"/>
      <c r="H23" s="211"/>
      <c r="I23" s="484">
        <f>(G23*F23)*H23</f>
        <v>0</v>
      </c>
    </row>
    <row r="24" spans="1:9">
      <c r="A24" s="477" t="s">
        <v>80</v>
      </c>
      <c r="B24" s="478"/>
      <c r="C24" s="93"/>
      <c r="D24" s="625"/>
      <c r="E24" s="626"/>
      <c r="F24" s="4"/>
      <c r="G24" s="155"/>
      <c r="H24" s="211"/>
      <c r="I24" s="484">
        <f>(G24*F24)*H24</f>
        <v>0</v>
      </c>
    </row>
    <row r="25" spans="1:9" ht="15.75" customHeight="1">
      <c r="A25" s="611" t="s">
        <v>60</v>
      </c>
      <c r="B25" s="612"/>
      <c r="C25" s="94"/>
      <c r="D25" s="625"/>
      <c r="E25" s="626"/>
      <c r="F25" s="4"/>
      <c r="G25" s="155"/>
      <c r="H25" s="211"/>
      <c r="I25" s="484">
        <f>(G25*F25)*H25</f>
        <v>0</v>
      </c>
    </row>
    <row r="26" spans="1:9" ht="15.75" customHeight="1">
      <c r="A26" s="619"/>
      <c r="B26" s="620"/>
      <c r="C26" s="93"/>
      <c r="D26" s="625"/>
      <c r="E26" s="626"/>
      <c r="F26" s="4"/>
      <c r="G26" s="155"/>
      <c r="H26" s="211"/>
      <c r="I26" s="152"/>
    </row>
    <row r="27" spans="1:9" ht="15.75" customHeight="1">
      <c r="A27" s="621"/>
      <c r="B27" s="622"/>
      <c r="C27" s="156"/>
      <c r="D27" s="625"/>
      <c r="E27" s="626"/>
      <c r="F27" s="4"/>
      <c r="G27" s="155"/>
      <c r="H27" s="211"/>
      <c r="I27" s="152"/>
    </row>
    <row r="28" spans="1:9">
      <c r="A28" s="104"/>
      <c r="B28" s="104"/>
      <c r="C28" s="104"/>
      <c r="D28" s="104"/>
      <c r="E28" s="104"/>
      <c r="F28" s="479" t="s">
        <v>81</v>
      </c>
      <c r="G28" s="213"/>
      <c r="H28" s="213"/>
      <c r="I28" s="214">
        <f>SUM(I23:I26)</f>
        <v>0</v>
      </c>
    </row>
    <row r="29" spans="1:9" ht="18" thickBot="1">
      <c r="A29" s="56"/>
      <c r="B29" s="56"/>
      <c r="C29" s="56"/>
      <c r="D29" s="56"/>
      <c r="E29" s="56"/>
      <c r="F29" s="56"/>
      <c r="G29" s="56"/>
      <c r="H29" s="56"/>
      <c r="I29" s="212"/>
    </row>
    <row r="30" spans="1:9" ht="18" thickBot="1">
      <c r="A30" s="56"/>
      <c r="B30" s="56"/>
      <c r="C30" s="56"/>
      <c r="D30" s="56"/>
      <c r="E30" s="56"/>
      <c r="F30" s="623" t="s">
        <v>82</v>
      </c>
      <c r="G30" s="624"/>
      <c r="H30" s="215"/>
      <c r="I30" s="216">
        <f>F19+I28</f>
        <v>0</v>
      </c>
    </row>
    <row r="33" spans="7:8" ht="19.5">
      <c r="G33" s="47"/>
      <c r="H33" s="47"/>
    </row>
  </sheetData>
  <mergeCells count="19">
    <mergeCell ref="A26:B26"/>
    <mergeCell ref="A27:B27"/>
    <mergeCell ref="F30:G30"/>
    <mergeCell ref="D23:E23"/>
    <mergeCell ref="D24:E24"/>
    <mergeCell ref="D25:E25"/>
    <mergeCell ref="D26:E26"/>
    <mergeCell ref="D27:E27"/>
    <mergeCell ref="A1:B1"/>
    <mergeCell ref="A22:B22"/>
    <mergeCell ref="A23:B23"/>
    <mergeCell ref="A25:B25"/>
    <mergeCell ref="A16:B16"/>
    <mergeCell ref="A12:B12"/>
    <mergeCell ref="A13:B13"/>
    <mergeCell ref="A15:B15"/>
    <mergeCell ref="A2:F2"/>
    <mergeCell ref="A3:J7"/>
    <mergeCell ref="A8:B8"/>
  </mergeCells>
  <phoneticPr fontId="22" type="noConversion"/>
  <pageMargins left="0.7" right="0.7" top="0.75" bottom="0.75" header="0.3" footer="0.3"/>
  <pageSetup scale="9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3" tint="-0.249977111117893"/>
  </sheetPr>
  <dimension ref="A1:G36"/>
  <sheetViews>
    <sheetView topLeftCell="A22" zoomScaleNormal="100" workbookViewId="0">
      <selection activeCell="A6" sqref="A6:E6"/>
    </sheetView>
  </sheetViews>
  <sheetFormatPr defaultRowHeight="17.25"/>
  <cols>
    <col min="1" max="1" width="26" customWidth="1"/>
    <col min="2" max="2" width="17.625" customWidth="1"/>
    <col min="3" max="3" width="7.25" customWidth="1"/>
    <col min="4" max="4" width="10.125" customWidth="1"/>
    <col min="5" max="5" width="10.75" customWidth="1"/>
    <col min="6" max="6" width="14" customWidth="1"/>
  </cols>
  <sheetData>
    <row r="1" spans="1:6" ht="19.5">
      <c r="A1" s="553" t="s">
        <v>221</v>
      </c>
      <c r="B1" s="553"/>
      <c r="C1" s="39"/>
      <c r="D1" s="39"/>
      <c r="E1" s="39"/>
      <c r="F1" s="39"/>
    </row>
    <row r="2" spans="1:6">
      <c r="A2" s="39"/>
      <c r="B2" s="39"/>
      <c r="C2" s="39"/>
      <c r="D2" s="39"/>
      <c r="E2" s="39"/>
      <c r="F2" s="39"/>
    </row>
    <row r="3" spans="1:6">
      <c r="A3" s="39" t="s">
        <v>43</v>
      </c>
      <c r="B3" s="39"/>
      <c r="C3" s="39"/>
      <c r="D3" s="39"/>
      <c r="E3" s="39"/>
      <c r="F3" s="39"/>
    </row>
    <row r="4" spans="1:6">
      <c r="A4" s="605" t="s">
        <v>44</v>
      </c>
      <c r="B4" s="605"/>
      <c r="C4" s="605"/>
      <c r="D4" s="605"/>
      <c r="E4" s="605"/>
      <c r="F4" s="39"/>
    </row>
    <row r="5" spans="1:6">
      <c r="A5" s="605" t="s">
        <v>45</v>
      </c>
      <c r="B5" s="605"/>
      <c r="C5" s="605"/>
      <c r="D5" s="605"/>
      <c r="E5" s="605"/>
      <c r="F5" s="39"/>
    </row>
    <row r="6" spans="1:6">
      <c r="A6" s="605" t="s">
        <v>46</v>
      </c>
      <c r="B6" s="605"/>
      <c r="C6" s="605"/>
      <c r="D6" s="605"/>
      <c r="E6" s="605"/>
      <c r="F6" s="39"/>
    </row>
    <row r="7" spans="1:6">
      <c r="A7" s="605" t="s">
        <v>47</v>
      </c>
      <c r="B7" s="605"/>
      <c r="C7" s="605"/>
      <c r="D7" s="605"/>
      <c r="E7" s="605"/>
      <c r="F7" s="39"/>
    </row>
    <row r="8" spans="1:6">
      <c r="A8" s="39" t="s">
        <v>48</v>
      </c>
      <c r="B8" s="39"/>
      <c r="C8" s="39"/>
      <c r="D8" s="39"/>
      <c r="E8" s="39"/>
      <c r="F8" s="39"/>
    </row>
    <row r="9" spans="1:6">
      <c r="A9" s="9"/>
      <c r="B9" s="39"/>
      <c r="C9" s="39"/>
      <c r="D9" s="39"/>
      <c r="E9" s="39"/>
      <c r="F9" s="39"/>
    </row>
    <row r="10" spans="1:6" ht="48.75">
      <c r="A10" s="487" t="s">
        <v>49</v>
      </c>
      <c r="B10" s="485" t="s">
        <v>50</v>
      </c>
      <c r="C10" s="485" t="s">
        <v>156</v>
      </c>
      <c r="D10" s="485" t="s">
        <v>298</v>
      </c>
      <c r="E10" s="485" t="s">
        <v>36</v>
      </c>
      <c r="F10" s="488" t="s">
        <v>42</v>
      </c>
    </row>
    <row r="11" spans="1:6" ht="33">
      <c r="A11" s="62"/>
      <c r="B11" s="486" t="s">
        <v>52</v>
      </c>
      <c r="C11" s="489"/>
      <c r="D11" s="490"/>
      <c r="E11" s="489"/>
      <c r="F11" s="489" t="s">
        <v>53</v>
      </c>
    </row>
    <row r="12" spans="1:6">
      <c r="A12" s="40" t="s">
        <v>54</v>
      </c>
      <c r="B12" s="79"/>
      <c r="C12" s="129"/>
      <c r="D12" s="74"/>
      <c r="E12" s="65"/>
      <c r="F12" s="188">
        <f>(D12*E12)*C12</f>
        <v>0</v>
      </c>
    </row>
    <row r="13" spans="1:6">
      <c r="A13" s="40" t="s">
        <v>55</v>
      </c>
      <c r="B13" s="79"/>
      <c r="C13" s="83"/>
      <c r="D13" s="74"/>
      <c r="E13" s="65"/>
      <c r="F13" s="188">
        <f t="shared" ref="F13:F31" si="0">(D13*E13)*C13</f>
        <v>0</v>
      </c>
    </row>
    <row r="14" spans="1:6">
      <c r="A14" s="40" t="s">
        <v>61</v>
      </c>
      <c r="B14" s="79"/>
      <c r="C14" s="83"/>
      <c r="D14" s="74"/>
      <c r="E14" s="65"/>
      <c r="F14" s="188">
        <f t="shared" si="0"/>
        <v>0</v>
      </c>
    </row>
    <row r="15" spans="1:6">
      <c r="A15" s="40" t="s">
        <v>62</v>
      </c>
      <c r="B15" s="79"/>
      <c r="C15" s="83"/>
      <c r="D15" s="74"/>
      <c r="E15" s="65"/>
      <c r="F15" s="188">
        <f t="shared" si="0"/>
        <v>0</v>
      </c>
    </row>
    <row r="16" spans="1:6">
      <c r="A16" s="40" t="s">
        <v>56</v>
      </c>
      <c r="B16" s="79"/>
      <c r="C16" s="83"/>
      <c r="D16" s="74"/>
      <c r="E16" s="65"/>
      <c r="F16" s="188">
        <f t="shared" si="0"/>
        <v>0</v>
      </c>
    </row>
    <row r="17" spans="1:6">
      <c r="A17" s="40" t="s">
        <v>57</v>
      </c>
      <c r="B17" s="79"/>
      <c r="C17" s="83"/>
      <c r="D17" s="74"/>
      <c r="E17" s="65"/>
      <c r="F17" s="188">
        <f t="shared" si="0"/>
        <v>0</v>
      </c>
    </row>
    <row r="18" spans="1:6">
      <c r="A18" s="40" t="s">
        <v>57</v>
      </c>
      <c r="B18" s="79"/>
      <c r="C18" s="83"/>
      <c r="D18" s="74"/>
      <c r="E18" s="65"/>
      <c r="F18" s="188">
        <f t="shared" si="0"/>
        <v>0</v>
      </c>
    </row>
    <row r="19" spans="1:6">
      <c r="A19" s="40" t="s">
        <v>57</v>
      </c>
      <c r="B19" s="79"/>
      <c r="C19" s="83"/>
      <c r="D19" s="74"/>
      <c r="E19" s="65"/>
      <c r="F19" s="188">
        <f t="shared" si="0"/>
        <v>0</v>
      </c>
    </row>
    <row r="20" spans="1:6">
      <c r="A20" s="40" t="s">
        <v>158</v>
      </c>
      <c r="B20" s="79"/>
      <c r="C20" s="83"/>
      <c r="D20" s="74"/>
      <c r="E20" s="65"/>
      <c r="F20" s="188">
        <f t="shared" si="0"/>
        <v>0</v>
      </c>
    </row>
    <row r="21" spans="1:6">
      <c r="A21" s="40"/>
      <c r="B21" s="79"/>
      <c r="C21" s="83"/>
      <c r="D21" s="74"/>
      <c r="E21" s="65"/>
      <c r="F21" s="188">
        <f t="shared" si="0"/>
        <v>0</v>
      </c>
    </row>
    <row r="22" spans="1:6">
      <c r="A22" s="40"/>
      <c r="B22" s="79"/>
      <c r="C22" s="83"/>
      <c r="D22" s="74"/>
      <c r="E22" s="65"/>
      <c r="F22" s="188">
        <f t="shared" si="0"/>
        <v>0</v>
      </c>
    </row>
    <row r="23" spans="1:6">
      <c r="A23" s="40" t="s">
        <v>159</v>
      </c>
      <c r="B23" s="79"/>
      <c r="C23" s="83"/>
      <c r="D23" s="74"/>
      <c r="E23" s="65"/>
      <c r="F23" s="188">
        <f t="shared" si="0"/>
        <v>0</v>
      </c>
    </row>
    <row r="24" spans="1:6">
      <c r="A24" s="40"/>
      <c r="B24" s="79"/>
      <c r="C24" s="83"/>
      <c r="D24" s="74"/>
      <c r="E24" s="65"/>
      <c r="F24" s="188">
        <f t="shared" si="0"/>
        <v>0</v>
      </c>
    </row>
    <row r="25" spans="1:6">
      <c r="A25" s="40"/>
      <c r="B25" s="79"/>
      <c r="C25" s="83"/>
      <c r="D25" s="74"/>
      <c r="E25" s="65"/>
      <c r="F25" s="188">
        <f t="shared" si="0"/>
        <v>0</v>
      </c>
    </row>
    <row r="26" spans="1:6">
      <c r="A26" s="40" t="s">
        <v>58</v>
      </c>
      <c r="B26" s="79"/>
      <c r="C26" s="83"/>
      <c r="D26" s="74"/>
      <c r="E26" s="65"/>
      <c r="F26" s="188">
        <f t="shared" si="0"/>
        <v>0</v>
      </c>
    </row>
    <row r="27" spans="1:6">
      <c r="A27" s="40" t="s">
        <v>59</v>
      </c>
      <c r="B27" s="79"/>
      <c r="C27" s="83"/>
      <c r="D27" s="74"/>
      <c r="E27" s="65"/>
      <c r="F27" s="188">
        <f t="shared" si="0"/>
        <v>0</v>
      </c>
    </row>
    <row r="28" spans="1:6">
      <c r="A28" s="40" t="s">
        <v>60</v>
      </c>
      <c r="B28" s="79"/>
      <c r="C28" s="83"/>
      <c r="D28" s="74"/>
      <c r="E28" s="65"/>
      <c r="F28" s="188">
        <f t="shared" si="0"/>
        <v>0</v>
      </c>
    </row>
    <row r="29" spans="1:6">
      <c r="A29" s="40"/>
      <c r="B29" s="79"/>
      <c r="D29" s="74"/>
      <c r="E29" s="65"/>
      <c r="F29" s="188">
        <f t="shared" si="0"/>
        <v>0</v>
      </c>
    </row>
    <row r="30" spans="1:6">
      <c r="A30" s="40"/>
      <c r="B30" s="79"/>
      <c r="C30" s="83"/>
      <c r="D30" s="74"/>
      <c r="E30" s="65"/>
      <c r="F30" s="188">
        <f t="shared" si="0"/>
        <v>0</v>
      </c>
    </row>
    <row r="31" spans="1:6" ht="18" thickBot="1">
      <c r="A31" s="41"/>
      <c r="B31" s="84"/>
      <c r="C31" s="179"/>
      <c r="D31" s="78"/>
      <c r="E31" s="65"/>
      <c r="F31" s="188">
        <f t="shared" si="0"/>
        <v>0</v>
      </c>
    </row>
    <row r="32" spans="1:6" ht="18" thickBot="1">
      <c r="A32" s="15"/>
      <c r="B32" s="42"/>
      <c r="C32" s="217"/>
      <c r="D32" s="9"/>
      <c r="E32" s="34"/>
      <c r="F32" s="218">
        <f>SUM(F12:F31)</f>
        <v>0</v>
      </c>
    </row>
    <row r="33" spans="1:7" ht="18" thickBot="1">
      <c r="A33" s="43"/>
      <c r="B33" s="44"/>
      <c r="C33" s="44"/>
      <c r="D33" s="45"/>
      <c r="E33" s="37"/>
      <c r="F33" s="31"/>
    </row>
    <row r="36" spans="1:7" ht="33.75" customHeight="1">
      <c r="A36" s="627" t="s">
        <v>157</v>
      </c>
      <c r="B36" s="517"/>
      <c r="C36" s="517"/>
      <c r="D36" s="517"/>
      <c r="E36" s="517"/>
      <c r="F36" s="517"/>
      <c r="G36" s="517"/>
    </row>
  </sheetData>
  <mergeCells count="6">
    <mergeCell ref="A36:G36"/>
    <mergeCell ref="A7:E7"/>
    <mergeCell ref="A1:B1"/>
    <mergeCell ref="A4:E4"/>
    <mergeCell ref="A5:E5"/>
    <mergeCell ref="A6:E6"/>
  </mergeCells>
  <phoneticPr fontId="22" type="noConversion"/>
  <pageMargins left="0.7" right="0.7" top="0.75" bottom="0.75" header="0.3" footer="0.3"/>
  <pageSetup scale="79"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39"/>
  <sheetViews>
    <sheetView topLeftCell="A2" zoomScaleNormal="100" workbookViewId="0">
      <selection activeCell="D28" sqref="D28:E28"/>
    </sheetView>
  </sheetViews>
  <sheetFormatPr defaultRowHeight="15.75"/>
  <cols>
    <col min="1" max="1" width="3" style="228" customWidth="1"/>
    <col min="2" max="2" width="19.25" style="228" customWidth="1"/>
    <col min="3" max="3" width="12.5" style="228" customWidth="1"/>
    <col min="4" max="4" width="25.375" style="228" customWidth="1"/>
    <col min="5" max="5" width="16.625" style="228" customWidth="1"/>
    <col min="6" max="6" width="18.875" style="228" customWidth="1"/>
    <col min="7" max="16384" width="9" style="228"/>
  </cols>
  <sheetData>
    <row r="1" spans="2:6" s="287" customFormat="1">
      <c r="B1" s="287" t="s">
        <v>231</v>
      </c>
    </row>
    <row r="2" spans="2:6" s="287" customFormat="1"/>
    <row r="3" spans="2:6" s="287" customFormat="1">
      <c r="B3" s="287" t="s">
        <v>302</v>
      </c>
    </row>
    <row r="4" spans="2:6" s="287" customFormat="1"/>
    <row r="5" spans="2:6" s="287" customFormat="1">
      <c r="B5" s="287" t="s">
        <v>228</v>
      </c>
    </row>
    <row r="6" spans="2:6" s="287" customFormat="1">
      <c r="B6" s="287" t="s">
        <v>303</v>
      </c>
    </row>
    <row r="7" spans="2:6" s="287" customFormat="1">
      <c r="B7" s="287" t="s">
        <v>229</v>
      </c>
    </row>
    <row r="8" spans="2:6" s="287" customFormat="1"/>
    <row r="9" spans="2:6" s="287" customFormat="1" ht="63">
      <c r="B9" s="491" t="s">
        <v>299</v>
      </c>
      <c r="C9" s="288" t="s">
        <v>51</v>
      </c>
      <c r="D9" s="491" t="s">
        <v>230</v>
      </c>
      <c r="E9" s="351" t="s">
        <v>300</v>
      </c>
      <c r="F9" s="351" t="s">
        <v>301</v>
      </c>
    </row>
    <row r="10" spans="2:6" s="287" customFormat="1">
      <c r="B10" s="252"/>
      <c r="C10" s="252"/>
      <c r="D10" s="252"/>
      <c r="E10" s="252"/>
      <c r="F10" s="290">
        <f t="shared" ref="F10" si="0">(D10*E10)*D10</f>
        <v>0</v>
      </c>
    </row>
    <row r="11" spans="2:6" s="287" customFormat="1">
      <c r="B11" s="252"/>
      <c r="C11" s="252"/>
      <c r="D11" s="252"/>
      <c r="E11" s="252"/>
      <c r="F11" s="290">
        <v>0</v>
      </c>
    </row>
    <row r="12" spans="2:6" s="287" customFormat="1">
      <c r="B12" s="252"/>
      <c r="C12" s="252"/>
      <c r="D12" s="252"/>
      <c r="E12" s="252"/>
      <c r="F12" s="290">
        <f t="shared" ref="F12:F20" si="1">(D12*E12)*D12</f>
        <v>0</v>
      </c>
    </row>
    <row r="13" spans="2:6" s="287" customFormat="1">
      <c r="B13" s="252"/>
      <c r="C13" s="252"/>
      <c r="D13" s="252"/>
      <c r="E13" s="252"/>
      <c r="F13" s="290">
        <f t="shared" si="1"/>
        <v>0</v>
      </c>
    </row>
    <row r="14" spans="2:6" s="287" customFormat="1">
      <c r="B14" s="252"/>
      <c r="C14" s="252"/>
      <c r="D14" s="252"/>
      <c r="E14" s="252"/>
      <c r="F14" s="290">
        <f t="shared" si="1"/>
        <v>0</v>
      </c>
    </row>
    <row r="15" spans="2:6" s="287" customFormat="1">
      <c r="B15" s="252"/>
      <c r="C15" s="252"/>
      <c r="D15" s="252"/>
      <c r="E15" s="252"/>
      <c r="F15" s="290">
        <f t="shared" si="1"/>
        <v>0</v>
      </c>
    </row>
    <row r="16" spans="2:6" s="287" customFormat="1">
      <c r="B16" s="252"/>
      <c r="C16" s="252"/>
      <c r="D16" s="252"/>
      <c r="E16" s="252"/>
      <c r="F16" s="290">
        <f t="shared" si="1"/>
        <v>0</v>
      </c>
    </row>
    <row r="17" spans="1:9" s="287" customFormat="1">
      <c r="B17" s="252"/>
      <c r="C17" s="252"/>
      <c r="D17" s="252"/>
      <c r="E17" s="252"/>
      <c r="F17" s="290">
        <f t="shared" si="1"/>
        <v>0</v>
      </c>
    </row>
    <row r="18" spans="1:9" s="287" customFormat="1">
      <c r="B18" s="252"/>
      <c r="C18" s="252"/>
      <c r="D18" s="252"/>
      <c r="E18" s="252"/>
      <c r="F18" s="290">
        <f t="shared" si="1"/>
        <v>0</v>
      </c>
    </row>
    <row r="19" spans="1:9" s="287" customFormat="1">
      <c r="B19" s="252"/>
      <c r="C19" s="252"/>
      <c r="D19" s="252"/>
      <c r="E19" s="252"/>
      <c r="F19" s="290">
        <f t="shared" si="1"/>
        <v>0</v>
      </c>
    </row>
    <row r="20" spans="1:9" s="287" customFormat="1">
      <c r="B20" s="252" t="s">
        <v>141</v>
      </c>
      <c r="C20" s="252"/>
      <c r="D20" s="252"/>
      <c r="E20" s="252"/>
      <c r="F20" s="290">
        <f t="shared" si="1"/>
        <v>0</v>
      </c>
    </row>
    <row r="21" spans="1:9" s="287" customFormat="1"/>
    <row r="22" spans="1:9">
      <c r="A22" s="287"/>
      <c r="B22" s="285" t="s">
        <v>232</v>
      </c>
      <c r="C22" s="287"/>
      <c r="D22" s="287"/>
      <c r="E22" s="287"/>
      <c r="F22" s="287"/>
      <c r="G22" s="287"/>
      <c r="H22" s="287"/>
    </row>
    <row r="23" spans="1:9" ht="10.5" customHeight="1"/>
    <row r="24" spans="1:9">
      <c r="A24" s="287"/>
      <c r="B24" s="563" t="s">
        <v>306</v>
      </c>
      <c r="C24" s="563"/>
      <c r="D24" s="563"/>
      <c r="E24" s="563"/>
      <c r="F24" s="563"/>
      <c r="G24" s="563"/>
      <c r="H24" s="563"/>
    </row>
    <row r="25" spans="1:9" ht="9" customHeight="1"/>
    <row r="26" spans="1:9">
      <c r="A26" s="287"/>
      <c r="B26" s="250" t="s">
        <v>227</v>
      </c>
      <c r="C26" s="251"/>
      <c r="D26" s="251"/>
      <c r="E26" s="251"/>
      <c r="F26" s="251"/>
      <c r="G26" s="287"/>
      <c r="H26" s="287"/>
    </row>
    <row r="27" spans="1:9" ht="10.5" customHeight="1">
      <c r="A27" s="287"/>
      <c r="B27" s="251"/>
      <c r="C27" s="251"/>
      <c r="D27" s="251"/>
      <c r="E27" s="251"/>
      <c r="F27" s="251"/>
      <c r="G27" s="287"/>
      <c r="H27" s="287"/>
    </row>
    <row r="28" spans="1:9" ht="58.5" customHeight="1">
      <c r="A28" s="287"/>
      <c r="B28" s="286" t="s">
        <v>305</v>
      </c>
      <c r="C28" s="492" t="s">
        <v>304</v>
      </c>
      <c r="D28" s="628" t="s">
        <v>307</v>
      </c>
      <c r="E28" s="629"/>
      <c r="F28" s="286" t="s">
        <v>225</v>
      </c>
      <c r="G28" s="351" t="s">
        <v>234</v>
      </c>
      <c r="H28" s="351" t="s">
        <v>235</v>
      </c>
    </row>
    <row r="29" spans="1:9">
      <c r="A29" s="287"/>
      <c r="B29" s="252"/>
      <c r="C29" s="254"/>
      <c r="D29" s="630"/>
      <c r="E29" s="631"/>
      <c r="F29" s="290">
        <v>0</v>
      </c>
      <c r="G29" s="297"/>
      <c r="H29" s="292">
        <f>G29*F29</f>
        <v>0</v>
      </c>
      <c r="I29" s="253"/>
    </row>
    <row r="30" spans="1:9">
      <c r="A30" s="287"/>
      <c r="B30" s="252"/>
      <c r="C30" s="254"/>
      <c r="D30" s="630"/>
      <c r="E30" s="631"/>
      <c r="F30" s="290">
        <f t="shared" ref="F30:F38" si="2">(E30*C30)*D30</f>
        <v>0</v>
      </c>
      <c r="G30" s="297"/>
      <c r="H30" s="292">
        <f t="shared" ref="H30:H39" si="3">G30*F30</f>
        <v>0</v>
      </c>
      <c r="I30" s="253"/>
    </row>
    <row r="31" spans="1:9">
      <c r="A31" s="287"/>
      <c r="B31" s="252"/>
      <c r="C31" s="254"/>
      <c r="D31" s="630"/>
      <c r="E31" s="631"/>
      <c r="F31" s="290">
        <f t="shared" si="2"/>
        <v>0</v>
      </c>
      <c r="G31" s="297"/>
      <c r="H31" s="292">
        <f t="shared" si="3"/>
        <v>0</v>
      </c>
      <c r="I31" s="253"/>
    </row>
    <row r="32" spans="1:9">
      <c r="A32" s="287"/>
      <c r="B32" s="252"/>
      <c r="C32" s="254"/>
      <c r="D32" s="630"/>
      <c r="E32" s="631"/>
      <c r="F32" s="290">
        <f t="shared" si="2"/>
        <v>0</v>
      </c>
      <c r="G32" s="297"/>
      <c r="H32" s="292">
        <f t="shared" si="3"/>
        <v>0</v>
      </c>
      <c r="I32" s="253"/>
    </row>
    <row r="33" spans="1:9">
      <c r="A33" s="287"/>
      <c r="B33" s="252"/>
      <c r="C33" s="254"/>
      <c r="D33" s="630"/>
      <c r="E33" s="631"/>
      <c r="F33" s="290">
        <f t="shared" si="2"/>
        <v>0</v>
      </c>
      <c r="G33" s="297"/>
      <c r="H33" s="292">
        <f t="shared" si="3"/>
        <v>0</v>
      </c>
      <c r="I33" s="253"/>
    </row>
    <row r="34" spans="1:9">
      <c r="A34" s="287"/>
      <c r="B34" s="252"/>
      <c r="C34" s="254"/>
      <c r="D34" s="630"/>
      <c r="E34" s="631"/>
      <c r="F34" s="290">
        <f t="shared" si="2"/>
        <v>0</v>
      </c>
      <c r="G34" s="297"/>
      <c r="H34" s="292">
        <f t="shared" si="3"/>
        <v>0</v>
      </c>
      <c r="I34" s="253"/>
    </row>
    <row r="35" spans="1:9">
      <c r="A35" s="287"/>
      <c r="B35" s="252"/>
      <c r="C35" s="254"/>
      <c r="D35" s="630"/>
      <c r="E35" s="631"/>
      <c r="F35" s="290">
        <f t="shared" si="2"/>
        <v>0</v>
      </c>
      <c r="G35" s="297"/>
      <c r="H35" s="292">
        <f t="shared" si="3"/>
        <v>0</v>
      </c>
      <c r="I35" s="253"/>
    </row>
    <row r="36" spans="1:9">
      <c r="A36" s="287"/>
      <c r="B36" s="252"/>
      <c r="C36" s="254"/>
      <c r="D36" s="630"/>
      <c r="E36" s="631"/>
      <c r="F36" s="290">
        <f t="shared" si="2"/>
        <v>0</v>
      </c>
      <c r="G36" s="297"/>
      <c r="H36" s="292">
        <f t="shared" si="3"/>
        <v>0</v>
      </c>
      <c r="I36" s="253"/>
    </row>
    <row r="37" spans="1:9">
      <c r="A37" s="287"/>
      <c r="B37" s="252"/>
      <c r="C37" s="254"/>
      <c r="D37" s="630"/>
      <c r="E37" s="631"/>
      <c r="F37" s="290">
        <f t="shared" si="2"/>
        <v>0</v>
      </c>
      <c r="G37" s="297"/>
      <c r="H37" s="292">
        <f t="shared" si="3"/>
        <v>0</v>
      </c>
      <c r="I37" s="253"/>
    </row>
    <row r="38" spans="1:9" ht="16.5" thickBot="1">
      <c r="A38" s="287"/>
      <c r="B38" s="252"/>
      <c r="C38" s="254"/>
      <c r="D38" s="630"/>
      <c r="E38" s="631"/>
      <c r="F38" s="293">
        <f t="shared" si="2"/>
        <v>0</v>
      </c>
      <c r="G38" s="298"/>
      <c r="H38" s="294">
        <f t="shared" si="3"/>
        <v>0</v>
      </c>
      <c r="I38" s="253"/>
    </row>
    <row r="39" spans="1:9" ht="16.5" thickBot="1">
      <c r="B39" s="252" t="s">
        <v>141</v>
      </c>
      <c r="C39" s="252"/>
      <c r="D39" s="591"/>
      <c r="E39" s="632"/>
      <c r="F39" s="291">
        <f>SUM(F29:F38)</f>
        <v>0</v>
      </c>
      <c r="G39" s="295">
        <f>SUM(G29:G38)</f>
        <v>0</v>
      </c>
      <c r="H39" s="296">
        <f t="shared" si="3"/>
        <v>0</v>
      </c>
      <c r="I39" s="253"/>
    </row>
  </sheetData>
  <mergeCells count="13">
    <mergeCell ref="D37:E37"/>
    <mergeCell ref="D38:E38"/>
    <mergeCell ref="D39:E39"/>
    <mergeCell ref="D31:E31"/>
    <mergeCell ref="D32:E32"/>
    <mergeCell ref="D33:E33"/>
    <mergeCell ref="D34:E34"/>
    <mergeCell ref="D35:E35"/>
    <mergeCell ref="B24:H24"/>
    <mergeCell ref="D28:E28"/>
    <mergeCell ref="D29:E29"/>
    <mergeCell ref="D30:E30"/>
    <mergeCell ref="D36:E36"/>
  </mergeCells>
  <phoneticPr fontId="22" type="noConversion"/>
  <pageMargins left="0.7" right="0.7" top="0.75" bottom="0.75" header="0.3" footer="0.3"/>
  <pageSetup scale="9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51"/>
  <sheetViews>
    <sheetView topLeftCell="A32" workbookViewId="0">
      <selection activeCell="F51" sqref="F51"/>
    </sheetView>
  </sheetViews>
  <sheetFormatPr defaultRowHeight="17.25"/>
  <cols>
    <col min="1" max="1" width="19.125" customWidth="1"/>
    <col min="3" max="3" width="14.5" customWidth="1"/>
    <col min="4" max="4" width="13.25" customWidth="1"/>
    <col min="5" max="5" width="12.25" customWidth="1"/>
    <col min="6" max="6" width="15.875" customWidth="1"/>
  </cols>
  <sheetData>
    <row r="1" spans="1:8">
      <c r="A1" s="299" t="s">
        <v>236</v>
      </c>
      <c r="B1" s="299"/>
      <c r="C1" s="299"/>
      <c r="D1" s="300"/>
      <c r="E1" s="301"/>
    </row>
    <row r="2" spans="1:8">
      <c r="A2" s="299" t="s">
        <v>308</v>
      </c>
      <c r="B2" s="299"/>
      <c r="C2" s="299"/>
      <c r="D2" s="300"/>
      <c r="E2" s="302"/>
    </row>
    <row r="3" spans="1:8">
      <c r="A3" s="299" t="s">
        <v>237</v>
      </c>
      <c r="B3" s="299"/>
      <c r="C3" s="299"/>
      <c r="D3" s="299"/>
      <c r="E3" s="299"/>
    </row>
    <row r="4" spans="1:8" ht="18" thickBot="1">
      <c r="A4" s="303" t="s">
        <v>238</v>
      </c>
      <c r="B4" s="303"/>
      <c r="C4" s="303"/>
      <c r="D4" s="303"/>
      <c r="E4" s="303"/>
      <c r="F4" s="303"/>
      <c r="G4" s="303"/>
      <c r="H4" s="303"/>
    </row>
    <row r="5" spans="1:8" ht="65.25" customHeight="1" thickBot="1">
      <c r="A5" s="304"/>
      <c r="B5" s="495" t="s">
        <v>239</v>
      </c>
      <c r="C5" s="495" t="s">
        <v>240</v>
      </c>
      <c r="D5" s="495" t="s">
        <v>241</v>
      </c>
      <c r="E5" s="495" t="s">
        <v>242</v>
      </c>
      <c r="F5" s="305"/>
      <c r="G5" s="496" t="s">
        <v>243</v>
      </c>
      <c r="H5" s="497" t="s">
        <v>244</v>
      </c>
    </row>
    <row r="6" spans="1:8" ht="18" thickTop="1">
      <c r="A6" s="306" t="s">
        <v>245</v>
      </c>
      <c r="B6" s="307"/>
      <c r="C6" s="307"/>
      <c r="D6" s="307"/>
      <c r="E6" s="307"/>
      <c r="F6" s="498" t="s">
        <v>246</v>
      </c>
      <c r="G6" s="308">
        <v>0</v>
      </c>
      <c r="H6" s="309">
        <v>0</v>
      </c>
    </row>
    <row r="7" spans="1:8">
      <c r="A7" s="494" t="s">
        <v>247</v>
      </c>
      <c r="B7" s="311">
        <v>0</v>
      </c>
      <c r="C7" s="311">
        <v>0</v>
      </c>
      <c r="D7" s="312">
        <v>0</v>
      </c>
      <c r="E7" s="311">
        <f t="shared" ref="E7:E19" si="0">SUM(C7:D7)</f>
        <v>0</v>
      </c>
      <c r="F7" s="499" t="s">
        <v>248</v>
      </c>
      <c r="G7" s="313">
        <v>0</v>
      </c>
      <c r="H7" s="314">
        <v>0</v>
      </c>
    </row>
    <row r="8" spans="1:8">
      <c r="A8" s="494" t="s">
        <v>249</v>
      </c>
      <c r="B8" s="315">
        <v>0</v>
      </c>
      <c r="C8" s="315">
        <v>0</v>
      </c>
      <c r="D8" s="316">
        <v>0</v>
      </c>
      <c r="E8" s="315">
        <f t="shared" si="0"/>
        <v>0</v>
      </c>
      <c r="F8" s="499" t="s">
        <v>250</v>
      </c>
      <c r="G8" s="313">
        <v>0</v>
      </c>
      <c r="H8" s="314">
        <v>0</v>
      </c>
    </row>
    <row r="9" spans="1:8">
      <c r="A9" s="494" t="s">
        <v>2</v>
      </c>
      <c r="B9" s="315">
        <v>0</v>
      </c>
      <c r="C9" s="315">
        <v>0</v>
      </c>
      <c r="D9" s="316">
        <v>0</v>
      </c>
      <c r="E9" s="315">
        <f t="shared" si="0"/>
        <v>0</v>
      </c>
      <c r="F9" s="500" t="s">
        <v>251</v>
      </c>
      <c r="G9" s="317">
        <v>0</v>
      </c>
      <c r="H9" s="318">
        <v>0</v>
      </c>
    </row>
    <row r="10" spans="1:8">
      <c r="A10" s="494" t="s">
        <v>3</v>
      </c>
      <c r="B10" s="315">
        <v>0</v>
      </c>
      <c r="C10" s="315">
        <v>0</v>
      </c>
      <c r="D10" s="316">
        <v>0</v>
      </c>
      <c r="E10" s="315">
        <f t="shared" si="0"/>
        <v>0</v>
      </c>
      <c r="F10" s="319"/>
      <c r="G10" s="319"/>
      <c r="H10" s="319"/>
    </row>
    <row r="11" spans="1:8">
      <c r="A11" s="494" t="s">
        <v>4</v>
      </c>
      <c r="B11" s="315">
        <v>0</v>
      </c>
      <c r="C11" s="315">
        <v>0</v>
      </c>
      <c r="D11" s="316">
        <v>0</v>
      </c>
      <c r="E11" s="315">
        <f t="shared" si="0"/>
        <v>0</v>
      </c>
      <c r="F11" s="320" t="s">
        <v>252</v>
      </c>
      <c r="G11" s="319"/>
      <c r="H11" s="319"/>
    </row>
    <row r="12" spans="1:8">
      <c r="A12" s="494" t="s">
        <v>5</v>
      </c>
      <c r="B12" s="315">
        <v>0</v>
      </c>
      <c r="C12" s="315">
        <v>0</v>
      </c>
      <c r="D12" s="316">
        <v>0</v>
      </c>
      <c r="E12" s="315">
        <f t="shared" si="0"/>
        <v>0</v>
      </c>
      <c r="F12" s="320" t="s">
        <v>253</v>
      </c>
      <c r="G12" s="319"/>
      <c r="H12" s="319"/>
    </row>
    <row r="13" spans="1:8">
      <c r="A13" s="494" t="s">
        <v>6</v>
      </c>
      <c r="B13" s="315">
        <v>0</v>
      </c>
      <c r="C13" s="315">
        <v>0</v>
      </c>
      <c r="D13" s="316">
        <v>0</v>
      </c>
      <c r="E13" s="315">
        <f t="shared" si="0"/>
        <v>0</v>
      </c>
      <c r="F13" s="319"/>
      <c r="G13" s="319"/>
      <c r="H13" s="319"/>
    </row>
    <row r="14" spans="1:8">
      <c r="A14" s="494" t="s">
        <v>7</v>
      </c>
      <c r="B14" s="315">
        <v>0</v>
      </c>
      <c r="C14" s="315">
        <v>0</v>
      </c>
      <c r="D14" s="316">
        <v>0</v>
      </c>
      <c r="E14" s="315">
        <f t="shared" si="0"/>
        <v>0</v>
      </c>
      <c r="F14" s="321" t="s">
        <v>254</v>
      </c>
      <c r="G14" s="319"/>
      <c r="H14" s="319"/>
    </row>
    <row r="15" spans="1:8">
      <c r="A15" s="494" t="s">
        <v>8</v>
      </c>
      <c r="B15" s="315">
        <v>0</v>
      </c>
      <c r="C15" s="315">
        <v>0</v>
      </c>
      <c r="D15" s="316">
        <v>0</v>
      </c>
      <c r="E15" s="315">
        <f t="shared" si="0"/>
        <v>0</v>
      </c>
      <c r="F15" s="321" t="s">
        <v>255</v>
      </c>
      <c r="G15" s="319"/>
      <c r="H15" s="319"/>
    </row>
    <row r="16" spans="1:8">
      <c r="A16" s="494" t="s">
        <v>11</v>
      </c>
      <c r="B16" s="315">
        <v>0</v>
      </c>
      <c r="C16" s="315">
        <v>0</v>
      </c>
      <c r="D16" s="316">
        <v>0</v>
      </c>
      <c r="E16" s="315">
        <f>SUM(C16:D16)</f>
        <v>0</v>
      </c>
      <c r="F16" s="321" t="s">
        <v>256</v>
      </c>
      <c r="G16" s="319"/>
      <c r="H16" s="319"/>
    </row>
    <row r="17" spans="1:8">
      <c r="A17" s="494" t="s">
        <v>257</v>
      </c>
      <c r="B17" s="315">
        <v>0</v>
      </c>
      <c r="C17" s="322">
        <v>0</v>
      </c>
      <c r="D17" s="316">
        <v>0</v>
      </c>
      <c r="E17" s="315">
        <f t="shared" si="0"/>
        <v>0</v>
      </c>
      <c r="F17" s="321" t="s">
        <v>258</v>
      </c>
      <c r="G17" s="319"/>
      <c r="H17" s="319"/>
    </row>
    <row r="18" spans="1:8">
      <c r="A18" s="494" t="s">
        <v>259</v>
      </c>
      <c r="B18" s="315">
        <v>0</v>
      </c>
      <c r="C18" s="315">
        <v>0</v>
      </c>
      <c r="D18" s="316">
        <v>0</v>
      </c>
      <c r="E18" s="315">
        <f t="shared" si="0"/>
        <v>0</v>
      </c>
      <c r="F18" s="321" t="s">
        <v>260</v>
      </c>
      <c r="G18" s="319"/>
      <c r="H18" s="319"/>
    </row>
    <row r="19" spans="1:8">
      <c r="A19" s="494" t="s">
        <v>10</v>
      </c>
      <c r="B19" s="315">
        <v>0</v>
      </c>
      <c r="C19" s="315">
        <v>0</v>
      </c>
      <c r="D19" s="316">
        <v>0</v>
      </c>
      <c r="E19" s="315">
        <f t="shared" si="0"/>
        <v>0</v>
      </c>
      <c r="F19" s="319"/>
      <c r="G19" s="319"/>
      <c r="H19" s="319"/>
    </row>
    <row r="20" spans="1:8">
      <c r="A20" s="323" t="s">
        <v>261</v>
      </c>
      <c r="B20" s="324">
        <f t="shared" ref="B20:D20" si="1">SUM(B7:B19)</f>
        <v>0</v>
      </c>
      <c r="C20" s="324">
        <f t="shared" si="1"/>
        <v>0</v>
      </c>
      <c r="D20" s="324">
        <f t="shared" si="1"/>
        <v>0</v>
      </c>
      <c r="E20" s="324">
        <f>SUM(E7:E19)</f>
        <v>0</v>
      </c>
      <c r="F20" s="319"/>
      <c r="G20" s="319"/>
      <c r="H20" s="319"/>
    </row>
    <row r="21" spans="1:8" ht="18" thickBot="1">
      <c r="A21" s="310" t="s">
        <v>262</v>
      </c>
      <c r="B21" s="315">
        <v>0</v>
      </c>
      <c r="C21" s="315">
        <v>0</v>
      </c>
      <c r="D21" s="316">
        <v>0</v>
      </c>
      <c r="E21" s="315">
        <f>SUM(C21:D21)</f>
        <v>0</v>
      </c>
      <c r="F21" s="319"/>
      <c r="G21" s="319"/>
      <c r="H21" s="319"/>
    </row>
    <row r="22" spans="1:8" ht="18.75" thickTop="1" thickBot="1">
      <c r="A22" s="325" t="s">
        <v>263</v>
      </c>
      <c r="B22" s="326">
        <f t="shared" ref="B22:E22" si="2">SUM(B20:B21)</f>
        <v>0</v>
      </c>
      <c r="C22" s="326">
        <f t="shared" si="2"/>
        <v>0</v>
      </c>
      <c r="D22" s="326">
        <f t="shared" si="2"/>
        <v>0</v>
      </c>
      <c r="E22" s="326">
        <f t="shared" si="2"/>
        <v>0</v>
      </c>
    </row>
    <row r="23" spans="1:8" ht="18" thickTop="1">
      <c r="A23" s="327"/>
      <c r="B23" s="327"/>
      <c r="C23" s="327"/>
      <c r="D23" s="327"/>
      <c r="E23" s="327"/>
    </row>
    <row r="24" spans="1:8">
      <c r="B24" s="328"/>
      <c r="C24" s="328"/>
      <c r="D24" s="328"/>
      <c r="E24" s="328"/>
    </row>
    <row r="25" spans="1:8" ht="54.75">
      <c r="A25" s="493" t="s">
        <v>264</v>
      </c>
      <c r="B25" s="493" t="s">
        <v>265</v>
      </c>
      <c r="C25" s="493" t="s">
        <v>266</v>
      </c>
      <c r="D25" s="493" t="s">
        <v>267</v>
      </c>
    </row>
    <row r="26" spans="1:8">
      <c r="A26" s="329">
        <v>40847</v>
      </c>
      <c r="B26" s="330">
        <v>140</v>
      </c>
      <c r="C26" s="331">
        <v>0</v>
      </c>
      <c r="D26" s="311">
        <f t="shared" ref="D26:D34" si="3">ROUND((E26*$G$7)+(F26*$G$8)+(G26*$G$9)+($G$10*H26),2)</f>
        <v>0</v>
      </c>
      <c r="E26" s="332">
        <f t="shared" ref="E26:E37" si="4">IF(C26+B26&gt;50,50,IF(B26+C26=0,0,C26+B26))</f>
        <v>50</v>
      </c>
      <c r="F26" s="332">
        <f t="shared" ref="F26:F37" si="5">IF(B26+C26&gt;200,150,IF(C26+B26&lt;=50,0,C26+B26-50))</f>
        <v>90</v>
      </c>
      <c r="G26" s="332">
        <f t="shared" ref="G26:G37" si="6">IF(C26+B26&gt;1000,800,IF(C26+B26=0,0,C26+B26-F26-E26))</f>
        <v>0</v>
      </c>
      <c r="H26" s="333">
        <f t="shared" ref="H26:H37" si="7">IF(C26+B26&gt;1000,C26+B26-1000,0)</f>
        <v>0</v>
      </c>
    </row>
    <row r="27" spans="1:8">
      <c r="A27" s="329">
        <v>40877</v>
      </c>
      <c r="B27" s="330">
        <v>137</v>
      </c>
      <c r="C27" s="331">
        <v>0</v>
      </c>
      <c r="D27" s="315">
        <f t="shared" si="3"/>
        <v>0</v>
      </c>
      <c r="E27" s="332">
        <f t="shared" si="4"/>
        <v>50</v>
      </c>
      <c r="F27" s="332">
        <f t="shared" si="5"/>
        <v>87</v>
      </c>
      <c r="G27" s="332">
        <f t="shared" si="6"/>
        <v>0</v>
      </c>
      <c r="H27" s="333">
        <f t="shared" si="7"/>
        <v>0</v>
      </c>
    </row>
    <row r="28" spans="1:8">
      <c r="A28" s="329">
        <v>40908</v>
      </c>
      <c r="B28" s="330">
        <v>136</v>
      </c>
      <c r="C28" s="331">
        <v>0</v>
      </c>
      <c r="D28" s="315">
        <f t="shared" si="3"/>
        <v>0</v>
      </c>
      <c r="E28" s="332">
        <f t="shared" si="4"/>
        <v>50</v>
      </c>
      <c r="F28" s="332">
        <f t="shared" si="5"/>
        <v>86</v>
      </c>
      <c r="G28" s="332">
        <f t="shared" si="6"/>
        <v>0</v>
      </c>
      <c r="H28" s="333">
        <f t="shared" si="7"/>
        <v>0</v>
      </c>
    </row>
    <row r="29" spans="1:8">
      <c r="A29" s="329">
        <v>40939</v>
      </c>
      <c r="B29" s="330">
        <v>136</v>
      </c>
      <c r="C29" s="331">
        <v>0</v>
      </c>
      <c r="D29" s="315">
        <f t="shared" si="3"/>
        <v>0</v>
      </c>
      <c r="E29" s="332">
        <f t="shared" si="4"/>
        <v>50</v>
      </c>
      <c r="F29" s="332">
        <f t="shared" si="5"/>
        <v>86</v>
      </c>
      <c r="G29" s="332">
        <f t="shared" si="6"/>
        <v>0</v>
      </c>
      <c r="H29" s="333">
        <f t="shared" si="7"/>
        <v>0</v>
      </c>
    </row>
    <row r="30" spans="1:8">
      <c r="A30" s="329">
        <v>40968</v>
      </c>
      <c r="B30" s="330">
        <v>142</v>
      </c>
      <c r="C30" s="331">
        <v>0</v>
      </c>
      <c r="D30" s="315">
        <f t="shared" si="3"/>
        <v>0</v>
      </c>
      <c r="E30" s="332">
        <f t="shared" si="4"/>
        <v>50</v>
      </c>
      <c r="F30" s="332">
        <f t="shared" si="5"/>
        <v>92</v>
      </c>
      <c r="G30" s="332">
        <f t="shared" si="6"/>
        <v>0</v>
      </c>
      <c r="H30" s="333">
        <f t="shared" si="7"/>
        <v>0</v>
      </c>
    </row>
    <row r="31" spans="1:8">
      <c r="A31" s="329">
        <v>40999</v>
      </c>
      <c r="B31" s="330">
        <v>138</v>
      </c>
      <c r="C31" s="331">
        <v>0</v>
      </c>
      <c r="D31" s="315">
        <f t="shared" si="3"/>
        <v>0</v>
      </c>
      <c r="E31" s="332">
        <f t="shared" si="4"/>
        <v>50</v>
      </c>
      <c r="F31" s="332">
        <f t="shared" si="5"/>
        <v>88</v>
      </c>
      <c r="G31" s="332">
        <f t="shared" si="6"/>
        <v>0</v>
      </c>
      <c r="H31" s="333">
        <f t="shared" si="7"/>
        <v>0</v>
      </c>
    </row>
    <row r="32" spans="1:8">
      <c r="A32" s="329">
        <v>41029</v>
      </c>
      <c r="B32" s="330">
        <v>139</v>
      </c>
      <c r="C32" s="331">
        <v>0</v>
      </c>
      <c r="D32" s="315">
        <f t="shared" si="3"/>
        <v>0</v>
      </c>
      <c r="E32" s="332">
        <f t="shared" si="4"/>
        <v>50</v>
      </c>
      <c r="F32" s="332">
        <f t="shared" si="5"/>
        <v>89</v>
      </c>
      <c r="G32" s="332">
        <f t="shared" si="6"/>
        <v>0</v>
      </c>
      <c r="H32" s="333">
        <f t="shared" si="7"/>
        <v>0</v>
      </c>
    </row>
    <row r="33" spans="1:8">
      <c r="A33" s="329">
        <v>41060</v>
      </c>
      <c r="B33" s="330">
        <v>135</v>
      </c>
      <c r="C33" s="331">
        <v>0</v>
      </c>
      <c r="D33" s="315">
        <f t="shared" si="3"/>
        <v>0</v>
      </c>
      <c r="E33" s="332">
        <f t="shared" si="4"/>
        <v>50</v>
      </c>
      <c r="F33" s="332">
        <f t="shared" si="5"/>
        <v>85</v>
      </c>
      <c r="G33" s="332">
        <f t="shared" si="6"/>
        <v>0</v>
      </c>
      <c r="H33" s="333">
        <f t="shared" si="7"/>
        <v>0</v>
      </c>
    </row>
    <row r="34" spans="1:8">
      <c r="A34" s="329">
        <v>41090</v>
      </c>
      <c r="B34" s="330">
        <v>0</v>
      </c>
      <c r="C34" s="331">
        <v>0</v>
      </c>
      <c r="D34" s="315">
        <f t="shared" si="3"/>
        <v>0</v>
      </c>
      <c r="E34" s="332">
        <f t="shared" si="4"/>
        <v>0</v>
      </c>
      <c r="F34" s="332">
        <f t="shared" si="5"/>
        <v>0</v>
      </c>
      <c r="G34" s="332">
        <f t="shared" si="6"/>
        <v>0</v>
      </c>
      <c r="H34" s="333">
        <f t="shared" si="7"/>
        <v>0</v>
      </c>
    </row>
    <row r="35" spans="1:8">
      <c r="A35" s="329">
        <v>41121</v>
      </c>
      <c r="B35" s="330">
        <v>0</v>
      </c>
      <c r="C35" s="331">
        <v>0</v>
      </c>
      <c r="D35" s="315">
        <f>ROUND((E35*$H$7)+(F35*$H$8)+(G35*$H$9)+($H$10*H35),2)</f>
        <v>0</v>
      </c>
      <c r="E35" s="332">
        <f t="shared" si="4"/>
        <v>0</v>
      </c>
      <c r="F35" s="332">
        <f t="shared" si="5"/>
        <v>0</v>
      </c>
      <c r="G35" s="332">
        <f t="shared" si="6"/>
        <v>0</v>
      </c>
      <c r="H35" s="333">
        <f t="shared" si="7"/>
        <v>0</v>
      </c>
    </row>
    <row r="36" spans="1:8">
      <c r="A36" s="329">
        <v>41152</v>
      </c>
      <c r="B36" s="330">
        <v>0</v>
      </c>
      <c r="C36" s="331">
        <v>0</v>
      </c>
      <c r="D36" s="315">
        <f>ROUND((E36*$H$7)+(F36*$H$8)+(G36*$H$9)+($H$10*H36),2)</f>
        <v>0</v>
      </c>
      <c r="E36" s="332">
        <f t="shared" si="4"/>
        <v>0</v>
      </c>
      <c r="F36" s="332">
        <f t="shared" si="5"/>
        <v>0</v>
      </c>
      <c r="G36" s="332">
        <f t="shared" si="6"/>
        <v>0</v>
      </c>
      <c r="H36" s="333">
        <f t="shared" si="7"/>
        <v>0</v>
      </c>
    </row>
    <row r="37" spans="1:8">
      <c r="A37" s="329">
        <v>41182</v>
      </c>
      <c r="B37" s="330">
        <v>0</v>
      </c>
      <c r="C37" s="331">
        <v>0</v>
      </c>
      <c r="D37" s="315">
        <f>ROUND((E37*$H$7)+(F37*$H$8)+(G37*$H$9)+($H$10*H37),2)</f>
        <v>0</v>
      </c>
      <c r="E37" s="332">
        <f t="shared" si="4"/>
        <v>0</v>
      </c>
      <c r="F37" s="332">
        <f t="shared" si="5"/>
        <v>0</v>
      </c>
      <c r="G37" s="332">
        <f t="shared" si="6"/>
        <v>0</v>
      </c>
      <c r="H37" s="333">
        <f t="shared" si="7"/>
        <v>0</v>
      </c>
    </row>
    <row r="38" spans="1:8">
      <c r="A38" s="323"/>
      <c r="B38" s="334">
        <f>SUM(B26:B37)</f>
        <v>1103</v>
      </c>
      <c r="C38" s="334">
        <f>SUM(C26:C37)</f>
        <v>0</v>
      </c>
      <c r="D38" s="324">
        <f>SUM(D26:D37)</f>
        <v>0</v>
      </c>
    </row>
    <row r="40" spans="1:8">
      <c r="A40" t="s">
        <v>268</v>
      </c>
      <c r="D40" s="335">
        <f>E22</f>
        <v>0</v>
      </c>
      <c r="E40" s="633"/>
      <c r="F40" s="633"/>
      <c r="G40" s="633"/>
    </row>
    <row r="41" spans="1:8">
      <c r="A41" t="s">
        <v>269</v>
      </c>
      <c r="C41" s="335"/>
      <c r="D41" s="336">
        <v>0</v>
      </c>
      <c r="E41" s="633"/>
      <c r="F41" s="633"/>
      <c r="G41" s="633"/>
    </row>
    <row r="42" spans="1:8">
      <c r="A42" t="s">
        <v>270</v>
      </c>
      <c r="D42" s="337">
        <f>SUM(D40:D41)</f>
        <v>0</v>
      </c>
      <c r="E42" s="634" t="s">
        <v>271</v>
      </c>
      <c r="F42" s="634"/>
      <c r="G42" s="634"/>
      <c r="H42" s="634"/>
    </row>
    <row r="43" spans="1:8">
      <c r="E43" s="338" t="s">
        <v>272</v>
      </c>
    </row>
    <row r="44" spans="1:8">
      <c r="E44" s="339" t="s">
        <v>273</v>
      </c>
    </row>
    <row r="45" spans="1:8">
      <c r="A45" t="s">
        <v>274</v>
      </c>
      <c r="D45" s="335">
        <f>D38</f>
        <v>0</v>
      </c>
      <c r="E45" s="339" t="s">
        <v>275</v>
      </c>
    </row>
    <row r="46" spans="1:8">
      <c r="A46" t="s">
        <v>270</v>
      </c>
      <c r="D46" s="336">
        <f>-D42</f>
        <v>0</v>
      </c>
      <c r="E46" s="339" t="s">
        <v>276</v>
      </c>
    </row>
    <row r="47" spans="1:8">
      <c r="A47" t="s">
        <v>277</v>
      </c>
      <c r="D47" s="337">
        <f>SUM(D45:D46)</f>
        <v>0</v>
      </c>
      <c r="E47" s="338" t="s">
        <v>278</v>
      </c>
      <c r="H47" s="340" t="s">
        <v>225</v>
      </c>
    </row>
    <row r="48" spans="1:8">
      <c r="E48" s="341"/>
      <c r="F48" s="341"/>
      <c r="G48" s="341"/>
      <c r="H48" s="342">
        <v>0</v>
      </c>
    </row>
    <row r="49" spans="1:8">
      <c r="A49" t="s">
        <v>279</v>
      </c>
      <c r="D49" s="337">
        <f>D45*0.1</f>
        <v>0</v>
      </c>
      <c r="E49" s="343"/>
      <c r="F49" s="344"/>
      <c r="G49" s="344"/>
      <c r="H49" s="345">
        <v>0</v>
      </c>
    </row>
    <row r="50" spans="1:8">
      <c r="E50" s="343"/>
      <c r="F50" s="344"/>
      <c r="G50" s="344"/>
      <c r="H50" s="346">
        <v>0</v>
      </c>
    </row>
    <row r="51" spans="1:8">
      <c r="A51" s="340" t="s">
        <v>280</v>
      </c>
      <c r="B51" s="340"/>
      <c r="C51" s="340"/>
      <c r="D51" s="347">
        <f>MAX(MIN(D47:D49),0)</f>
        <v>0</v>
      </c>
      <c r="E51" s="348"/>
      <c r="F51" s="106"/>
      <c r="G51" s="349" t="s">
        <v>281</v>
      </c>
      <c r="H51" s="350">
        <f>SUM(H48:H50)</f>
        <v>0</v>
      </c>
    </row>
  </sheetData>
  <mergeCells count="3">
    <mergeCell ref="E40:G40"/>
    <mergeCell ref="E41:G41"/>
    <mergeCell ref="E42:H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Index &amp; Totals</vt:lpstr>
      <vt:lpstr>Salaries</vt:lpstr>
      <vt:lpstr>Benefits</vt:lpstr>
      <vt:lpstr>Supplies</vt:lpstr>
      <vt:lpstr>Printing</vt:lpstr>
      <vt:lpstr>Equipment</vt:lpstr>
      <vt:lpstr>Depreciation</vt:lpstr>
      <vt:lpstr>Staff Training</vt:lpstr>
      <vt:lpstr>Provider Training</vt:lpstr>
      <vt:lpstr>Contracted Services</vt:lpstr>
      <vt:lpstr>In-State Travel</vt:lpstr>
      <vt:lpstr>Out-State Travel</vt:lpstr>
      <vt:lpstr>Occupancy</vt:lpstr>
      <vt:lpstr>Communications</vt:lpstr>
      <vt:lpstr>Alt Funding Source</vt:lpstr>
      <vt:lpstr>Carry Over</vt:lpstr>
      <vt:lpstr>'Alt Funding Source'!Print_Area</vt:lpstr>
      <vt:lpstr>Communications!Print_Area</vt:lpstr>
      <vt:lpstr>'Index &amp; Totals'!Print_Area</vt:lpstr>
      <vt:lpstr>Salaries!Print_Area</vt:lpstr>
      <vt:lpstr>'Staff Training'!Print_Area</vt:lpstr>
      <vt:lpstr>Supplies!Print_Area</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Day Care Home Budget Detail Worksheet</dc:title>
  <dc:creator>schurack</dc:creator>
  <cp:lastModifiedBy>Jaros, Sharon</cp:lastModifiedBy>
  <cp:lastPrinted>2012-06-20T18:04:14Z</cp:lastPrinted>
  <dcterms:created xsi:type="dcterms:W3CDTF">2011-05-14T23:29:21Z</dcterms:created>
  <dcterms:modified xsi:type="dcterms:W3CDTF">2013-03-11T16:41:38Z</dcterms:modified>
</cp:coreProperties>
</file>