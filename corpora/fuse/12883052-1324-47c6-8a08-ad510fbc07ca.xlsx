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PPI 003" sheetId="11" r:id="rId3"/>
    <sheet name="PPI 004" sheetId="12" r:id="rId4"/>
    <sheet name="Certification Page" sheetId="9" r:id="rId5"/>
    <sheet name="PCS Parameter Codes" sheetId="7" r:id="rId6"/>
    <sheet name="Dropdown Menu" sheetId="8" state="hidden" r:id="rId7"/>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4">'Certification Page'!$A$1:$S$22</definedName>
    <definedName name="_xlnm.Print_Area" localSheetId="5">'PCS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Sample">'Dropdown Menu'!$E$1:$E$5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2"/>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1"/>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0"/>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<sst xmlns="http://schemas.openxmlformats.org/spreadsheetml/2006/main" count="600" uniqueCount="403">
  <si>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</si>
  <si>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</si>
  <si>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</si>
  <si>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</si>
  <si>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</si>
  <si>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</si>
  <si>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</si>
  <si>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</si>
  <si>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</si>
  <si>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</si>
  <si>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</si>
  <si>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</si>
  <si>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</si>
  <si>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</si>
  <si>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</si>
  <si>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</si>
  <si>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</si>
  <si>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</si>
  <si>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</si>
  <si>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</si>
  <si>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</si>
  <si>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</si>
  <si>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</si>
  <si>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</si>
  <si>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</si>
  <si>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</si>
  <si>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</si>
  <si>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</si>
  <si>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</si>
  <si>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</si>
  <si>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</si>
  <si>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</si>
  <si>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</si>
  <si>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</si>
  <si>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</si>
  <si>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</si>
  <si>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</si>
  <si>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</si>
  <si>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</si>
  <si>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</si>
  <si>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</si>
  <si>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</si>
  <si>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</si>
  <si>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</si>
  <si>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</si>
  <si>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</si>
  <si>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</si>
  <si>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</si>
  <si>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</si>
  <si>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</si>
  <si>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</si>
  <si>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</si>
  <si>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</si>
  <si>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</si>
  <si>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</si>
  <si>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</si>
  <si>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</si>
  <si>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</si>
  <si>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</si>
  <si>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</si>
  <si>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</si>
  <si>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</si>
  <si>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</si>
  <si>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</si>
  <si>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</si>
  <si>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</si>
  <si>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</si>
  <si>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</si>
  <si>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</si>
  <si>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</si>
  <si>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</si>
  <si>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</si>
  <si>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</si>
  <si>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</si>
  <si>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</si>
  <si>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</si>
  <si>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</si>
  <si>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</si>
  <si>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</si>
  <si>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</si>
  <si>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</si>
  <si>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</si>
  <si>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</si>
  <si>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</si>
  <si>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</si>
  <si>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</si>
  <si>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</si>
  <si>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</si>
  <si>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</si>
  <si>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</si>
  <si>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</si>
  <si>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</si>
  <si>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</si>
  <si>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</si>
  <si>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</si>
  <si>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</si>
  <si>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</si>
  <si>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</si>
  <si>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</si>
  <si>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</si>
  <si>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</si>
  <si>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</si>
  <si>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</si>
  <si>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</si>
  <si>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</si>
  <si>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</si>
  <si>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</si>
  <si>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</si>
  <si>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</si>
  <si>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</si>
  <si>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</si>
  <si>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</si>
  <si>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</si>
  <si>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</si>
  <si>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</si>
  <si>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</si>
  <si>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</si>
  <si>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</si>
  <si>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</si>
  <si>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</si>
  <si>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</si>
  <si>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</si>
  <si>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</si>
  <si>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</si>
  <si>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</si>
  <si>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</si>
  <si>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</si>
  <si>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</si>
  <si>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</si>
  <si>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</si>
  <si>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</si>
  <si>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</si>
  <si>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</si>
  <si>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</si>
  <si>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</si>
  <si>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</si>
  <si>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</si>
  <si>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</si>
  <si>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</si>
  <si>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</si>
  <si>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</si>
  <si>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</si>
  <si>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</si>
  <si>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</si>
  <si>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</si>
  <si>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</si>
  <si>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</si>
  <si>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</si>
  <si>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</si>
  <si>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</si>
  <si>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</si>
  <si>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</si>
  <si>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</si>
  <si>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</si>
  <si>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</si>
  <si>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</si>
  <si>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</si>
  <si>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</si>
  <si>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</si>
  <si>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</si>
  <si>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</si>
  <si>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</si>
  <si>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</si>
  <si>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</si>
  <si>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</si>
  <si>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</si>
  <si>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</si>
  <si>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</si>
  <si>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</si>
  <si>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</si>
  <si>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</si>
  <si>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</si>
  <si>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</si>
  <si>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</si>
  <si>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</si>
  <si>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</si>
  <si>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</si>
  <si>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</si>
  <si>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</si>
  <si>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</si>
  <si>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</si>
  <si>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</si>
  <si>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</si>
  <si>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</si>
  <si>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</si>
  <si>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</si>
  <si>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</si>
  <si>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</si>
  <si>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</si>
  <si>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</si>
  <si>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</si>
  <si>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</si>
  <si>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</si>
  <si>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</si>
  <si>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</si>
  <si>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</si>
  <si>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</si>
  <si>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</si>
  <si>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</si>
  <si>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</si>
  <si>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</si>
  <si>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</si>
  <si>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</si>
  <si>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</si>
  <si>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</si>
  <si>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</si>
  <si>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</si>
  <si>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</si>
  <si>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</si>
  <si>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</si>
  <si>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</si>
  <si>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</si>
  <si>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</si>
  <si>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</si>
  <si>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</si>
  <si>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</si>
  <si>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</si>
  <si>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</si>
  <si>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</si>
  <si>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</si>
  <si>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</si>
  <si>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</si>
  <si>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</si>
  <si>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</si>
  <si>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</si>
  <si>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</si>
  <si>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</si>
  <si>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</si>
  <si>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</si>
  <si>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</si>
  <si>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</si>
  <si>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</si>
  <si>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</si>
  <si>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</si>
  <si>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</si>
  <si>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</si>
  <si>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</si>
  <si>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</si>
  <si>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</si>
  <si>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</si>
  <si>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</si>
  <si>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</si>
  <si>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</si>
  <si>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</si>
  <si>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</si>
  <si>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</si>
  <si>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</si>
  <si>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</si>
  <si>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</si>
  <si>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</si>
  <si>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</si>
  <si>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</si>
  <si>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</si>
  <si>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</si>
  <si>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</si>
  <si>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</si>
  <si>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</si>
  <si>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</si>
  <si>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</si>
  <si>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</si>
  <si>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</si>
  <si>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</si>
  <si>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</si>
  <si>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</si>
  <si>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</si>
  <si>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</si>
  <si>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</si>
  <si>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</si>
  <si>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</si>
  <si>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</si>
  <si>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</si>
  <si>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</si>
  <si>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</si>
  <si>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</si>
  <si>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</si>
  <si>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</si>
  <si>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</si>
  <si>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</si>
  <si>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</si>
  <si>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</si>
  <si>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</si>
  <si>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</si>
  <si>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</si>
  <si>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</si>
  <si>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</si>
  <si>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</si>
  <si>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</si>
  <si>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</si>
  <si>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</si>
  <si>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</si>
  <si>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</si>
  <si>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</si>
  <si>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</si>
  <si>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</si>
  <si>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</si>
  <si>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</si>
  <si>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</si>
  <si>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</si>
  <si>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</si>
  <si>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</si>
  <si>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</si>
  <si>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</si>
  <si>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</si>
  <si>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</si>
  <si>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</si>
  <si>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</si>
  <si>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</si>
  <si>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</si>
  <si>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</si>
  <si>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</si>
  <si>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</si>
  <si>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</si>
  <si>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</si>
  <si>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</si>
  <si>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</si>
  <si>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</si>
  <si>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</si>
  <si>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</si>
  <si>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</si>
  <si>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</si>
  <si>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</si>
  <si>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</si>
  <si>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</si>
  <si>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</si>
  <si>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</si>
  <si>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</si>
  <si>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</si>
  <si>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</si>
  <si>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</si>
  <si>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</si>
  <si>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</si>
  <si>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</si>
  <si>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</si>
  <si>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</si>
  <si>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</si>
  <si>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</si>
  <si>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</si>
  <si>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</si>
  <si>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</si>
  <si>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</si>
  <si>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</si>
  <si>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</si>
  <si>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</si>
  <si>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</si>
  <si>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</si>
  <si>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</si>
  <si>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</si>
  <si>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</si>
  <si>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</si>
  <si>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</si>
  <si>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</si>
  <si>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</si>
  <si>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</si>
  <si>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</si>
  <si>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</si>
  <si>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</si>
  <si>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</si>
  <si>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</si>
  <si>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</si>
  <si>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</si>
  <si>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</si>
  <si>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</si>
  <si>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</si>
  <si>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</si>
  <si>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</si>
  <si>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</si>
  <si>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</si>
  <si>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</si>
  <si>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</si>
  <si>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</si>
  <si>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</si>
  <si>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</si>
  <si>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</si>
  <si>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</si>
  <si>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</si>
  <si>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</si>
  <si>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</si>
  <si>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</si>
  <si>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</si>
  <si>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</si>
  <si>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</si>
  <si>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</si>
  <si>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</si>
  <si>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</si>
  <si>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</si>
  <si>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</si>
  <si>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</si>
  <si>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</si>
  <si>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</si>
  <si>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</si>
  <si>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</si>
  <si>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</si>
  <si>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</si>
  <si>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Continuous</t>
  </si>
  <si>
    <t>Calculated</t>
  </si>
  <si>
    <t>WQ0005790</t>
  </si>
  <si>
    <t>Daily</t>
  </si>
  <si>
    <t>See Permit</t>
  </si>
  <si>
    <t>3 x  Year</t>
  </si>
  <si>
    <t>3xYyear</t>
  </si>
  <si>
    <t>3xYear</t>
  </si>
  <si>
    <t>Oak Island WWTF</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</si>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</sst>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3" fillId="2" borderId="8" xfId="0" quotePrefix="1"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401</v>
      </c>
      <c r="H1" s="107"/>
      <c r="I1" s="107"/>
      <c r="J1" s="107"/>
      <c r="K1" s="108"/>
      <c r="L1" s="12" t="s">
        <v>65</v>
      </c>
      <c r="M1" s="109" t="s">
        <v>96</v>
      </c>
      <c r="N1" s="81"/>
      <c r="O1" s="12" t="s">
        <v>63</v>
      </c>
      <c r="P1" s="80"/>
      <c r="Q1" s="81"/>
      <c r="R1" s="13" t="s">
        <v>64</v>
      </c>
      <c r="S1" s="27"/>
      <c r="T1" s="3"/>
    </row>
    <row r="2" spans="1:20" ht="22.5" customHeight="1" thickBot="1">
      <c r="A2" s="82" t="s">
        <v>67</v>
      </c>
      <c r="B2" s="83"/>
      <c r="C2" s="14" t="s">
        <v>199</v>
      </c>
      <c r="D2" s="114" t="s">
        <v>370</v>
      </c>
      <c r="E2" s="115"/>
      <c r="F2" s="115"/>
      <c r="G2" s="115"/>
      <c r="H2" s="115"/>
      <c r="I2" s="115"/>
      <c r="J2" s="116"/>
      <c r="K2" s="114" t="s">
        <v>369</v>
      </c>
      <c r="L2" s="115"/>
      <c r="M2" s="115"/>
      <c r="N2" s="115"/>
      <c r="O2" s="115"/>
      <c r="P2" s="115"/>
      <c r="Q2" s="115"/>
      <c r="R2" s="115"/>
      <c r="S2" s="116"/>
    </row>
    <row r="3" spans="1:20" ht="18.75" customHeight="1" thickTop="1">
      <c r="A3" s="117" t="s">
        <v>61</v>
      </c>
      <c r="B3" s="118"/>
      <c r="C3" s="119"/>
      <c r="D3" s="38">
        <v>50050</v>
      </c>
      <c r="E3" s="18" t="s">
        <v>16</v>
      </c>
      <c r="F3" s="51" t="s">
        <v>41</v>
      </c>
      <c r="G3" s="18" t="s">
        <v>30</v>
      </c>
      <c r="H3" s="51" t="s">
        <v>35</v>
      </c>
      <c r="I3" s="18" t="s">
        <v>27</v>
      </c>
      <c r="J3" s="51" t="s">
        <v>48</v>
      </c>
      <c r="K3" s="18" t="s">
        <v>34</v>
      </c>
      <c r="L3" s="51" t="s">
        <v>24</v>
      </c>
      <c r="M3" s="18" t="s">
        <v>33</v>
      </c>
      <c r="N3" s="51">
        <v>70300</v>
      </c>
      <c r="O3" s="18" t="s">
        <v>45</v>
      </c>
      <c r="P3" s="51" t="s">
        <v>57</v>
      </c>
      <c r="Q3" s="18"/>
      <c r="R3" s="51"/>
      <c r="S3" s="30"/>
    </row>
    <row r="4" spans="1:20" ht="71.25" customHeight="1">
      <c r="A4" s="87" t="s">
        <v>69</v>
      </c>
      <c r="B4" s="15" t="s">
        <v>382</v>
      </c>
      <c r="C4" s="16" t="s">
        <v>383</v>
      </c>
      <c r="D4" s="41" t="s">
        <v>230</v>
      </c>
      <c r="E4" s="52" t="str">
        <f>IF(ISBLANK(E$3), " ", VLOOKUP(E$3,'PCS Parameter Codes'!$A$1:$D$76,2,FALSE))</f>
        <v>BOD5</v>
      </c>
      <c r="F4" s="53" t="str">
        <f>IF(ISBLANK(F$3), " ", VLOOKUP(F$3,'PCS Parameter Codes'!$A$1:$D$76,2,FALSE))</f>
        <v>Total Organic Carbon</v>
      </c>
      <c r="G4" s="52" t="str">
        <f>IF(ISBLANK(G$3), " ", VLOOKUP(G$3,'PCS Parameter Codes'!$A$1:$D$76,2,FALSE))</f>
        <v>Chloride</v>
      </c>
      <c r="H4" s="53" t="str">
        <f>IF(ISBLANK(H$3), " ", VLOOKUP(H$3,'PCS Parameter Codes'!$A$1:$D$76,2,FALSE))</f>
        <v>Total Residual Chlorine</v>
      </c>
      <c r="I4" s="52" t="str">
        <f>IF(ISBLANK(I$3), " ", VLOOKUP(I$3,'PCS Parameter Codes'!$A$1:$D$76,2,FALSE))</f>
        <v>Fecal Coliform - Broth</v>
      </c>
      <c r="J4" s="53" t="str">
        <f>IF(ISBLANK(J$3), " ", VLOOKUP(J$3,'PCS Parameter Codes'!$A$1:$D$76,2,FALSE))</f>
        <v>Ammonia</v>
      </c>
      <c r="K4" s="52" t="str">
        <f>IF(ISBLANK(K$3), " ", VLOOKUP(K$3,'PCS Parameter Codes'!$A$1:$D$76,2,FALSE))</f>
        <v>Total Kjeldahl Nitrogen</v>
      </c>
      <c r="L4" s="53" t="str">
        <f>IF(ISBLANK(L$3), " ", VLOOKUP(L$3,'PCS Parameter Codes'!$A$1:$D$76,2,FALSE))</f>
        <v>Nitrate</v>
      </c>
      <c r="M4" s="52" t="str">
        <f>IF(ISBLANK(M$3), " ", VLOOKUP(M$3,'PCS Parameter Codes'!$A$1:$D$76,2,FALSE))</f>
        <v>pH</v>
      </c>
      <c r="N4" s="53" t="str">
        <f>IF(ISBLANK(N$3), " ", VLOOKUP(N$3,'PCS Parameter Codes'!$A$1:$D$76,2,FALSE))</f>
        <v>Total Dissolved Solids</v>
      </c>
      <c r="O4" s="52" t="str">
        <f>IF(ISBLANK(O$3), " ", VLOOKUP(O$3,'PCS Parameter Codes'!$A$1:$D$76,2,FALSE))</f>
        <v>Total Suspended Solids</v>
      </c>
      <c r="P4" s="53" t="str">
        <f>IF(ISBLANK(P$3), " ", VLOOKUP(P$3,'PCS Parameter Codes'!$A$1:$D$76,2,FALSE))</f>
        <v>Turbidity</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8"/>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#/100 mL</v>
      </c>
      <c r="J5" s="42" t="str">
        <f>IF(ISBLANK(J$3), " ", VLOOKUP(J$3,'PCS Parameter Codes'!$A$1:$D$76,4,FALSE))</f>
        <v>mg/L</v>
      </c>
      <c r="K5" s="39" t="str">
        <f>IF(ISBLANK(K$3), " ", VLOOKUP(K$3,'PCS Parameter Codes'!$A$1:$D$76,4,FALSE))</f>
        <v>mg/L</v>
      </c>
      <c r="L5" s="42" t="str">
        <f>IF(ISBLANK(L$3), " ", VLOOKUP(L$3,'PCS Parameter Codes'!$A$1:$D$76,4,FALSE))</f>
        <v>mg/L</v>
      </c>
      <c r="M5" s="39" t="str">
        <f>IF(ISBLANK(M$3), " ", VLOOKUP(M$3,'PCS Parameter Codes'!$A$1:$D$76,4,FALSE))</f>
        <v>su</v>
      </c>
      <c r="N5" s="42" t="str">
        <f>IF(ISBLANK(N$3), " ", VLOOKUP(N$3,'PCS Parameter Codes'!$A$1:$D$76,4,FALSE))</f>
        <v>mg/L</v>
      </c>
      <c r="O5" s="39" t="str">
        <f>IF(ISBLANK(O$3), " ", VLOOKUP(O$3,'PCS Parameter Codes'!$A$1:$D$76,4,FALSE))</f>
        <v>mg/L</v>
      </c>
      <c r="P5" s="42" t="str">
        <f>IF(ISBLANK(P$3), " ", VLOOKUP(P$3,'PCS Parameter Codes'!$A$1:$D$76,4,FALSE))</f>
        <v>NTU</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4" t="s">
        <v>71</v>
      </c>
      <c r="B37" s="85"/>
      <c r="C37" s="8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5" t="s">
        <v>72</v>
      </c>
      <c r="B38" s="96"/>
      <c r="C38" s="97"/>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8" t="s">
        <v>73</v>
      </c>
      <c r="B39" s="99"/>
      <c r="C39" s="100"/>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2" t="s">
        <v>365</v>
      </c>
      <c r="B40" s="93"/>
      <c r="C40" s="94"/>
      <c r="D40" s="69" t="s">
        <v>368</v>
      </c>
      <c r="E40" s="66" t="s">
        <v>366</v>
      </c>
      <c r="F40" s="65" t="s">
        <v>367</v>
      </c>
      <c r="G40" s="66" t="s">
        <v>367</v>
      </c>
      <c r="H40" s="65" t="s">
        <v>367</v>
      </c>
      <c r="I40" s="66" t="s">
        <v>367</v>
      </c>
      <c r="J40" s="65" t="s">
        <v>366</v>
      </c>
      <c r="K40" s="66" t="s">
        <v>366</v>
      </c>
      <c r="L40" s="65" t="s">
        <v>366</v>
      </c>
      <c r="M40" s="66" t="s">
        <v>367</v>
      </c>
      <c r="N40" s="65" t="s">
        <v>367</v>
      </c>
      <c r="O40" s="66" t="s">
        <v>366</v>
      </c>
      <c r="P40" s="69" t="s">
        <v>368</v>
      </c>
      <c r="Q40" s="66"/>
      <c r="R40" s="65"/>
      <c r="S40" s="67"/>
    </row>
    <row r="41" spans="1:19" ht="15" customHeight="1">
      <c r="A41" s="89" t="s">
        <v>376</v>
      </c>
      <c r="B41" s="90"/>
      <c r="C41" s="91"/>
      <c r="D41" s="70">
        <v>180000</v>
      </c>
      <c r="E41" s="6">
        <v>10</v>
      </c>
      <c r="F41" s="68"/>
      <c r="G41" s="6"/>
      <c r="H41" s="68"/>
      <c r="I41" s="6">
        <v>14</v>
      </c>
      <c r="J41" s="68">
        <v>4</v>
      </c>
      <c r="K41" s="6"/>
      <c r="L41" s="68"/>
      <c r="M41" s="6"/>
      <c r="N41" s="68"/>
      <c r="O41" s="6">
        <v>5</v>
      </c>
      <c r="P41" s="68"/>
      <c r="Q41" s="6"/>
      <c r="R41" s="68"/>
      <c r="S41" s="59"/>
    </row>
    <row r="42" spans="1:19" ht="15" customHeight="1">
      <c r="A42" s="95" t="s">
        <v>377</v>
      </c>
      <c r="B42" s="112"/>
      <c r="C42" s="113"/>
      <c r="D42" s="70"/>
      <c r="E42" s="6">
        <v>15</v>
      </c>
      <c r="F42" s="68"/>
      <c r="G42" s="6"/>
      <c r="H42" s="68"/>
      <c r="I42" s="77">
        <v>25</v>
      </c>
      <c r="J42" s="68">
        <v>6</v>
      </c>
      <c r="K42" s="6"/>
      <c r="L42" s="68"/>
      <c r="M42" s="77" t="s">
        <v>402</v>
      </c>
      <c r="N42" s="68"/>
      <c r="O42" s="6">
        <v>10</v>
      </c>
      <c r="P42" s="68">
        <v>10</v>
      </c>
      <c r="Q42" s="6"/>
      <c r="R42" s="68"/>
      <c r="S42" s="59"/>
    </row>
    <row r="43" spans="1:19" ht="15" customHeight="1">
      <c r="A43" s="95" t="s">
        <v>378</v>
      </c>
      <c r="B43" s="110"/>
      <c r="C43" s="111"/>
      <c r="D43" s="71" t="s">
        <v>393</v>
      </c>
      <c r="E43" s="72" t="s">
        <v>397</v>
      </c>
      <c r="F43" s="73" t="s">
        <v>398</v>
      </c>
      <c r="G43" s="72" t="s">
        <v>399</v>
      </c>
      <c r="H43" s="73" t="s">
        <v>396</v>
      </c>
      <c r="I43" s="72" t="s">
        <v>397</v>
      </c>
      <c r="J43" s="73" t="s">
        <v>397</v>
      </c>
      <c r="K43" s="72" t="s">
        <v>397</v>
      </c>
      <c r="L43" s="73" t="s">
        <v>397</v>
      </c>
      <c r="M43" s="72" t="s">
        <v>399</v>
      </c>
      <c r="N43" s="73" t="s">
        <v>400</v>
      </c>
      <c r="O43" s="72" t="s">
        <v>397</v>
      </c>
      <c r="P43" s="73" t="s">
        <v>368</v>
      </c>
      <c r="Q43" s="72"/>
      <c r="R43" s="73"/>
      <c r="S43" s="74"/>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10">
    <dataValidation type="list" showInputMessage="1" showErrorMessage="1" sqref="L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 type="list" showInputMessage="1" showErrorMessage="1" sqref="E40:K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401</v>
      </c>
      <c r="H1" s="107"/>
      <c r="I1" s="107"/>
      <c r="J1" s="107"/>
      <c r="K1" s="108"/>
      <c r="L1" s="75" t="s">
        <v>65</v>
      </c>
      <c r="M1" s="109" t="s">
        <v>96</v>
      </c>
      <c r="N1" s="81"/>
      <c r="O1" s="75" t="s">
        <v>63</v>
      </c>
      <c r="P1" s="80"/>
      <c r="Q1" s="81"/>
      <c r="R1" s="76" t="s">
        <v>64</v>
      </c>
      <c r="S1" s="27"/>
      <c r="T1" s="3"/>
    </row>
    <row r="2" spans="1:20" ht="22.5" customHeight="1" thickBot="1">
      <c r="A2" s="82" t="s">
        <v>67</v>
      </c>
      <c r="B2" s="83"/>
      <c r="C2" s="14" t="s">
        <v>200</v>
      </c>
      <c r="D2" s="114" t="s">
        <v>370</v>
      </c>
      <c r="E2" s="115"/>
      <c r="F2" s="115"/>
      <c r="G2" s="115"/>
      <c r="H2" s="115"/>
      <c r="I2" s="115"/>
      <c r="J2" s="116"/>
      <c r="K2" s="114" t="s">
        <v>369</v>
      </c>
      <c r="L2" s="115"/>
      <c r="M2" s="115"/>
      <c r="N2" s="115"/>
      <c r="O2" s="115"/>
      <c r="P2" s="115"/>
      <c r="Q2" s="115"/>
      <c r="R2" s="115"/>
      <c r="S2" s="116"/>
    </row>
    <row r="3" spans="1:20" ht="18.75" customHeight="1" thickTop="1">
      <c r="A3" s="117" t="s">
        <v>61</v>
      </c>
      <c r="B3" s="118"/>
      <c r="C3" s="119"/>
      <c r="D3" s="38">
        <v>50050</v>
      </c>
      <c r="E3" s="18"/>
      <c r="F3" s="51"/>
      <c r="G3" s="18"/>
      <c r="H3" s="51"/>
      <c r="I3" s="18"/>
      <c r="J3" s="51"/>
      <c r="K3" s="18"/>
      <c r="L3" s="51"/>
      <c r="M3" s="18"/>
      <c r="N3" s="51"/>
      <c r="O3" s="18"/>
      <c r="P3" s="51"/>
      <c r="Q3" s="18"/>
      <c r="R3" s="51"/>
      <c r="S3" s="30"/>
    </row>
    <row r="4" spans="1:20" ht="71.25" customHeight="1">
      <c r="A4" s="87" t="s">
        <v>69</v>
      </c>
      <c r="B4" s="15" t="s">
        <v>382</v>
      </c>
      <c r="C4" s="16" t="s">
        <v>383</v>
      </c>
      <c r="D4" s="41" t="s">
        <v>230</v>
      </c>
      <c r="E4" s="52" t="str">
        <f>IF(ISBLANK(E$3), " ", VLOOKUP(E$3,'PCS Parameter Codes'!$A$1:$D$76,2,FALSE))</f>
        <v xml:space="preserve"> </v>
      </c>
      <c r="F4" s="53" t="str">
        <f>IF(ISBLANK(F$3), " ", VLOOKUP(F$3,'PCS Parameter Codes'!$A$1:$D$76,2,FALSE))</f>
        <v xml:space="preserve"> </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8"/>
      <c r="B5" s="17" t="s">
        <v>70</v>
      </c>
      <c r="C5" s="63" t="s">
        <v>66</v>
      </c>
      <c r="D5" s="64" t="s">
        <v>231</v>
      </c>
      <c r="E5" s="39" t="str">
        <f>IF(ISBLANK(E$3), " ", VLOOKUP(E$3,'PCS Parameter Codes'!$A$1:$D$76,4,FALSE))</f>
        <v xml:space="preserve"> </v>
      </c>
      <c r="F5" s="42" t="str">
        <f>IF(ISBLANK(F$3), " ", VLOOKUP(F$3,'PCS Parameter Codes'!$A$1:$D$76,4,FALSE))</f>
        <v xml:space="preserve"> </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4" t="s">
        <v>71</v>
      </c>
      <c r="B37" s="85"/>
      <c r="C37" s="8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5" t="s">
        <v>72</v>
      </c>
      <c r="B38" s="96"/>
      <c r="C38" s="97"/>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8" t="s">
        <v>73</v>
      </c>
      <c r="B39" s="99"/>
      <c r="C39" s="100"/>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2" t="s">
        <v>365</v>
      </c>
      <c r="B40" s="93"/>
      <c r="C40" s="94"/>
      <c r="D40" s="69" t="s">
        <v>368</v>
      </c>
      <c r="E40" s="66"/>
      <c r="F40" s="65"/>
      <c r="G40" s="66"/>
      <c r="H40" s="65"/>
      <c r="I40" s="66"/>
      <c r="J40" s="65"/>
      <c r="K40" s="66"/>
      <c r="L40" s="65"/>
      <c r="M40" s="66"/>
      <c r="N40" s="65"/>
      <c r="O40" s="66"/>
      <c r="P40" s="65"/>
      <c r="Q40" s="66"/>
      <c r="R40" s="65"/>
      <c r="S40" s="67"/>
    </row>
    <row r="41" spans="1:19" ht="15" customHeight="1">
      <c r="A41" s="89" t="s">
        <v>376</v>
      </c>
      <c r="B41" s="90"/>
      <c r="C41" s="91"/>
      <c r="D41" s="70">
        <v>400000</v>
      </c>
      <c r="E41" s="6"/>
      <c r="F41" s="68"/>
      <c r="G41" s="6"/>
      <c r="H41" s="68"/>
      <c r="I41" s="6"/>
      <c r="J41" s="68"/>
      <c r="K41" s="6"/>
      <c r="L41" s="68"/>
      <c r="M41" s="6"/>
      <c r="N41" s="68"/>
      <c r="O41" s="6"/>
      <c r="P41" s="68"/>
      <c r="Q41" s="6"/>
      <c r="R41" s="68"/>
      <c r="S41" s="59"/>
    </row>
    <row r="42" spans="1:19" ht="15" customHeight="1">
      <c r="A42" s="95" t="s">
        <v>377</v>
      </c>
      <c r="B42" s="112"/>
      <c r="C42" s="113"/>
      <c r="D42" s="70"/>
      <c r="E42" s="6"/>
      <c r="F42" s="68"/>
      <c r="G42" s="6"/>
      <c r="H42" s="68"/>
      <c r="I42" s="77"/>
      <c r="J42" s="68"/>
      <c r="K42" s="6"/>
      <c r="L42" s="68"/>
      <c r="M42" s="6"/>
      <c r="N42" s="68"/>
      <c r="O42" s="6"/>
      <c r="P42" s="68"/>
      <c r="Q42" s="6"/>
      <c r="R42" s="68"/>
      <c r="S42" s="59"/>
    </row>
    <row r="43" spans="1:19" ht="15" customHeight="1">
      <c r="A43" s="95" t="s">
        <v>378</v>
      </c>
      <c r="B43" s="110"/>
      <c r="C43" s="111"/>
      <c r="D43" s="71" t="s">
        <v>393</v>
      </c>
      <c r="E43" s="72"/>
      <c r="F43" s="73"/>
      <c r="G43" s="72"/>
      <c r="H43" s="73"/>
      <c r="I43" s="72"/>
      <c r="J43" s="73"/>
      <c r="K43" s="72"/>
      <c r="L43" s="73"/>
      <c r="M43" s="72"/>
      <c r="N43" s="73"/>
      <c r="O43" s="72"/>
      <c r="P43" s="73"/>
      <c r="Q43" s="72"/>
      <c r="R43" s="73"/>
      <c r="S43" s="74"/>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10">
    <dataValidation type="list" showInputMessage="1" showErrorMessage="1" sqref="E40:K40">
      <formula1>Sample</formula1>
    </dataValidation>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L40:S40">
      <formula1>SamplingType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401</v>
      </c>
      <c r="H1" s="107"/>
      <c r="I1" s="107"/>
      <c r="J1" s="107"/>
      <c r="K1" s="108"/>
      <c r="L1" s="75" t="s">
        <v>65</v>
      </c>
      <c r="M1" s="109" t="s">
        <v>96</v>
      </c>
      <c r="N1" s="81"/>
      <c r="O1" s="75" t="s">
        <v>63</v>
      </c>
      <c r="P1" s="80"/>
      <c r="Q1" s="81"/>
      <c r="R1" s="76" t="s">
        <v>64</v>
      </c>
      <c r="S1" s="27"/>
      <c r="T1" s="3"/>
    </row>
    <row r="2" spans="1:20" ht="22.5" customHeight="1" thickBot="1">
      <c r="A2" s="82" t="s">
        <v>67</v>
      </c>
      <c r="B2" s="83"/>
      <c r="C2" s="14" t="s">
        <v>201</v>
      </c>
      <c r="D2" s="114" t="s">
        <v>370</v>
      </c>
      <c r="E2" s="115"/>
      <c r="F2" s="115"/>
      <c r="G2" s="115"/>
      <c r="H2" s="115"/>
      <c r="I2" s="115"/>
      <c r="J2" s="116"/>
      <c r="K2" s="114" t="s">
        <v>369</v>
      </c>
      <c r="L2" s="115"/>
      <c r="M2" s="115"/>
      <c r="N2" s="115"/>
      <c r="O2" s="115"/>
      <c r="P2" s="115"/>
      <c r="Q2" s="115"/>
      <c r="R2" s="115"/>
      <c r="S2" s="116"/>
    </row>
    <row r="3" spans="1:20" ht="18.75" customHeight="1" thickTop="1">
      <c r="A3" s="117" t="s">
        <v>61</v>
      </c>
      <c r="B3" s="118"/>
      <c r="C3" s="119"/>
      <c r="D3" s="38">
        <v>50050</v>
      </c>
      <c r="E3" s="18"/>
      <c r="F3" s="51"/>
      <c r="G3" s="18"/>
      <c r="H3" s="51"/>
      <c r="I3" s="18"/>
      <c r="J3" s="51"/>
      <c r="K3" s="18"/>
      <c r="L3" s="51"/>
      <c r="M3" s="18"/>
      <c r="N3" s="51"/>
      <c r="O3" s="18"/>
      <c r="P3" s="51"/>
      <c r="Q3" s="18"/>
      <c r="R3" s="51"/>
      <c r="S3" s="30"/>
    </row>
    <row r="4" spans="1:20" ht="71.25" customHeight="1">
      <c r="A4" s="87" t="s">
        <v>69</v>
      </c>
      <c r="B4" s="15" t="s">
        <v>382</v>
      </c>
      <c r="C4" s="16" t="s">
        <v>383</v>
      </c>
      <c r="D4" s="41" t="s">
        <v>230</v>
      </c>
      <c r="E4" s="52" t="str">
        <f>IF(ISBLANK(E$3), " ", VLOOKUP(E$3,'PCS Parameter Codes'!$A$1:$D$76,2,FALSE))</f>
        <v xml:space="preserve"> </v>
      </c>
      <c r="F4" s="53" t="str">
        <f>IF(ISBLANK(F$3), " ", VLOOKUP(F$3,'PCS Parameter Codes'!$A$1:$D$76,2,FALSE))</f>
        <v xml:space="preserve"> </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8"/>
      <c r="B5" s="17" t="s">
        <v>70</v>
      </c>
      <c r="C5" s="63" t="s">
        <v>66</v>
      </c>
      <c r="D5" s="64" t="s">
        <v>231</v>
      </c>
      <c r="E5" s="39" t="str">
        <f>IF(ISBLANK(E$3), " ", VLOOKUP(E$3,'PCS Parameter Codes'!$A$1:$D$76,4,FALSE))</f>
        <v xml:space="preserve"> </v>
      </c>
      <c r="F5" s="42" t="str">
        <f>IF(ISBLANK(F$3), " ", VLOOKUP(F$3,'PCS Parameter Codes'!$A$1:$D$76,4,FALSE))</f>
        <v xml:space="preserve"> </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4" t="s">
        <v>71</v>
      </c>
      <c r="B37" s="85"/>
      <c r="C37" s="8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5" t="s">
        <v>72</v>
      </c>
      <c r="B38" s="96"/>
      <c r="C38" s="97"/>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8" t="s">
        <v>73</v>
      </c>
      <c r="B39" s="99"/>
      <c r="C39" s="100"/>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2" t="s">
        <v>365</v>
      </c>
      <c r="B40" s="93"/>
      <c r="C40" s="94"/>
      <c r="D40" s="69" t="s">
        <v>368</v>
      </c>
      <c r="E40" s="66"/>
      <c r="F40" s="65"/>
      <c r="G40" s="66"/>
      <c r="H40" s="65"/>
      <c r="I40" s="66"/>
      <c r="J40" s="65"/>
      <c r="K40" s="66"/>
      <c r="L40" s="65"/>
      <c r="M40" s="66"/>
      <c r="N40" s="65"/>
      <c r="O40" s="66"/>
      <c r="P40" s="65"/>
      <c r="Q40" s="66"/>
      <c r="R40" s="65"/>
      <c r="S40" s="67"/>
    </row>
    <row r="41" spans="1:19" ht="15" customHeight="1">
      <c r="A41" s="89" t="s">
        <v>376</v>
      </c>
      <c r="B41" s="90"/>
      <c r="C41" s="91"/>
      <c r="D41" s="70">
        <v>225951</v>
      </c>
      <c r="E41" s="6"/>
      <c r="F41" s="68"/>
      <c r="G41" s="6"/>
      <c r="H41" s="68"/>
      <c r="I41" s="6"/>
      <c r="J41" s="68"/>
      <c r="K41" s="6"/>
      <c r="L41" s="68"/>
      <c r="M41" s="6"/>
      <c r="N41" s="68"/>
      <c r="O41" s="6"/>
      <c r="P41" s="68"/>
      <c r="Q41" s="6"/>
      <c r="R41" s="68"/>
      <c r="S41" s="59"/>
    </row>
    <row r="42" spans="1:19" ht="15" customHeight="1">
      <c r="A42" s="95" t="s">
        <v>377</v>
      </c>
      <c r="B42" s="112"/>
      <c r="C42" s="113"/>
      <c r="D42" s="70"/>
      <c r="E42" s="6"/>
      <c r="F42" s="68"/>
      <c r="G42" s="6"/>
      <c r="H42" s="68"/>
      <c r="I42" s="77"/>
      <c r="J42" s="68"/>
      <c r="K42" s="6"/>
      <c r="L42" s="68"/>
      <c r="M42" s="6"/>
      <c r="N42" s="68"/>
      <c r="O42" s="6"/>
      <c r="P42" s="68"/>
      <c r="Q42" s="6"/>
      <c r="R42" s="68"/>
      <c r="S42" s="59"/>
    </row>
    <row r="43" spans="1:19" ht="15" customHeight="1">
      <c r="A43" s="95" t="s">
        <v>378</v>
      </c>
      <c r="B43" s="110"/>
      <c r="C43" s="111"/>
      <c r="D43" s="71" t="s">
        <v>393</v>
      </c>
      <c r="E43" s="72"/>
      <c r="F43" s="73"/>
      <c r="G43" s="72"/>
      <c r="H43" s="73"/>
      <c r="I43" s="72"/>
      <c r="J43" s="73"/>
      <c r="K43" s="72"/>
      <c r="L43" s="73"/>
      <c r="M43" s="72"/>
      <c r="N43" s="73"/>
      <c r="O43" s="72"/>
      <c r="P43" s="73"/>
      <c r="Q43" s="72"/>
      <c r="R43" s="73"/>
      <c r="S43" s="74"/>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10">
    <dataValidation type="list" showInputMessage="1" showErrorMessage="1" sqref="E40:K40">
      <formula1>Sample</formula1>
    </dataValidation>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L40:S40">
      <formula1>SamplingType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401</v>
      </c>
      <c r="H1" s="107"/>
      <c r="I1" s="107"/>
      <c r="J1" s="107"/>
      <c r="K1" s="108"/>
      <c r="L1" s="78" t="s">
        <v>65</v>
      </c>
      <c r="M1" s="109" t="s">
        <v>96</v>
      </c>
      <c r="N1" s="81"/>
      <c r="O1" s="78" t="s">
        <v>63</v>
      </c>
      <c r="P1" s="80"/>
      <c r="Q1" s="81"/>
      <c r="R1" s="79" t="s">
        <v>64</v>
      </c>
      <c r="S1" s="27"/>
      <c r="T1" s="3"/>
    </row>
    <row r="2" spans="1:20" ht="22.5" customHeight="1" thickBot="1">
      <c r="A2" s="82" t="s">
        <v>67</v>
      </c>
      <c r="B2" s="83"/>
      <c r="C2" s="14" t="s">
        <v>202</v>
      </c>
      <c r="D2" s="114" t="s">
        <v>370</v>
      </c>
      <c r="E2" s="115"/>
      <c r="F2" s="115"/>
      <c r="G2" s="115"/>
      <c r="H2" s="115"/>
      <c r="I2" s="115"/>
      <c r="J2" s="116"/>
      <c r="K2" s="114" t="s">
        <v>369</v>
      </c>
      <c r="L2" s="115"/>
      <c r="M2" s="115"/>
      <c r="N2" s="115"/>
      <c r="O2" s="115"/>
      <c r="P2" s="115"/>
      <c r="Q2" s="115"/>
      <c r="R2" s="115"/>
      <c r="S2" s="116"/>
    </row>
    <row r="3" spans="1:20" ht="18.75" customHeight="1" thickTop="1">
      <c r="A3" s="117" t="s">
        <v>61</v>
      </c>
      <c r="B3" s="118"/>
      <c r="C3" s="119"/>
      <c r="D3" s="38">
        <v>50050</v>
      </c>
      <c r="E3" s="18"/>
      <c r="F3" s="51"/>
      <c r="G3" s="18"/>
      <c r="H3" s="51"/>
      <c r="I3" s="18"/>
      <c r="J3" s="51"/>
      <c r="K3" s="18"/>
      <c r="L3" s="51"/>
      <c r="M3" s="18"/>
      <c r="N3" s="51"/>
      <c r="O3" s="18"/>
      <c r="P3" s="51"/>
      <c r="Q3" s="18"/>
      <c r="R3" s="51"/>
      <c r="S3" s="30"/>
    </row>
    <row r="4" spans="1:20" ht="71.25" customHeight="1">
      <c r="A4" s="87" t="s">
        <v>69</v>
      </c>
      <c r="B4" s="15" t="s">
        <v>382</v>
      </c>
      <c r="C4" s="16" t="s">
        <v>383</v>
      </c>
      <c r="D4" s="41" t="s">
        <v>230</v>
      </c>
      <c r="E4" s="52" t="str">
        <f>IF(ISBLANK(E$3), " ", VLOOKUP(E$3,'PCS Parameter Codes'!$A$1:$D$76,2,FALSE))</f>
        <v xml:space="preserve"> </v>
      </c>
      <c r="F4" s="53" t="str">
        <f>IF(ISBLANK(F$3), " ", VLOOKUP(F$3,'PCS Parameter Codes'!$A$1:$D$76,2,FALSE))</f>
        <v xml:space="preserve"> </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8"/>
      <c r="B5" s="17" t="s">
        <v>70</v>
      </c>
      <c r="C5" s="63" t="s">
        <v>66</v>
      </c>
      <c r="D5" s="64" t="s">
        <v>231</v>
      </c>
      <c r="E5" s="39" t="str">
        <f>IF(ISBLANK(E$3), " ", VLOOKUP(E$3,'PCS Parameter Codes'!$A$1:$D$76,4,FALSE))</f>
        <v xml:space="preserve"> </v>
      </c>
      <c r="F5" s="42" t="str">
        <f>IF(ISBLANK(F$3), " ", VLOOKUP(F$3,'PCS Parameter Codes'!$A$1:$D$76,4,FALSE))</f>
        <v xml:space="preserve"> </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84" t="s">
        <v>71</v>
      </c>
      <c r="B37" s="85"/>
      <c r="C37" s="86"/>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5" t="s">
        <v>72</v>
      </c>
      <c r="B38" s="96"/>
      <c r="C38" s="97"/>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8" t="s">
        <v>73</v>
      </c>
      <c r="B39" s="99"/>
      <c r="C39" s="100"/>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92" t="s">
        <v>365</v>
      </c>
      <c r="B40" s="93"/>
      <c r="C40" s="94"/>
      <c r="D40" s="69" t="s">
        <v>368</v>
      </c>
      <c r="E40" s="66"/>
      <c r="F40" s="65"/>
      <c r="G40" s="66"/>
      <c r="H40" s="65"/>
      <c r="I40" s="66"/>
      <c r="J40" s="65"/>
      <c r="K40" s="66"/>
      <c r="L40" s="65"/>
      <c r="M40" s="66"/>
      <c r="N40" s="65"/>
      <c r="O40" s="66"/>
      <c r="P40" s="65"/>
      <c r="Q40" s="66"/>
      <c r="R40" s="65"/>
      <c r="S40" s="67"/>
    </row>
    <row r="41" spans="1:19" ht="15" customHeight="1">
      <c r="A41" s="89" t="s">
        <v>376</v>
      </c>
      <c r="B41" s="90"/>
      <c r="C41" s="91"/>
      <c r="D41" s="70">
        <v>180000</v>
      </c>
      <c r="E41" s="6"/>
      <c r="F41" s="68"/>
      <c r="G41" s="6"/>
      <c r="H41" s="68"/>
      <c r="I41" s="6"/>
      <c r="J41" s="68"/>
      <c r="K41" s="6"/>
      <c r="L41" s="68"/>
      <c r="M41" s="6"/>
      <c r="N41" s="68"/>
      <c r="O41" s="6"/>
      <c r="P41" s="68"/>
      <c r="Q41" s="6"/>
      <c r="R41" s="68"/>
      <c r="S41" s="59"/>
    </row>
    <row r="42" spans="1:19" ht="15" customHeight="1">
      <c r="A42" s="95" t="s">
        <v>377</v>
      </c>
      <c r="B42" s="112"/>
      <c r="C42" s="113"/>
      <c r="D42" s="70"/>
      <c r="E42" s="6"/>
      <c r="F42" s="68"/>
      <c r="G42" s="6"/>
      <c r="H42" s="68"/>
      <c r="I42" s="77"/>
      <c r="J42" s="68"/>
      <c r="K42" s="6"/>
      <c r="L42" s="68"/>
      <c r="M42" s="6"/>
      <c r="N42" s="68"/>
      <c r="O42" s="6"/>
      <c r="P42" s="68"/>
      <c r="Q42" s="6"/>
      <c r="R42" s="68"/>
      <c r="S42" s="59"/>
    </row>
    <row r="43" spans="1:19" ht="15" customHeight="1">
      <c r="A43" s="95" t="s">
        <v>378</v>
      </c>
      <c r="B43" s="110"/>
      <c r="C43" s="111"/>
      <c r="D43" s="71" t="s">
        <v>393</v>
      </c>
      <c r="E43" s="72"/>
      <c r="F43" s="73"/>
      <c r="G43" s="72"/>
      <c r="H43" s="73"/>
      <c r="I43" s="72"/>
      <c r="J43" s="73"/>
      <c r="K43" s="72"/>
      <c r="L43" s="73"/>
      <c r="M43" s="72"/>
      <c r="N43" s="73"/>
      <c r="O43" s="72"/>
      <c r="P43" s="73"/>
      <c r="Q43" s="72"/>
      <c r="R43" s="73"/>
      <c r="S43" s="74"/>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10">
    <dataValidation type="list" showInputMessage="1" showErrorMessage="1" sqref="L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 type="list" showInputMessage="1" showErrorMessage="1" sqref="E40:K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sheetPr codeName="Sheet2"/>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7" t="s">
        <v>82</v>
      </c>
      <c r="B1" s="128"/>
      <c r="C1" s="128"/>
      <c r="D1" s="128"/>
      <c r="E1" s="128"/>
      <c r="F1" s="128"/>
      <c r="G1" s="128"/>
      <c r="H1" s="128"/>
      <c r="I1" s="128"/>
      <c r="J1" s="129"/>
      <c r="K1" s="130" t="s">
        <v>83</v>
      </c>
      <c r="L1" s="128"/>
      <c r="M1" s="128"/>
      <c r="N1" s="128"/>
      <c r="O1" s="128"/>
      <c r="P1" s="128"/>
      <c r="Q1" s="128"/>
      <c r="R1" s="128"/>
      <c r="S1" s="131"/>
      <c r="T1" s="25"/>
    </row>
    <row r="2" spans="1:20" ht="30" customHeight="1">
      <c r="A2" s="132" t="s">
        <v>77</v>
      </c>
      <c r="B2" s="133"/>
      <c r="C2" s="134"/>
      <c r="D2" s="135"/>
      <c r="E2" s="135"/>
      <c r="F2" s="135"/>
      <c r="G2" s="135"/>
      <c r="H2" s="135"/>
      <c r="I2" s="135"/>
      <c r="J2" s="136"/>
      <c r="K2" s="28"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9"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05" t="s">
        <v>75</v>
      </c>
      <c r="B8" s="147"/>
      <c r="C8" s="147"/>
      <c r="D8" s="147"/>
      <c r="E8" s="147"/>
      <c r="F8" s="147"/>
      <c r="G8" s="147"/>
      <c r="H8" s="147"/>
      <c r="I8" s="147"/>
      <c r="J8" s="147"/>
      <c r="K8" s="148" t="s">
        <v>76</v>
      </c>
      <c r="L8" s="147"/>
      <c r="M8" s="147"/>
      <c r="N8" s="147"/>
      <c r="O8" s="147"/>
      <c r="P8" s="147"/>
      <c r="Q8" s="147"/>
      <c r="R8" s="147"/>
      <c r="S8" s="149"/>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4"/>
      <c r="E10" s="137"/>
      <c r="F10" s="137"/>
      <c r="G10" s="137"/>
      <c r="H10" s="137"/>
      <c r="I10" s="137"/>
      <c r="J10" s="160"/>
      <c r="K10" s="161" t="s">
        <v>216</v>
      </c>
      <c r="L10" s="159"/>
      <c r="M10" s="150"/>
      <c r="N10" s="137"/>
      <c r="O10" s="137"/>
      <c r="P10" s="137"/>
      <c r="Q10" s="137"/>
      <c r="R10" s="137"/>
      <c r="S10" s="138"/>
    </row>
    <row r="11" spans="1:20" ht="30.75" customHeight="1">
      <c r="A11" s="158" t="s">
        <v>221</v>
      </c>
      <c r="B11" s="159"/>
      <c r="C11" s="134"/>
      <c r="D11" s="134"/>
      <c r="E11" s="162" t="s">
        <v>78</v>
      </c>
      <c r="F11" s="159"/>
      <c r="G11" s="134"/>
      <c r="H11" s="137"/>
      <c r="I11" s="137"/>
      <c r="J11" s="160"/>
      <c r="K11" s="161" t="s">
        <v>217</v>
      </c>
      <c r="L11" s="159"/>
      <c r="M11" s="159"/>
      <c r="N11" s="150"/>
      <c r="O11" s="137"/>
      <c r="P11" s="137"/>
      <c r="Q11" s="137"/>
      <c r="R11" s="137"/>
      <c r="S11" s="138"/>
    </row>
    <row r="12" spans="1:20" ht="30.75" customHeight="1">
      <c r="A12" s="165" t="s">
        <v>222</v>
      </c>
      <c r="B12" s="166"/>
      <c r="C12" s="166"/>
      <c r="D12" s="166"/>
      <c r="E12" s="166"/>
      <c r="F12" s="166"/>
      <c r="G12" s="166"/>
      <c r="H12" s="166"/>
      <c r="I12" s="166"/>
      <c r="J12" s="167"/>
      <c r="K12" s="161" t="s">
        <v>218</v>
      </c>
      <c r="L12" s="159"/>
      <c r="M12" s="134"/>
      <c r="N12" s="137"/>
      <c r="O12" s="137"/>
      <c r="P12" s="168" t="s">
        <v>364</v>
      </c>
      <c r="Q12" s="159"/>
      <c r="R12" s="169"/>
      <c r="S12" s="170"/>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3"/>
      <c r="B17" s="164"/>
      <c r="C17" s="164"/>
      <c r="D17" s="164"/>
      <c r="E17" s="164"/>
      <c r="F17" s="164"/>
      <c r="G17" s="164"/>
      <c r="H17" s="164"/>
      <c r="I17" s="164"/>
      <c r="J17" s="164"/>
      <c r="K17" s="164"/>
      <c r="L17" s="164"/>
      <c r="M17" s="164"/>
      <c r="N17" s="164"/>
      <c r="O17" s="164"/>
      <c r="P17" s="164"/>
      <c r="Q17" s="164"/>
      <c r="R17" s="164"/>
      <c r="S17" s="164"/>
    </row>
    <row r="18" spans="1:19" ht="15" customHeight="1">
      <c r="A18" s="163" t="s">
        <v>85</v>
      </c>
      <c r="B18" s="164"/>
      <c r="C18" s="164"/>
      <c r="D18" s="164"/>
      <c r="E18" s="164"/>
      <c r="F18" s="164"/>
      <c r="G18" s="164"/>
      <c r="H18" s="164"/>
      <c r="I18" s="164"/>
      <c r="J18" s="164"/>
      <c r="K18" s="164"/>
      <c r="L18" s="164"/>
      <c r="M18" s="164"/>
      <c r="N18" s="164"/>
      <c r="O18" s="164"/>
      <c r="P18" s="164"/>
      <c r="Q18" s="164"/>
      <c r="R18" s="164"/>
      <c r="S18" s="164"/>
    </row>
    <row r="19" spans="1:19" ht="15" customHeight="1">
      <c r="A19" s="163" t="s">
        <v>55</v>
      </c>
      <c r="B19" s="164"/>
      <c r="C19" s="164"/>
      <c r="D19" s="164"/>
      <c r="E19" s="164"/>
      <c r="F19" s="164"/>
      <c r="G19" s="164"/>
      <c r="H19" s="164"/>
      <c r="I19" s="164"/>
      <c r="J19" s="164"/>
      <c r="K19" s="164"/>
      <c r="L19" s="164"/>
      <c r="M19" s="164"/>
      <c r="N19" s="164"/>
      <c r="O19" s="164"/>
      <c r="P19" s="164"/>
      <c r="Q19" s="164"/>
      <c r="R19" s="164"/>
      <c r="S19" s="164"/>
    </row>
    <row r="20" spans="1:19" ht="15" customHeight="1">
      <c r="A20" s="163" t="s">
        <v>68</v>
      </c>
      <c r="B20" s="164"/>
      <c r="C20" s="164"/>
      <c r="D20" s="164"/>
      <c r="E20" s="164"/>
      <c r="F20" s="164"/>
      <c r="G20" s="164"/>
      <c r="H20" s="164"/>
      <c r="I20" s="164"/>
      <c r="J20" s="164"/>
      <c r="K20" s="164"/>
      <c r="L20" s="164"/>
      <c r="M20" s="164"/>
      <c r="N20" s="164"/>
      <c r="O20" s="164"/>
      <c r="P20" s="164"/>
      <c r="Q20" s="164"/>
      <c r="R20" s="164"/>
      <c r="S20" s="164"/>
    </row>
    <row r="21" spans="1:19" ht="15" customHeight="1">
      <c r="A21" s="163" t="s">
        <v>1</v>
      </c>
      <c r="B21" s="164"/>
      <c r="C21" s="164"/>
      <c r="D21" s="164"/>
      <c r="E21" s="164"/>
      <c r="F21" s="164"/>
      <c r="G21" s="164"/>
      <c r="H21" s="164"/>
      <c r="I21" s="164"/>
      <c r="J21" s="164"/>
      <c r="K21" s="164"/>
      <c r="L21" s="164"/>
      <c r="M21" s="164"/>
      <c r="N21" s="164"/>
      <c r="O21" s="164"/>
      <c r="P21" s="164"/>
      <c r="Q21" s="164"/>
      <c r="R21" s="164"/>
      <c r="S21" s="164"/>
    </row>
    <row r="22" spans="1:19" ht="15" customHeight="1">
      <c r="A22" s="163" t="s">
        <v>84</v>
      </c>
      <c r="B22" s="164"/>
      <c r="C22" s="164"/>
      <c r="D22" s="164"/>
      <c r="E22" s="164"/>
      <c r="F22" s="164"/>
      <c r="G22" s="164"/>
      <c r="H22" s="164"/>
      <c r="I22" s="164"/>
      <c r="J22" s="164"/>
      <c r="K22" s="164"/>
      <c r="L22" s="164"/>
      <c r="M22" s="164"/>
      <c r="N22" s="164"/>
      <c r="O22" s="164"/>
      <c r="P22" s="164"/>
      <c r="Q22" s="164"/>
      <c r="R22" s="164"/>
      <c r="S22" s="164"/>
    </row>
  </sheetData>
  <sheetProtection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sheetPr codeName="Sheet3"/>
  <dimension ref="A2:F101"/>
  <sheetViews>
    <sheetView workbookViewId="0">
      <selection activeCell="E1" sqref="E1:E5"/>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394</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PPI 001</vt: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Sample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2011-05-13T12:56:09Z</cp:lastPrinted>
  <dcterms:created xsi:type="dcterms:W3CDTF">2003-04-30T19:20:22Z</dcterms:created>
  <dcterms:modified xsi:type="dcterms:W3CDTF">2012-03-20T17:58:27Z</dcterms:modified>
</cp:coreProperties>
</file>