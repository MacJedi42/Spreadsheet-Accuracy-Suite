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9440" windowHeight="1156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22" i="1" l="1"/>
  <c r="F20" i="1"/>
  <c r="F18" i="1"/>
  <c r="E4" i="1"/>
  <c r="E6" i="1"/>
  <c r="H25" i="1" l="1"/>
  <c r="F33" i="1" l="1"/>
  <c r="F25" i="1"/>
  <c r="E3" i="1"/>
  <c r="E8" i="1" s="1"/>
</calcChain>
</file>

<file path=xl/sharedStrings.xml><?xml version="1.0" encoding="utf-8"?>
<sst xmlns="http://schemas.openxmlformats.org/spreadsheetml/2006/main" count="94" uniqueCount="74">
  <si>
    <t>Program Review Funded by Landcorp</t>
  </si>
  <si>
    <t>Priority Rank</t>
  </si>
  <si>
    <t>Dept</t>
  </si>
  <si>
    <t>Lead Person</t>
  </si>
  <si>
    <t>Sector</t>
  </si>
  <si>
    <t>T-1</t>
  </si>
  <si>
    <t>ASC</t>
  </si>
  <si>
    <t>Tim Karas</t>
  </si>
  <si>
    <t>OI</t>
  </si>
  <si>
    <t>T-3</t>
  </si>
  <si>
    <t>Marketing</t>
  </si>
  <si>
    <t>Peter Anning/Doug Masury</t>
  </si>
  <si>
    <t>Pres Off</t>
  </si>
  <si>
    <t>T-4</t>
  </si>
  <si>
    <t>Biology</t>
  </si>
  <si>
    <t>Danny Nguyen</t>
  </si>
  <si>
    <t>T-5</t>
  </si>
  <si>
    <t>Chemistry</t>
  </si>
  <si>
    <t>T-6</t>
  </si>
  <si>
    <t>Student Services</t>
  </si>
  <si>
    <t>Penny Johnson</t>
  </si>
  <si>
    <t>SS</t>
  </si>
  <si>
    <t>T-8</t>
  </si>
  <si>
    <t>CSIT</t>
  </si>
  <si>
    <t>Mina Jahan</t>
  </si>
  <si>
    <t>T-13</t>
  </si>
  <si>
    <t>A&amp;R</t>
  </si>
  <si>
    <t>Rita Grogan</t>
  </si>
  <si>
    <t xml:space="preserve">M-2 </t>
  </si>
  <si>
    <t>B-1</t>
  </si>
  <si>
    <t>Rollover Item</t>
  </si>
  <si>
    <t>Office Instruction</t>
  </si>
  <si>
    <t>Leandra Martin</t>
  </si>
  <si>
    <t>Funding Request Description</t>
  </si>
  <si>
    <t>ASC Software</t>
  </si>
  <si>
    <t>Bioscience Laptops</t>
  </si>
  <si>
    <t>Chem Balances</t>
  </si>
  <si>
    <t>Student Services Tech Equipment</t>
  </si>
  <si>
    <t xml:space="preserve">CSIT Licenses </t>
  </si>
  <si>
    <t>A&amp;R Overtime for Outreach</t>
  </si>
  <si>
    <t>Bioscience Microscopes</t>
  </si>
  <si>
    <t>ASC Chairs</t>
  </si>
  <si>
    <t>SLO Coordinator</t>
  </si>
  <si>
    <t>Funded Amnt. From PR</t>
  </si>
  <si>
    <t>Account</t>
  </si>
  <si>
    <t>120-220911-6110-55500-831</t>
  </si>
  <si>
    <t>120-220913-6770-55400-831</t>
  </si>
  <si>
    <t>120-220913-6770-54120-831</t>
  </si>
  <si>
    <t>120-220911-0400-56400-831</t>
  </si>
  <si>
    <t>120-220911-1900-56400-831</t>
  </si>
  <si>
    <t>120-220912-6400-56400-831</t>
  </si>
  <si>
    <t>120-220911-0700-55500-831</t>
  </si>
  <si>
    <t>120-220912-6200-52310-831</t>
  </si>
  <si>
    <t>Office of Instruction</t>
  </si>
  <si>
    <t>President Office</t>
  </si>
  <si>
    <t>Admin Services</t>
  </si>
  <si>
    <t>Prof Development</t>
  </si>
  <si>
    <t>Land Corp Balance as of July 31, 2013</t>
  </si>
  <si>
    <t>FY13/14 Landcorp Funding</t>
  </si>
  <si>
    <t>Total Available</t>
  </si>
  <si>
    <t>FY13/14 - One Time reduction</t>
  </si>
  <si>
    <t>FY13/14 - Program Review Award</t>
  </si>
  <si>
    <t>FY13/14 - Admin + Professional</t>
  </si>
  <si>
    <t>Unassigned Budget Available</t>
  </si>
  <si>
    <t>To support FY12/13 Fund 100 deficit</t>
  </si>
  <si>
    <t>Pending</t>
  </si>
  <si>
    <t>120-220911-6110-54210-831</t>
  </si>
  <si>
    <t>120-220911-6010-51450-831</t>
  </si>
  <si>
    <t>120-220912-6010-5xxxx-831</t>
  </si>
  <si>
    <t>120-220913-6010-5xxxx-831</t>
  </si>
  <si>
    <t>120-220911-6010-54110-831</t>
  </si>
  <si>
    <t>120-220914-6010-55160-831</t>
  </si>
  <si>
    <t>120-220916-6010-5xxxx-831</t>
  </si>
  <si>
    <t>ANNAPISI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</si>
</sst>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Border="1"/>
    <xf numFmtId="164" fontId="0" fillId="0" borderId="2" xfId="2" applyNumberFormat="1" applyFont="1" applyBorder="1"/>
    <xf numFmtId="6" fontId="0" fillId="0" borderId="2" xfId="0" applyNumberFormat="1" applyBorder="1"/>
    <xf numFmtId="43" fontId="0" fillId="0" borderId="2" xfId="1" applyFont="1" applyBorder="1"/>
    <xf numFmtId="43" fontId="0" fillId="0" borderId="3" xfId="1" applyFont="1" applyBorder="1"/>
    <xf numFmtId="164" fontId="0" fillId="0" borderId="0" xfId="2" applyNumberFormat="1" applyFont="1"/>
    <xf numFmtId="43" fontId="0" fillId="0" borderId="0" xfId="1" applyFont="1"/>
    <xf numFmtId="0" fontId="0" fillId="0" borderId="0" xfId="0"/>
    <xf numFmtId="0" fontId="0" fillId="0" borderId="0" xfId="0" applyFill="1"/>
    <xf numFmtId="0" fontId="2" fillId="2" borderId="1" xfId="0" applyFont="1" applyFill="1" applyBorder="1" applyAlignment="1">
      <alignment horizontal="center" wrapText="1"/>
    </xf>
    <xf numFmtId="0" fontId="4" fillId="2" borderId="1" xfId="3" applyFont="1" applyFill="1" applyBorder="1" applyAlignment="1">
      <alignment horizontal="center" wrapText="1"/>
    </xf>
    <xf numFmtId="0" fontId="0" fillId="0" borderId="0" xfId="0" applyFill="1"/>
    <xf numFmtId="0" fontId="2" fillId="2" borderId="1" xfId="0" applyFont="1" applyFill="1" applyBorder="1" applyAlignment="1">
      <alignment horizontal="center" wrapText="1"/>
    </xf>
    <xf numFmtId="0" fontId="0" fillId="0" borderId="0" xfId="0"/>
    <xf numFmtId="6" fontId="0" fillId="0" borderId="0" xfId="0" applyNumberFormat="1" applyFill="1"/>
    <xf numFmtId="0" fontId="2" fillId="2" borderId="1" xfId="0" applyFont="1" applyFill="1" applyBorder="1" applyAlignment="1">
      <alignment horizontal="center" wrapText="1"/>
    </xf>
    <xf numFmtId="0" fontId="0" fillId="0" borderId="0" xfId="0"/>
    <xf numFmtId="6" fontId="0" fillId="0" borderId="0" xfId="0" applyNumberFormat="1" applyFill="1"/>
    <xf numFmtId="0" fontId="2" fillId="2" borderId="1" xfId="0" applyFont="1" applyFill="1" applyBorder="1" applyAlignment="1">
      <alignment horizontal="center" wrapText="1"/>
    </xf>
    <xf numFmtId="0" fontId="0" fillId="0" borderId="0" xfId="0"/>
    <xf numFmtId="6" fontId="0" fillId="3" borderId="0" xfId="0" applyNumberFormat="1" applyFill="1"/>
    <xf numFmtId="44" fontId="0" fillId="0" borderId="0" xfId="2" applyFont="1"/>
  </cellXfs>
  <cellStyles count="5">
    <cellStyle name="Comma" xfId="1" builtinId="3"/>
    <cellStyle name="Currency" xfId="2" builtinId="4"/>
    <cellStyle name="Currency 2" xfId="4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tabSelected="1" workbookViewId="0">
      <selection activeCell="F1" sqref="F1"/>
    </sheetView>
  </sheetViews>
  <sheetFormatPr defaultRowHeight="15.75" x14ac:dyDescent="0.25"/>
  <cols>
    <col min="1" max="1" width="32.125" bestFit="1" customWidth="1"/>
    <col min="3" max="3" width="23.125" bestFit="1" customWidth="1"/>
    <col min="5" max="5" width="28.125" bestFit="1" customWidth="1"/>
    <col min="6" max="6" width="11.125" bestFit="1" customWidth="1"/>
    <col min="7" max="7" width="24.75" bestFit="1" customWidth="1"/>
    <col min="8" max="8" width="13.125" bestFit="1" customWidth="1"/>
  </cols>
  <sheetData>
    <row r="1" spans="1:7" s="20" customFormat="1" x14ac:dyDescent="0.25">
      <c r="A1" s="20" t="s">
        <v>57</v>
      </c>
      <c r="E1" s="7">
        <v>333097.76</v>
      </c>
    </row>
    <row r="2" spans="1:7" s="20" customFormat="1" x14ac:dyDescent="0.25">
      <c r="A2" s="20" t="s">
        <v>58</v>
      </c>
      <c r="E2" s="5">
        <v>284247</v>
      </c>
    </row>
    <row r="3" spans="1:7" s="20" customFormat="1" x14ac:dyDescent="0.25">
      <c r="C3" s="20" t="s">
        <v>59</v>
      </c>
      <c r="E3" s="7">
        <f>SUM(E1:E2)</f>
        <v>617344.76</v>
      </c>
    </row>
    <row r="4" spans="1:7" s="20" customFormat="1" x14ac:dyDescent="0.25">
      <c r="C4" s="20" t="s">
        <v>64</v>
      </c>
      <c r="E4" s="7">
        <f>-80981.22+80981.22</f>
        <v>0</v>
      </c>
    </row>
    <row r="5" spans="1:7" s="20" customFormat="1" x14ac:dyDescent="0.25">
      <c r="C5" s="20" t="s">
        <v>60</v>
      </c>
      <c r="E5" s="7">
        <v>-125776</v>
      </c>
    </row>
    <row r="6" spans="1:7" s="20" customFormat="1" x14ac:dyDescent="0.25">
      <c r="C6" s="20" t="s">
        <v>61</v>
      </c>
      <c r="E6" s="7">
        <f>-142500+8000+45000</f>
        <v>-89500</v>
      </c>
    </row>
    <row r="7" spans="1:7" s="20" customFormat="1" x14ac:dyDescent="0.25">
      <c r="C7" s="20" t="s">
        <v>62</v>
      </c>
      <c r="E7" s="7">
        <v>-100000</v>
      </c>
    </row>
    <row r="8" spans="1:7" s="20" customFormat="1" ht="16.5" thickBot="1" x14ac:dyDescent="0.3">
      <c r="C8" s="20" t="s">
        <v>63</v>
      </c>
      <c r="E8" s="4">
        <f>SUM(E3:E7)</f>
        <v>302068.76</v>
      </c>
    </row>
    <row r="9" spans="1:7" s="20" customFormat="1" ht="16.5" thickTop="1" x14ac:dyDescent="0.25"/>
    <row r="10" spans="1:7" x14ac:dyDescent="0.25">
      <c r="A10" t="s">
        <v>0</v>
      </c>
    </row>
    <row r="11" spans="1:7" ht="16.5" thickBot="1" x14ac:dyDescent="0.3"/>
    <row r="12" spans="1:7" ht="48" thickBot="1" x14ac:dyDescent="0.3">
      <c r="A12" s="11" t="s">
        <v>1</v>
      </c>
      <c r="B12" s="10" t="s">
        <v>2</v>
      </c>
      <c r="C12" s="10" t="s">
        <v>3</v>
      </c>
      <c r="D12" s="10" t="s">
        <v>4</v>
      </c>
      <c r="E12" s="13" t="s">
        <v>33</v>
      </c>
      <c r="F12" s="16" t="s">
        <v>43</v>
      </c>
      <c r="G12" s="19" t="s">
        <v>44</v>
      </c>
    </row>
    <row r="13" spans="1:7" x14ac:dyDescent="0.25">
      <c r="A13" s="8"/>
      <c r="B13" s="8"/>
      <c r="C13" s="9"/>
      <c r="D13" s="9"/>
      <c r="E13" s="12"/>
      <c r="F13" s="14"/>
      <c r="G13" s="17"/>
    </row>
    <row r="14" spans="1:7" x14ac:dyDescent="0.25">
      <c r="A14" s="9" t="s">
        <v>5</v>
      </c>
      <c r="B14" s="9" t="s">
        <v>6</v>
      </c>
      <c r="C14" s="9" t="s">
        <v>7</v>
      </c>
      <c r="D14" s="9" t="s">
        <v>8</v>
      </c>
      <c r="E14" s="12" t="s">
        <v>34</v>
      </c>
      <c r="F14" s="15">
        <v>25000</v>
      </c>
      <c r="G14" s="18" t="s">
        <v>45</v>
      </c>
    </row>
    <row r="15" spans="1:7" x14ac:dyDescent="0.25">
      <c r="A15" s="9" t="s">
        <v>9</v>
      </c>
      <c r="B15" s="9" t="s">
        <v>10</v>
      </c>
      <c r="C15" s="9" t="s">
        <v>11</v>
      </c>
      <c r="D15" s="9" t="s">
        <v>12</v>
      </c>
      <c r="E15" s="12" t="s">
        <v>10</v>
      </c>
      <c r="F15" s="15">
        <v>5000</v>
      </c>
      <c r="G15" s="18" t="s">
        <v>46</v>
      </c>
    </row>
    <row r="16" spans="1:7" x14ac:dyDescent="0.25">
      <c r="A16" s="9" t="s">
        <v>9</v>
      </c>
      <c r="B16" s="9" t="s">
        <v>10</v>
      </c>
      <c r="C16" s="9" t="s">
        <v>11</v>
      </c>
      <c r="D16" s="9" t="s">
        <v>12</v>
      </c>
      <c r="E16" s="12" t="s">
        <v>10</v>
      </c>
      <c r="F16" s="15">
        <v>5000</v>
      </c>
      <c r="G16" s="18" t="s">
        <v>47</v>
      </c>
    </row>
    <row r="17" spans="1:8" x14ac:dyDescent="0.25">
      <c r="A17" s="9" t="s">
        <v>13</v>
      </c>
      <c r="B17" s="9" t="s">
        <v>14</v>
      </c>
      <c r="C17" s="9" t="s">
        <v>15</v>
      </c>
      <c r="D17" s="9" t="s">
        <v>8</v>
      </c>
      <c r="E17" s="12" t="s">
        <v>35</v>
      </c>
      <c r="F17" s="15">
        <v>25000</v>
      </c>
      <c r="G17" s="18" t="s">
        <v>65</v>
      </c>
    </row>
    <row r="18" spans="1:8" x14ac:dyDescent="0.25">
      <c r="A18" s="9" t="s">
        <v>16</v>
      </c>
      <c r="B18" s="9" t="s">
        <v>17</v>
      </c>
      <c r="C18" s="9" t="s">
        <v>15</v>
      </c>
      <c r="D18" s="9" t="s">
        <v>8</v>
      </c>
      <c r="E18" s="12" t="s">
        <v>36</v>
      </c>
      <c r="F18" s="21">
        <f>5000-5000</f>
        <v>0</v>
      </c>
      <c r="G18" s="21" t="s">
        <v>49</v>
      </c>
      <c r="H18" s="12" t="s">
        <v>73</v>
      </c>
    </row>
    <row r="19" spans="1:8" x14ac:dyDescent="0.25">
      <c r="A19" s="9" t="s">
        <v>18</v>
      </c>
      <c r="B19" s="9" t="s">
        <v>19</v>
      </c>
      <c r="C19" s="9" t="s">
        <v>20</v>
      </c>
      <c r="D19" s="9" t="s">
        <v>21</v>
      </c>
      <c r="E19" s="12" t="s">
        <v>37</v>
      </c>
      <c r="F19" s="15">
        <v>11000</v>
      </c>
      <c r="G19" s="18" t="s">
        <v>50</v>
      </c>
    </row>
    <row r="20" spans="1:8" x14ac:dyDescent="0.25">
      <c r="A20" s="9" t="s">
        <v>22</v>
      </c>
      <c r="B20" s="9" t="s">
        <v>23</v>
      </c>
      <c r="C20" s="9" t="s">
        <v>24</v>
      </c>
      <c r="D20" s="9" t="s">
        <v>8</v>
      </c>
      <c r="E20" s="12" t="s">
        <v>38</v>
      </c>
      <c r="F20" s="21">
        <f>3000-3000</f>
        <v>0</v>
      </c>
      <c r="G20" s="21" t="s">
        <v>51</v>
      </c>
      <c r="H20" s="12" t="s">
        <v>73</v>
      </c>
    </row>
    <row r="21" spans="1:8" x14ac:dyDescent="0.25">
      <c r="A21" s="9" t="s">
        <v>25</v>
      </c>
      <c r="B21" s="9" t="s">
        <v>26</v>
      </c>
      <c r="C21" s="9" t="s">
        <v>27</v>
      </c>
      <c r="D21" s="9" t="s">
        <v>21</v>
      </c>
      <c r="E21" s="12" t="s">
        <v>39</v>
      </c>
      <c r="F21" s="15">
        <v>2500</v>
      </c>
      <c r="G21" s="18" t="s">
        <v>52</v>
      </c>
    </row>
    <row r="22" spans="1:8" x14ac:dyDescent="0.25">
      <c r="A22" s="9" t="s">
        <v>28</v>
      </c>
      <c r="B22" s="9" t="s">
        <v>14</v>
      </c>
      <c r="C22" s="9" t="s">
        <v>15</v>
      </c>
      <c r="D22" s="9" t="s">
        <v>8</v>
      </c>
      <c r="E22" s="12" t="s">
        <v>40</v>
      </c>
      <c r="F22" s="21">
        <f>45000-45000</f>
        <v>0</v>
      </c>
      <c r="G22" s="21" t="s">
        <v>48</v>
      </c>
      <c r="H22" s="12"/>
    </row>
    <row r="23" spans="1:8" x14ac:dyDescent="0.25">
      <c r="A23" s="9" t="s">
        <v>29</v>
      </c>
      <c r="B23" s="9" t="s">
        <v>6</v>
      </c>
      <c r="C23" s="9" t="s">
        <v>7</v>
      </c>
      <c r="D23" s="9" t="s">
        <v>8</v>
      </c>
      <c r="E23" s="12" t="s">
        <v>41</v>
      </c>
      <c r="F23" s="15">
        <v>8000</v>
      </c>
      <c r="G23" s="18" t="s">
        <v>66</v>
      </c>
    </row>
    <row r="24" spans="1:8" x14ac:dyDescent="0.25">
      <c r="A24" s="9" t="s">
        <v>30</v>
      </c>
      <c r="B24" s="9" t="s">
        <v>31</v>
      </c>
      <c r="C24" s="9" t="s">
        <v>32</v>
      </c>
      <c r="D24" s="9" t="s">
        <v>8</v>
      </c>
      <c r="E24" s="12" t="s">
        <v>42</v>
      </c>
      <c r="F24" s="15">
        <v>8000</v>
      </c>
      <c r="G24" s="18" t="s">
        <v>67</v>
      </c>
    </row>
    <row r="25" spans="1:8" ht="16.5" thickBot="1" x14ac:dyDescent="0.3">
      <c r="F25" s="3">
        <f>SUM(F14:F24)</f>
        <v>89500</v>
      </c>
      <c r="H25" s="22">
        <f>142500-53000</f>
        <v>89500</v>
      </c>
    </row>
    <row r="26" spans="1:8" ht="16.5" thickTop="1" x14ac:dyDescent="0.25"/>
    <row r="28" spans="1:8" x14ac:dyDescent="0.25">
      <c r="E28" s="1" t="s">
        <v>53</v>
      </c>
      <c r="F28" s="6">
        <v>20000</v>
      </c>
      <c r="G28" t="s">
        <v>70</v>
      </c>
    </row>
    <row r="29" spans="1:8" x14ac:dyDescent="0.25">
      <c r="E29" s="1" t="s">
        <v>19</v>
      </c>
      <c r="F29" s="6">
        <v>20000</v>
      </c>
      <c r="G29" t="s">
        <v>68</v>
      </c>
    </row>
    <row r="30" spans="1:8" x14ac:dyDescent="0.25">
      <c r="E30" s="1" t="s">
        <v>54</v>
      </c>
      <c r="F30" s="6">
        <v>20000</v>
      </c>
      <c r="G30" t="s">
        <v>69</v>
      </c>
    </row>
    <row r="31" spans="1:8" x14ac:dyDescent="0.25">
      <c r="E31" s="1" t="s">
        <v>55</v>
      </c>
      <c r="F31" s="6">
        <v>20000</v>
      </c>
      <c r="G31" t="s">
        <v>71</v>
      </c>
    </row>
    <row r="32" spans="1:8" x14ac:dyDescent="0.25">
      <c r="E32" s="1" t="s">
        <v>56</v>
      </c>
      <c r="F32" s="6">
        <v>20000</v>
      </c>
      <c r="G32" t="s">
        <v>72</v>
      </c>
    </row>
    <row r="33" spans="6:6" ht="16.5" thickBot="1" x14ac:dyDescent="0.3">
      <c r="F33" s="2">
        <f>SUM(F28:F32)</f>
        <v>100000</v>
      </c>
    </row>
    <row r="34" spans="6:6" ht="16.5" thickTop="1" x14ac:dyDescent="0.25"/>
  </sheetData>
  <printOptions gridLines="1"/>
  <pageMargins left="0.7" right="0.7" top="0.75" bottom="0.75" header="0.3" footer="0.3"/>
  <pageSetup scale="91" orientation="landscape" r:id="rId1"/>
  <headerFooter>
    <oddHeader xml:space="preserve">&amp;CMISSION COLLEGE
Fund 120 - LAND CORP FUND
</oddHeader>
    <oddFooter>&amp;ROffice of Administrative Services
&amp;Z&amp;F 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wvmccd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WVMCCD</dc:creator>
  <cp:lastModifiedBy>Rick Bennett </cp:lastModifiedBy>
  <cp:lastPrinted>2013-08-07T15:47:44Z</cp:lastPrinted>
  <dcterms:created xsi:type="dcterms:W3CDTF">2013-08-05T17:58:59Z</dcterms:created>
  <dcterms:modified xsi:type="dcterms:W3CDTF">2013-10-07T17:46:41Z</dcterms:modified>
</cp:coreProperties>
</file>