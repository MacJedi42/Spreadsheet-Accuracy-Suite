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05" windowWidth="19035" windowHeight="11640" tabRatio="767"/>
  </bookViews>
  <sheets>
    <sheet name="INT-Auto" sheetId="15" r:id="rId1"/>
    <sheet name="SUM-Auto" sheetId="12" r:id="rId2"/>
    <sheet name="RLI-Auto" sheetId="1" r:id="rId3"/>
    <sheet name="EXP-Auto" sheetId="6" r:id="rId4"/>
    <sheet name="TRD-Auto" sheetId="14" r:id="rId5"/>
    <sheet name="UW-Auto" sheetId="2" r:id="rId6"/>
    <sheet name="OB-Auto" sheetId="8" r:id="rId7"/>
    <sheet name="VAR-Auto" sheetId="9" r:id="rId8"/>
    <sheet name="PI-Auto" sheetId="10" r:id="rId9"/>
  </sheets>
  <calcPr calcId="125725"/>
</workbook>
</file>

<file path=xl/calcChain.xml><?xml version="1.0" encoding="utf-8"?>
<calcChain xmlns="http://schemas.openxmlformats.org/spreadsheetml/2006/main">
  <c r="M16" i="1"/>
  <c r="I11" i="10"/>
  <c r="I15"/>
  <c r="I19"/>
  <c r="I9"/>
  <c r="H22"/>
  <c r="I17" s="1"/>
  <c r="C22"/>
  <c r="D14" s="1"/>
  <c r="J22" i="1"/>
  <c r="I22"/>
  <c r="E12"/>
  <c r="E13"/>
  <c r="E14"/>
  <c r="E15"/>
  <c r="E11"/>
  <c r="K12"/>
  <c r="K13"/>
  <c r="K14"/>
  <c r="K15"/>
  <c r="K11"/>
  <c r="D11" i="6"/>
  <c r="D12"/>
  <c r="D13"/>
  <c r="D14"/>
  <c r="D15"/>
  <c r="D16"/>
  <c r="D17"/>
  <c r="D22" i="1" s="1"/>
  <c r="D10" i="6"/>
  <c r="C18"/>
  <c r="D21" i="1" s="1"/>
  <c r="B18" i="6"/>
  <c r="D20" i="1" s="1"/>
  <c r="I15" i="14"/>
  <c r="I14"/>
  <c r="I13"/>
  <c r="I12"/>
  <c r="I11"/>
  <c r="I10"/>
  <c r="I9"/>
  <c r="I8"/>
  <c r="I7"/>
  <c r="I6"/>
  <c r="G20" i="2"/>
  <c r="G19"/>
  <c r="G18"/>
  <c r="G17"/>
  <c r="E20"/>
  <c r="E19"/>
  <c r="E18"/>
  <c r="E17"/>
  <c r="C20"/>
  <c r="C19"/>
  <c r="C18"/>
  <c r="C17"/>
  <c r="G12"/>
  <c r="G11"/>
  <c r="G10"/>
  <c r="G9"/>
  <c r="E12"/>
  <c r="E11"/>
  <c r="E10"/>
  <c r="E9"/>
  <c r="F13"/>
  <c r="G13" s="1"/>
  <c r="F21"/>
  <c r="G21" s="1"/>
  <c r="D21"/>
  <c r="E21" s="1"/>
  <c r="B21"/>
  <c r="C21" s="1"/>
  <c r="D13"/>
  <c r="E13" s="1"/>
  <c r="C12"/>
  <c r="C11"/>
  <c r="C10"/>
  <c r="C9"/>
  <c r="B13"/>
  <c r="C13" s="1"/>
  <c r="D25" i="1"/>
  <c r="H12"/>
  <c r="H13"/>
  <c r="H14"/>
  <c r="H15"/>
  <c r="H11"/>
  <c r="B16"/>
  <c r="F16"/>
  <c r="H16"/>
  <c r="I16" i="14"/>
  <c r="I16" i="10" l="1"/>
  <c r="I21"/>
  <c r="I13"/>
  <c r="I22"/>
  <c r="I18"/>
  <c r="I14"/>
  <c r="I10"/>
  <c r="I12"/>
  <c r="I20"/>
  <c r="D15"/>
  <c r="D20"/>
  <c r="D11"/>
  <c r="D9"/>
  <c r="D22" s="1"/>
  <c r="D19"/>
  <c r="D10"/>
  <c r="D13"/>
  <c r="D17"/>
  <c r="D18"/>
  <c r="D21"/>
  <c r="D16"/>
  <c r="D12"/>
  <c r="L14" i="1"/>
  <c r="L12"/>
  <c r="K16"/>
  <c r="L15"/>
  <c r="L13"/>
  <c r="E16"/>
  <c r="L16" s="1"/>
  <c r="L11"/>
  <c r="D19" s="1"/>
  <c r="D23" s="1"/>
  <c r="D26" s="1"/>
  <c r="D19" i="6"/>
  <c r="D18"/>
</calcChain>
</file>

<file path=xl/sharedStrings.xml><?xml version="1.0" encoding="utf-8"?>
<sst xmlns="http://schemas.openxmlformats.org/spreadsheetml/2006/main" count="305" uniqueCount="211">
  <si>
    <t>Rate Level Indication Exhibit</t>
  </si>
  <si>
    <t>Insurance Company:</t>
  </si>
  <si>
    <t>Insert Company Name</t>
  </si>
  <si>
    <t>Effective Date:</t>
  </si>
  <si>
    <t>Year</t>
  </si>
  <si>
    <t>Earned Premium</t>
  </si>
  <si>
    <t>Present Level Factor</t>
  </si>
  <si>
    <t>Premium Trend Factor</t>
  </si>
  <si>
    <t>Earned Premium at Current Rate Level</t>
  </si>
  <si>
    <t>Accident Year Incurred Losses</t>
  </si>
  <si>
    <t>LAE</t>
  </si>
  <si>
    <t>Direct Incurred Loss Ratio</t>
  </si>
  <si>
    <t>Loss Development Factor</t>
  </si>
  <si>
    <t>Loss Trend Factor</t>
  </si>
  <si>
    <t>Projected Accident Year Incurred Losses</t>
  </si>
  <si>
    <t>Projected Loss Ratio</t>
  </si>
  <si>
    <t>Individual Year Weights</t>
  </si>
  <si>
    <t>Total</t>
  </si>
  <si>
    <t>Weighted Projected Loss Ratio</t>
  </si>
  <si>
    <t>Premium Trend</t>
  </si>
  <si>
    <t>Fixed Expense Ratio</t>
  </si>
  <si>
    <t>Loss Trend</t>
  </si>
  <si>
    <t>Net Trend</t>
  </si>
  <si>
    <t>Indicated Change</t>
  </si>
  <si>
    <t>Credibility Percentage</t>
  </si>
  <si>
    <t>Complement of Credibility</t>
  </si>
  <si>
    <t>Credibility Weighted Indicated Change</t>
  </si>
  <si>
    <t>Insurer Notes:</t>
  </si>
  <si>
    <t>Notes:</t>
  </si>
  <si>
    <t>Variable Expense Ratio</t>
  </si>
  <si>
    <t>MM/DD/YYYY</t>
  </si>
  <si>
    <t>Summary Exhibit</t>
  </si>
  <si>
    <t>Earned Premium or Earned Exposures</t>
  </si>
  <si>
    <t>Proposed Change</t>
  </si>
  <si>
    <t>(Add/Delete rows as needed)</t>
  </si>
  <si>
    <t>Overall Total</t>
  </si>
  <si>
    <t>Underwriting Results Exhibit</t>
  </si>
  <si>
    <t>Actual SC Direct</t>
  </si>
  <si>
    <t>% of Premium</t>
  </si>
  <si>
    <t>Incurred Losses</t>
  </si>
  <si>
    <t>Incurred LAE</t>
  </si>
  <si>
    <t>Incurred U/W Expenses</t>
  </si>
  <si>
    <t>U/W Results</t>
  </si>
  <si>
    <t>Actual SC Net of Reinsurance</t>
  </si>
  <si>
    <t>Off-Balance Exhibit</t>
  </si>
  <si>
    <t>etc</t>
  </si>
  <si>
    <t>Earned Premiums or Earned Exposures</t>
  </si>
  <si>
    <t>Weight</t>
  </si>
  <si>
    <t>Rating Variable</t>
  </si>
  <si>
    <t>(Add/Delete rows/columns as needed)</t>
  </si>
  <si>
    <t>Rating Variable Support Exhibit</t>
  </si>
  <si>
    <t>Rating Variable:</t>
  </si>
  <si>
    <t>Insert Rating Variable</t>
  </si>
  <si>
    <t>Category</t>
  </si>
  <si>
    <t>Support for Change</t>
  </si>
  <si>
    <t>Current Factor</t>
  </si>
  <si>
    <t>Proposed Factor</t>
  </si>
  <si>
    <t>% Change</t>
  </si>
  <si>
    <t>(Add columns as needed)</t>
  </si>
  <si>
    <t>2a.  If Category codes are company specific, provide the Category code definition</t>
  </si>
  <si>
    <t>3.  Earned Premiums or Earned Exposures should be used as weights to calculate the Total % Change</t>
  </si>
  <si>
    <t>4.  Support for Change value uses loss or competitive data to support your Proposed Factor selections (i.e. Indicated Factor, Indicated Change, Countrywide Factor, etc.)</t>
  </si>
  <si>
    <t>Parallelogram Method</t>
  </si>
  <si>
    <t>Re-rating</t>
  </si>
  <si>
    <t>Other</t>
  </si>
  <si>
    <t>ISO Fast Track 12-16 Pt Fit</t>
  </si>
  <si>
    <t>Cumulative Link Ratios</t>
  </si>
  <si>
    <t>Age-to-Ultimate Link Ratios</t>
  </si>
  <si>
    <t>EP @ CRL</t>
  </si>
  <si>
    <t>Net (Loss Ratio) Trend</t>
  </si>
  <si>
    <t xml:space="preserve">Indicate the methodology used in developing each of the factors listed below by checking the appropriate cell.  </t>
  </si>
  <si>
    <t>Expense Category</t>
  </si>
  <si>
    <t>Expense Ratio  (% Premium)</t>
  </si>
  <si>
    <t>Fixed</t>
  </si>
  <si>
    <t>Variable</t>
  </si>
  <si>
    <t>Commissions</t>
  </si>
  <si>
    <t>Taxes, Licenses, &amp; Fees</t>
  </si>
  <si>
    <t>Other Acquisition Expenses</t>
  </si>
  <si>
    <t>General Expenses</t>
  </si>
  <si>
    <t>Reinsurance Expenses</t>
  </si>
  <si>
    <t>Other Expenses</t>
  </si>
  <si>
    <t>Other Income</t>
  </si>
  <si>
    <t>Total Expense and Profit Ratio</t>
  </si>
  <si>
    <t>Historical</t>
  </si>
  <si>
    <t>Prospective</t>
  </si>
  <si>
    <t>1.  Provide a copy of the actual Insurance Expense Exhibit as submitted with the Annual Statement</t>
  </si>
  <si>
    <t>Profit and Contingencies</t>
  </si>
  <si>
    <t>3a.  Alternatively, the Total % Change could be calculated by re-rating your entire book, which should be acknowledged in the Insurer Notes</t>
  </si>
  <si>
    <t>1.  If any "Other" cells are checked, then provide the detail supporting the factor calculation</t>
  </si>
  <si>
    <t>2.  Explain and support any significant variances between the expenses reported in this exhibit and the Insurance Expense Exhibit</t>
  </si>
  <si>
    <t>Rate Change Interval</t>
  </si>
  <si>
    <t># Policies Affected</t>
  </si>
  <si>
    <t>% Policies Affected</t>
  </si>
  <si>
    <t>XX.X%</t>
  </si>
  <si>
    <t>No Change</t>
  </si>
  <si>
    <t xml:space="preserve">Total </t>
  </si>
  <si>
    <t>$   (XXX.XX)</t>
  </si>
  <si>
    <t>$   XXX.XX</t>
  </si>
  <si>
    <t>-XX.X%</t>
  </si>
  <si>
    <t>Interrogatories</t>
  </si>
  <si>
    <t>Coverage</t>
  </si>
  <si>
    <t>Trend and Development Exhibit</t>
  </si>
  <si>
    <t>Exponential Fit</t>
  </si>
  <si>
    <t>Complete for previous ten years (or as many years as possible depending on data availability).</t>
  </si>
  <si>
    <t>RV 5</t>
  </si>
  <si>
    <t>RV 7</t>
  </si>
  <si>
    <t>RV 6</t>
  </si>
  <si>
    <t>RV 8</t>
  </si>
  <si>
    <t>RV 1</t>
  </si>
  <si>
    <t>RV 2</t>
  </si>
  <si>
    <t>RV 3</t>
  </si>
  <si>
    <t>RV 4</t>
  </si>
  <si>
    <t>C 1</t>
  </si>
  <si>
    <t>C 2</t>
  </si>
  <si>
    <t>C 3</t>
  </si>
  <si>
    <t>C 4</t>
  </si>
  <si>
    <t>C 5</t>
  </si>
  <si>
    <t>C 6</t>
  </si>
  <si>
    <t>C 7</t>
  </si>
  <si>
    <t>C 8</t>
  </si>
  <si>
    <t>Expense Exhibit</t>
  </si>
  <si>
    <t>1. Is this filing the initial rate filing for this program?</t>
  </si>
  <si>
    <t>2. Is this filing being submitted under the File and Use provision? (The File and Use provision can be used if the filing type is Rate or Rate/Rule, if the Overall Total Change is within +/-7.0%, and if the File and Use provision has not been used in the 12 months prior to the proposed Renewal effective date).</t>
  </si>
  <si>
    <t>Policyholder Impact Exhibit</t>
  </si>
  <si>
    <t>Profit and Contingencies Provision</t>
  </si>
  <si>
    <t>Permissible Loss and Fixed Expense Ratio</t>
  </si>
  <si>
    <t>INT-Auto</t>
  </si>
  <si>
    <t>SUM-Auto</t>
  </si>
  <si>
    <t>Liability Total</t>
  </si>
  <si>
    <t>Physical Damage Total</t>
  </si>
  <si>
    <t>3. The Liability Total Proposed Change value may not exceed the Liability Total Indicated Change value</t>
  </si>
  <si>
    <t>4. The Physical Damage Total Proposed Change value may not exceed the Physical Damage Total Indicated Change value</t>
  </si>
  <si>
    <t>5. Complete this exhibit for each Program type being filed (i.e. Auto, Motorcycle, etc)</t>
  </si>
  <si>
    <t>Program:</t>
  </si>
  <si>
    <t>Insert Program Type</t>
  </si>
  <si>
    <t>Insert Coverage</t>
  </si>
  <si>
    <t>RLI-Auto</t>
  </si>
  <si>
    <t>2. Complete this exhibit for each Coverage and in total</t>
  </si>
  <si>
    <t>3. A supporting exhibit establishing the credibility standard and how the complement of credibility value was calculated/selected is required</t>
  </si>
  <si>
    <t>4. Complete this exhibit for each Program type being filed (i.e. Auto, Motorcycle, etc)</t>
  </si>
  <si>
    <t>OB-Auto</t>
  </si>
  <si>
    <t>Coverages</t>
  </si>
  <si>
    <t>L 1</t>
  </si>
  <si>
    <t>L 2</t>
  </si>
  <si>
    <t>PD 1</t>
  </si>
  <si>
    <t>PD 2</t>
  </si>
  <si>
    <t>1.  Use a row for each Rating Variable of change (i.e. Base Rates, Territory, Driver Class, etc)</t>
  </si>
  <si>
    <t>2.  Earned Premium or Earned Exposures should be used to weight the average premium change by Coverage</t>
  </si>
  <si>
    <t>4.  Complete exhibit for each Program type being filed (i.e. Auto, Motorcycle, etc)</t>
  </si>
  <si>
    <t>VAR-Auto</t>
  </si>
  <si>
    <t>1.  Complete this exhibit for each Rating Variable (i.e. Base Rates, Territory, Driver Class, etc)</t>
  </si>
  <si>
    <t>2.  List each Category affected by your proposed Rating Variable changes (i.e. Driver Class SM20, Driver Class SM21, Driver Class SM 22, etc)</t>
  </si>
  <si>
    <t>TRD-Auto</t>
  </si>
  <si>
    <t>Program</t>
  </si>
  <si>
    <t>EXP-Auto</t>
  </si>
  <si>
    <t>Ultimate Losses</t>
  </si>
  <si>
    <t>Loss Ratio</t>
  </si>
  <si>
    <t>1.  Use South Carolina calendar year data</t>
  </si>
  <si>
    <t>UW-Auto</t>
  </si>
  <si>
    <t>PI-Auto</t>
  </si>
  <si>
    <t>1.  Enter the maximum proposed increase and maximum proposed decrease percentages in cells B9 and B21</t>
  </si>
  <si>
    <t>2.  Enter the maximum proposed increase and maximum proposed decrease dollars in cells G9 and G21</t>
  </si>
  <si>
    <t>Coverage Overall Change</t>
  </si>
  <si>
    <t>2. The Coverage Proposed Change value should balance to the Coverage Overall Change value in OB-Auto Exhibit</t>
  </si>
  <si>
    <t>1.  The Coverage Indicated Change value should balance to the Coverage Credibility Weighted Indicated Change value in RLI-Auto Exhibit</t>
  </si>
  <si>
    <t>3.  The Rating Variable Total value should balance to the Rating Variable Total % Change value in VAR-Auto Exhibit</t>
  </si>
  <si>
    <t>2.  The data used in the development of the premium and loss trend factors should be consistent (i.e. premium trend factors should not be based on Countrywide data if loss trend factors use South Carolina data)</t>
  </si>
  <si>
    <t>5b. Sufficient information and documentation explaining the data and calculations being used should be submitted</t>
  </si>
  <si>
    <t>5c. At a minimum, the following values should be included: actual losses from the holdout data set (show Countrywide and South Carolina results; include comments regarding credibility if applicable), predicted losses from the current rating plan, and predicted losses from the proposed rating plan</t>
  </si>
  <si>
    <t>5d. The errors for the proposed values should be lower than the errors for those currently in use</t>
  </si>
  <si>
    <t>3a. List Actuarial Organizations of which the Actuary is a member as well as applicable designations.</t>
  </si>
  <si>
    <t>3b. Identify any items in this rate filing for which the Actuary is not responsible.</t>
  </si>
  <si>
    <t>3c. Confirm that the filing complies with the following Actuarial Standards of Practice: Nos. 12, 13, 23, 25, 29, 30, 38, 39, 41, 43.</t>
  </si>
  <si>
    <t>4. Confirm that the Notes section at the bottom of each exhibit were followed when completing each exhibit.</t>
  </si>
  <si>
    <t>5. Have you changed any of your Rate Level Indication calculation methodologies since your last filing?</t>
  </si>
  <si>
    <t>5a. If Yes, support your change in methodologies.</t>
  </si>
  <si>
    <t>6. Confirm that a copy of the actual Insurance Expense Exhibit, as submitted with the Annual Statement, has been submitted with this filing.</t>
  </si>
  <si>
    <t>1b. If No, complete all attached exhibits and provide the six digit State Tracking Number(s) of your last rate filing.</t>
  </si>
  <si>
    <t>1. Provide South Carolina experience on a direct basis (gross of reinsurance)</t>
  </si>
  <si>
    <t xml:space="preserve">6.  Complete exhibit for each Program type being filed </t>
  </si>
  <si>
    <t>5.  If proposing a cap, then complete exhibit with and without the use of capping</t>
  </si>
  <si>
    <t>6.  Complete exhibit for each Program type being filed (i.e. Auto, Motorcycle, etc)</t>
  </si>
  <si>
    <t>2a. Indicate whether or not this filing proposes to revise the premium for an individual policyholder by more than +/-25% (without capping).</t>
  </si>
  <si>
    <t>3. What is the name of the Actuary that prepared this filing?</t>
  </si>
  <si>
    <t>3.  If policies will receive a rate change &gt; +25.0% or &lt; -25.0%, then list the actual percentage change, the actual dollar change, and the rating variable changes that are driving the rate change for the 5 policies receiving the largest percentage increases and the 5 policies receiving the largest percentage decreases</t>
  </si>
  <si>
    <t>1c. If this filing only changes symbols, then only complete VAR-Auto, PI-Auto, and COM-Auto exhibits.</t>
  </si>
  <si>
    <t>2.  Provide latest three years of data</t>
  </si>
  <si>
    <t xml:space="preserve">2b. It is assumed the rates proposed in this filing will be in effect for one year.  Please advise if this is not the case and provide further explanation.  </t>
  </si>
  <si>
    <t>7. Are you proposing to introduce any new element(s) (rating variable, discount, etc.) to your rating plan with this filing?</t>
  </si>
  <si>
    <t xml:space="preserve">7a. If Yes, then list the proposed new element(s) in your rating plan.  </t>
  </si>
  <si>
    <t>8. Do any of your proposed changes create “multiple rating plans” (charging different rates for risks with the same rating characteristics)?</t>
  </si>
  <si>
    <t>8a. If Yes, then provide the proposed multiple rating plan details (The Department may approve multiple rating plans if a transition plan is approved).</t>
  </si>
  <si>
    <t>9. Does this program use credit based insurance score information for rating and/or underwriting tier assignment purposes?</t>
  </si>
  <si>
    <t>9a. If Yes, provide the name of the model used.</t>
  </si>
  <si>
    <t>9b. If Yes, confirm that no hit/no score factors equal 1.00.</t>
  </si>
  <si>
    <t>10. Does this program include usage based insurance (UBI) score information for rating purposes?</t>
  </si>
  <si>
    <t>10a. If Yes, provide the name of the model used and confirm that no policyholder receives a surcharge as a result of their UBI score.</t>
  </si>
  <si>
    <t>11. How was the PI-Auto Exhibit computed? (Actual re-rate of policies, Estimate based on distributions, etc)</t>
  </si>
  <si>
    <t>11a. If the exhibit was computed by an actual re-rate of policies, confirm that 100% of policies were re-rated.</t>
  </si>
  <si>
    <t>12. Are you proposing rate capping with this filing?</t>
  </si>
  <si>
    <t>12a. If yes, then provide the proposed rate capping details (the Department may approve a one-term cap).</t>
  </si>
  <si>
    <t>3. Reinsurance Expenses should be the net cost of reinsurance; a supporting exhibit showing the calculation of the provision is needed</t>
  </si>
  <si>
    <t>4.  If "Other Expenses" or "Other Income" provisions included, then define (selected expense provisions should be reduced for anticipated fee income)</t>
  </si>
  <si>
    <t>4a. When including a dividend provision, the company's dividend payment history, the company's current dividend practice, whether dividends are related to loss experience, the capitalization of the company, and other factors affecting the payment of dividends should be taken into account</t>
  </si>
  <si>
    <t>1a. If Yes, only complete the EXP-Auto Exhibit and provide a competitive analysis establishing that the proposed rates are neither excessive nor inadequate (Include at least 3 Competitor Rates and your Proposed Rates).</t>
  </si>
  <si>
    <t>5. When generalized linear modeling is used, the company should provide an overview of how the GLM analysis was performed and include a Quantiles Test, sum of squared errors, mean squared error, average absolute error, and a comparison of predicted and actual frequencies and/or losses demonstrating that the proposed rating plan is a better predictor of losses than the current rating plan</t>
  </si>
  <si>
    <t>5a. The quantiles should be defined based upon the product of all relativities assigned by the proposed rating plan (i.e. if quintiles are used, then quintile 1 contains the 20% of risks with the lowest overall relativity assigned by the proposed plan, and quintile 5 contains the 20% of risks with the highest overall relativity assigned by the proposed plan)</t>
  </si>
  <si>
    <t>5e. For the Department to conclude that the proposed rating plan is acceptable, it is necessary to demonstrate that the proposed rating plan does not introduce a pattern of errors (including overcorrection at the endpoints) when comparing the proposed relativities to the actual relativities from the holdout data set</t>
  </si>
  <si>
    <t>5.  Profit and Contingencies percentage may not exceed 5.0%</t>
  </si>
  <si>
    <t>4.  If policies will receive a dollar change &gt; +$400 or &lt; -$400, then list the actual dollar change, the actual percentage change, and the rating variable changes that are driving the rate change for the 5 policies receiving the largest dollar increases and the 5 policies receiving the largest dollar decreases</t>
  </si>
  <si>
    <t>3d. If an Actuary did not prepare this filing, provide the name, title, and contact information of the party responsible for the filing's accuracy, assumptions, calculations, and content.</t>
  </si>
</sst>
</file>

<file path=xl/styles.xml><?xml version="1.0" encoding="utf-8"?>
<styleSheet xmlns="http://schemas.openxmlformats.org/spreadsheetml/2006/main">
  <numFmts count="6">
    <numFmt numFmtId="44" formatCode="_(&quot;$&quot;* #,##0.00_);_(&quot;$&quot;* \(#,##0.00\);_(&quot;$&quot;* &quot;-&quot;??_);_(@_)"/>
    <numFmt numFmtId="43" formatCode="_(* #,##0.00_);_(* \(#,##0.00\);_(* &quot;-&quot;??_);_(@_)"/>
    <numFmt numFmtId="164" formatCode="0.0%"/>
    <numFmt numFmtId="165" formatCode="_(&quot;$&quot;* #,##0_);_(&quot;$&quot;* \(#,##0\);_(&quot;$&quot;* &quot;-&quot;??_);_(@_)"/>
    <numFmt numFmtId="166" formatCode="0.000"/>
    <numFmt numFmtId="167" formatCode="[$-F800]dddd\,\ mmmm\ dd\,\ yyyy"/>
  </numFmts>
  <fonts count="12">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b/>
      <sz val="11"/>
      <color indexed="40"/>
      <name val="Calibri"/>
      <family val="2"/>
      <scheme val="minor"/>
    </font>
    <font>
      <b/>
      <sz val="11"/>
      <color rgb="FF0070C0"/>
      <name val="Calibri"/>
      <family val="2"/>
      <scheme val="minor"/>
    </font>
    <font>
      <b/>
      <sz val="11"/>
      <color theme="4"/>
      <name val="Calibri"/>
      <family val="2"/>
      <scheme val="minor"/>
    </font>
    <font>
      <b/>
      <sz val="11"/>
      <color indexed="12"/>
      <name val="Calibri"/>
      <family val="2"/>
      <scheme val="minor"/>
    </font>
    <font>
      <i/>
      <sz val="11"/>
      <name val="Calibri"/>
      <family val="2"/>
      <scheme val="minor"/>
    </font>
    <font>
      <sz val="11"/>
      <color rgb="FF0070C0"/>
      <name val="Calibri"/>
      <family val="2"/>
      <scheme val="minor"/>
    </font>
  </fonts>
  <fills count="2">
    <fill>
      <patternFill patternType="none"/>
    </fill>
    <fill>
      <patternFill patternType="gray125"/>
    </fill>
  </fills>
  <borders count="5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top style="medium">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style="thin">
        <color indexed="64"/>
      </top>
      <bottom style="thin">
        <color indexed="64"/>
      </bottom>
      <diagonal/>
    </border>
    <border>
      <left/>
      <right style="thin">
        <color indexed="64"/>
      </right>
      <top style="medium">
        <color indexed="64"/>
      </top>
      <bottom/>
      <diagonal/>
    </border>
    <border>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39">
    <xf numFmtId="0" fontId="0" fillId="0" borderId="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420">
    <xf numFmtId="0" fontId="0" fillId="0" borderId="0" xfId="0"/>
    <xf numFmtId="0" fontId="0" fillId="0" borderId="0" xfId="0"/>
    <xf numFmtId="0" fontId="0" fillId="0" borderId="0" xfId="0" applyFont="1"/>
    <xf numFmtId="0" fontId="0" fillId="0" borderId="0" xfId="0" applyFont="1" applyBorder="1"/>
    <xf numFmtId="0" fontId="4" fillId="0" borderId="0" xfId="22" applyFont="1"/>
    <xf numFmtId="0" fontId="5" fillId="0" borderId="0" xfId="22" applyFont="1"/>
    <xf numFmtId="0" fontId="6" fillId="0" borderId="0" xfId="22" applyFont="1" applyBorder="1" applyAlignment="1">
      <alignment wrapText="1"/>
    </xf>
    <xf numFmtId="165" fontId="5" fillId="0" borderId="1" xfId="12" applyNumberFormat="1" applyFont="1" applyBorder="1" applyAlignment="1">
      <alignment horizontal="center"/>
    </xf>
    <xf numFmtId="166" fontId="5" fillId="0" borderId="1" xfId="22" applyNumberFormat="1" applyFont="1" applyBorder="1" applyAlignment="1">
      <alignment horizontal="center"/>
    </xf>
    <xf numFmtId="164" fontId="5" fillId="0" borderId="1" xfId="25" applyNumberFormat="1" applyFont="1" applyBorder="1" applyAlignment="1">
      <alignment horizontal="center"/>
    </xf>
    <xf numFmtId="164" fontId="5" fillId="0" borderId="1" xfId="37" applyNumberFormat="1" applyFont="1" applyBorder="1" applyAlignment="1">
      <alignment horizontal="center"/>
    </xf>
    <xf numFmtId="0" fontId="5" fillId="0" borderId="0" xfId="22" applyFont="1" applyBorder="1"/>
    <xf numFmtId="0" fontId="5" fillId="0" borderId="0" xfId="22" applyFont="1" applyFill="1" applyBorder="1"/>
    <xf numFmtId="0" fontId="5" fillId="0" borderId="0" xfId="22" applyFont="1" applyFill="1"/>
    <xf numFmtId="0" fontId="4" fillId="0" borderId="0" xfId="22" applyFont="1" applyAlignment="1">
      <alignment horizontal="right"/>
    </xf>
    <xf numFmtId="0" fontId="4" fillId="0" borderId="0" xfId="23" applyFont="1"/>
    <xf numFmtId="0" fontId="5" fillId="0" borderId="0" xfId="23" applyFont="1"/>
    <xf numFmtId="164" fontId="5" fillId="0" borderId="1" xfId="38" applyNumberFormat="1" applyFont="1" applyBorder="1" applyAlignment="1">
      <alignment horizontal="center"/>
    </xf>
    <xf numFmtId="0" fontId="5" fillId="0" borderId="0" xfId="23" applyFont="1" applyBorder="1"/>
    <xf numFmtId="0" fontId="4" fillId="0" borderId="0" xfId="23" applyFont="1" applyAlignment="1">
      <alignment horizontal="right"/>
    </xf>
    <xf numFmtId="43" fontId="5" fillId="0" borderId="1" xfId="1" applyFont="1" applyBorder="1" applyAlignment="1">
      <alignment horizontal="center"/>
    </xf>
    <xf numFmtId="0" fontId="4" fillId="0" borderId="0" xfId="24" applyFont="1"/>
    <xf numFmtId="0" fontId="5" fillId="0" borderId="0" xfId="24" applyFont="1"/>
    <xf numFmtId="0" fontId="4" fillId="0" borderId="0" xfId="24" applyFont="1" applyBorder="1" applyAlignment="1">
      <alignment horizontal="left"/>
    </xf>
    <xf numFmtId="165" fontId="5" fillId="0" borderId="2" xfId="15" applyNumberFormat="1" applyFont="1" applyBorder="1"/>
    <xf numFmtId="164" fontId="5" fillId="0" borderId="3" xfId="25" applyNumberFormat="1" applyFont="1" applyFill="1" applyBorder="1"/>
    <xf numFmtId="165" fontId="5" fillId="0" borderId="4" xfId="15" applyNumberFormat="1" applyFont="1" applyBorder="1"/>
    <xf numFmtId="164" fontId="5" fillId="0" borderId="5" xfId="25" applyNumberFormat="1" applyFont="1" applyFill="1" applyBorder="1"/>
    <xf numFmtId="0" fontId="5" fillId="0" borderId="0" xfId="24" applyFont="1" applyFill="1"/>
    <xf numFmtId="0" fontId="5" fillId="0" borderId="0" xfId="24" applyFont="1" applyFill="1" applyBorder="1"/>
    <xf numFmtId="0" fontId="5" fillId="0" borderId="0" xfId="24" applyFont="1" applyBorder="1"/>
    <xf numFmtId="0" fontId="4" fillId="0" borderId="0" xfId="24" applyFont="1" applyAlignment="1">
      <alignment horizontal="right"/>
    </xf>
    <xf numFmtId="0" fontId="0" fillId="0" borderId="0" xfId="0"/>
    <xf numFmtId="0" fontId="4" fillId="0" borderId="0" xfId="20" applyFont="1"/>
    <xf numFmtId="0" fontId="5" fillId="0" borderId="0" xfId="20" applyFont="1"/>
    <xf numFmtId="0" fontId="4" fillId="0" borderId="0" xfId="20" applyFont="1" applyBorder="1" applyAlignment="1">
      <alignment horizontal="left"/>
    </xf>
    <xf numFmtId="0" fontId="7" fillId="0" borderId="1" xfId="20" applyFont="1" applyBorder="1" applyAlignment="1">
      <alignment horizontal="center" wrapText="1"/>
    </xf>
    <xf numFmtId="164" fontId="5" fillId="0" borderId="1" xfId="36" applyNumberFormat="1" applyFont="1" applyBorder="1" applyAlignment="1">
      <alignment horizontal="center"/>
    </xf>
    <xf numFmtId="164" fontId="4" fillId="0" borderId="1" xfId="36" applyNumberFormat="1" applyFont="1" applyBorder="1" applyAlignment="1">
      <alignment horizontal="center"/>
    </xf>
    <xf numFmtId="0" fontId="5" fillId="0" borderId="1" xfId="20" applyFont="1" applyBorder="1" applyAlignment="1">
      <alignment horizontal="center"/>
    </xf>
    <xf numFmtId="0" fontId="5" fillId="0" borderId="0" xfId="20" applyFont="1" applyBorder="1"/>
    <xf numFmtId="0" fontId="4" fillId="0" borderId="0" xfId="20" applyFont="1" applyAlignment="1">
      <alignment horizontal="right"/>
    </xf>
    <xf numFmtId="0" fontId="4" fillId="0" borderId="6" xfId="23" applyFont="1" applyBorder="1" applyAlignment="1">
      <alignment horizontal="center" wrapText="1"/>
    </xf>
    <xf numFmtId="0" fontId="4" fillId="0" borderId="7" xfId="23" applyFont="1" applyBorder="1" applyAlignment="1">
      <alignment horizontal="center" wrapText="1"/>
    </xf>
    <xf numFmtId="0" fontId="8" fillId="0" borderId="8" xfId="23" applyFont="1" applyBorder="1" applyAlignment="1"/>
    <xf numFmtId="164" fontId="5" fillId="0" borderId="9" xfId="38" applyNumberFormat="1" applyFont="1" applyBorder="1" applyAlignment="1">
      <alignment horizontal="center"/>
    </xf>
    <xf numFmtId="0" fontId="8" fillId="0" borderId="10" xfId="23" applyFont="1" applyBorder="1" applyAlignment="1"/>
    <xf numFmtId="0" fontId="4" fillId="0" borderId="11" xfId="23" applyFont="1" applyBorder="1"/>
    <xf numFmtId="43" fontId="5" fillId="0" borderId="12" xfId="1" applyFont="1" applyBorder="1" applyAlignment="1">
      <alignment horizontal="center"/>
    </xf>
    <xf numFmtId="164" fontId="5" fillId="0" borderId="12" xfId="38" applyNumberFormat="1" applyFont="1" applyBorder="1" applyAlignment="1">
      <alignment horizontal="center"/>
    </xf>
    <xf numFmtId="164" fontId="5" fillId="0" borderId="13" xfId="38" applyNumberFormat="1" applyFont="1" applyBorder="1" applyAlignment="1">
      <alignment horizontal="center"/>
    </xf>
    <xf numFmtId="0" fontId="4" fillId="0" borderId="14" xfId="23" applyFont="1" applyBorder="1"/>
    <xf numFmtId="0" fontId="5" fillId="0" borderId="15" xfId="23" applyFont="1" applyBorder="1"/>
    <xf numFmtId="0" fontId="5" fillId="0" borderId="16" xfId="23" applyFont="1" applyBorder="1"/>
    <xf numFmtId="0" fontId="5" fillId="0" borderId="17" xfId="23" applyFont="1" applyBorder="1"/>
    <xf numFmtId="0" fontId="5" fillId="0" borderId="18" xfId="23" applyFont="1" applyBorder="1"/>
    <xf numFmtId="0" fontId="5" fillId="0" borderId="19" xfId="23" applyFont="1" applyBorder="1"/>
    <xf numFmtId="0" fontId="5" fillId="0" borderId="20" xfId="23" applyFont="1" applyBorder="1"/>
    <xf numFmtId="0" fontId="5" fillId="0" borderId="21" xfId="23" applyFont="1" applyBorder="1"/>
    <xf numFmtId="0" fontId="4" fillId="0" borderId="9" xfId="20" applyFont="1" applyBorder="1" applyAlignment="1">
      <alignment horizontal="center" wrapText="1"/>
    </xf>
    <xf numFmtId="164" fontId="5" fillId="0" borderId="9" xfId="36" applyNumberFormat="1" applyFont="1" applyBorder="1" applyAlignment="1">
      <alignment horizontal="center"/>
    </xf>
    <xf numFmtId="164" fontId="4" fillId="0" borderId="9" xfId="36" applyNumberFormat="1" applyFont="1" applyBorder="1" applyAlignment="1">
      <alignment horizontal="center"/>
    </xf>
    <xf numFmtId="0" fontId="4" fillId="0" borderId="11" xfId="20" applyFont="1" applyBorder="1"/>
    <xf numFmtId="0" fontId="5" fillId="0" borderId="22" xfId="20" applyFont="1" applyBorder="1"/>
    <xf numFmtId="0" fontId="5" fillId="0" borderId="22" xfId="20" applyFont="1" applyBorder="1" applyAlignment="1">
      <alignment horizontal="center"/>
    </xf>
    <xf numFmtId="164" fontId="4" fillId="0" borderId="13" xfId="36" applyNumberFormat="1" applyFont="1" applyBorder="1" applyAlignment="1">
      <alignment horizontal="center"/>
    </xf>
    <xf numFmtId="0" fontId="4" fillId="0" borderId="14" xfId="20" applyFont="1" applyBorder="1"/>
    <xf numFmtId="0" fontId="5" fillId="0" borderId="15" xfId="20" applyFont="1" applyBorder="1"/>
    <xf numFmtId="0" fontId="5" fillId="0" borderId="16" xfId="20" applyFont="1" applyBorder="1"/>
    <xf numFmtId="0" fontId="5" fillId="0" borderId="17" xfId="20" applyFont="1" applyBorder="1"/>
    <xf numFmtId="0" fontId="5" fillId="0" borderId="18" xfId="20" applyFont="1" applyBorder="1"/>
    <xf numFmtId="0" fontId="5" fillId="0" borderId="19" xfId="20" applyFont="1" applyBorder="1"/>
    <xf numFmtId="0" fontId="5" fillId="0" borderId="20" xfId="20" applyFont="1" applyBorder="1"/>
    <xf numFmtId="0" fontId="5" fillId="0" borderId="21" xfId="20" applyFont="1" applyBorder="1"/>
    <xf numFmtId="0" fontId="4" fillId="0" borderId="23" xfId="24" applyFont="1" applyBorder="1"/>
    <xf numFmtId="0" fontId="7" fillId="0" borderId="24" xfId="24" applyFont="1" applyBorder="1" applyAlignment="1">
      <alignment horizontal="center"/>
    </xf>
    <xf numFmtId="0" fontId="4" fillId="0" borderId="25" xfId="24" applyFont="1" applyFill="1" applyBorder="1" applyAlignment="1">
      <alignment horizontal="center" wrapText="1"/>
    </xf>
    <xf numFmtId="0" fontId="4" fillId="0" borderId="26" xfId="24" applyFont="1" applyFill="1" applyBorder="1" applyAlignment="1">
      <alignment horizontal="center" wrapText="1"/>
    </xf>
    <xf numFmtId="0" fontId="4" fillId="0" borderId="27" xfId="24" applyFont="1" applyBorder="1"/>
    <xf numFmtId="164" fontId="5" fillId="0" borderId="28" xfId="25" applyNumberFormat="1" applyFont="1" applyFill="1" applyBorder="1"/>
    <xf numFmtId="0" fontId="4" fillId="0" borderId="29" xfId="24" applyFont="1" applyBorder="1"/>
    <xf numFmtId="164" fontId="5" fillId="0" borderId="30" xfId="25" applyNumberFormat="1" applyFont="1" applyFill="1" applyBorder="1"/>
    <xf numFmtId="0" fontId="4" fillId="0" borderId="31" xfId="24" applyFont="1" applyBorder="1"/>
    <xf numFmtId="165" fontId="5" fillId="0" borderId="32" xfId="12" applyNumberFormat="1" applyFont="1" applyBorder="1"/>
    <xf numFmtId="164" fontId="5" fillId="0" borderId="32" xfId="25" applyNumberFormat="1" applyFont="1" applyBorder="1"/>
    <xf numFmtId="164" fontId="5" fillId="0" borderId="13" xfId="25" applyNumberFormat="1" applyFont="1" applyBorder="1"/>
    <xf numFmtId="0" fontId="4" fillId="0" borderId="14" xfId="24" applyFont="1" applyBorder="1"/>
    <xf numFmtId="0" fontId="5" fillId="0" borderId="15" xfId="24" applyFont="1" applyBorder="1"/>
    <xf numFmtId="0" fontId="5" fillId="0" borderId="16" xfId="24" applyFont="1" applyBorder="1"/>
    <xf numFmtId="0" fontId="5" fillId="0" borderId="17" xfId="24" applyFont="1" applyBorder="1"/>
    <xf numFmtId="0" fontId="5" fillId="0" borderId="18" xfId="24" applyFont="1" applyBorder="1"/>
    <xf numFmtId="0" fontId="5" fillId="0" borderId="19" xfId="24" applyFont="1" applyBorder="1"/>
    <xf numFmtId="0" fontId="5" fillId="0" borderId="20" xfId="24" applyFont="1" applyBorder="1"/>
    <xf numFmtId="0" fontId="5" fillId="0" borderId="21" xfId="24" applyFont="1" applyBorder="1"/>
    <xf numFmtId="164" fontId="5" fillId="0" borderId="33" xfId="36" applyNumberFormat="1" applyFont="1" applyBorder="1" applyAlignment="1">
      <alignment horizontal="center"/>
    </xf>
    <xf numFmtId="164" fontId="5" fillId="0" borderId="34" xfId="36" applyNumberFormat="1" applyFont="1" applyBorder="1" applyAlignment="1">
      <alignment horizontal="center"/>
    </xf>
    <xf numFmtId="43" fontId="5" fillId="0" borderId="9" xfId="1" applyFont="1" applyBorder="1" applyAlignment="1">
      <alignment horizontal="center"/>
    </xf>
    <xf numFmtId="0" fontId="5" fillId="0" borderId="28" xfId="20" applyFont="1" applyBorder="1" applyAlignment="1">
      <alignment horizontal="center"/>
    </xf>
    <xf numFmtId="0" fontId="4" fillId="0" borderId="25" xfId="22" applyFont="1" applyFill="1" applyBorder="1" applyAlignment="1">
      <alignment horizontal="center" wrapText="1"/>
    </xf>
    <xf numFmtId="164" fontId="5" fillId="0" borderId="12" xfId="37" applyNumberFormat="1" applyFont="1" applyBorder="1" applyAlignment="1">
      <alignment horizontal="center"/>
    </xf>
    <xf numFmtId="0" fontId="4" fillId="0" borderId="25" xfId="22" applyFont="1" applyBorder="1" applyAlignment="1">
      <alignment horizontal="center" wrapText="1"/>
    </xf>
    <xf numFmtId="0" fontId="5" fillId="0" borderId="20" xfId="22" applyFont="1" applyBorder="1"/>
    <xf numFmtId="164" fontId="5" fillId="0" borderId="12" xfId="25" applyNumberFormat="1" applyFont="1" applyBorder="1" applyAlignment="1">
      <alignment horizontal="center"/>
    </xf>
    <xf numFmtId="0" fontId="5" fillId="0" borderId="19" xfId="22" applyFont="1" applyBorder="1"/>
    <xf numFmtId="166" fontId="5" fillId="0" borderId="12" xfId="22" applyNumberFormat="1" applyFont="1" applyBorder="1" applyAlignment="1">
      <alignment horizontal="center"/>
    </xf>
    <xf numFmtId="0" fontId="5" fillId="0" borderId="18" xfId="22" applyFont="1" applyBorder="1"/>
    <xf numFmtId="0" fontId="4" fillId="0" borderId="26" xfId="22" applyFont="1" applyBorder="1" applyAlignment="1">
      <alignment horizontal="center" wrapText="1"/>
    </xf>
    <xf numFmtId="166" fontId="5" fillId="0" borderId="12" xfId="22" applyNumberFormat="1" applyFont="1" applyFill="1" applyBorder="1" applyAlignment="1">
      <alignment horizontal="center"/>
    </xf>
    <xf numFmtId="0" fontId="5" fillId="0" borderId="17" xfId="22" applyFont="1" applyBorder="1"/>
    <xf numFmtId="164" fontId="5" fillId="0" borderId="35" xfId="25" applyNumberFormat="1" applyFont="1" applyBorder="1" applyAlignment="1">
      <alignment horizontal="center"/>
    </xf>
    <xf numFmtId="165" fontId="5" fillId="0" borderId="12" xfId="12" applyNumberFormat="1" applyFont="1" applyFill="1" applyBorder="1" applyAlignment="1">
      <alignment horizontal="center"/>
    </xf>
    <xf numFmtId="0" fontId="5" fillId="0" borderId="16" xfId="22" applyFont="1" applyBorder="1"/>
    <xf numFmtId="0" fontId="4" fillId="0" borderId="31" xfId="22" applyFont="1" applyBorder="1" applyAlignment="1">
      <alignment horizontal="center"/>
    </xf>
    <xf numFmtId="0" fontId="4" fillId="0" borderId="23" xfId="22" applyFont="1" applyBorder="1" applyAlignment="1">
      <alignment horizontal="center" wrapText="1"/>
    </xf>
    <xf numFmtId="0" fontId="5" fillId="0" borderId="15" xfId="22" applyFont="1" applyBorder="1"/>
    <xf numFmtId="164" fontId="5" fillId="0" borderId="36" xfId="25" applyNumberFormat="1" applyFont="1" applyBorder="1" applyAlignment="1">
      <alignment horizontal="center"/>
    </xf>
    <xf numFmtId="164" fontId="5" fillId="0" borderId="9" xfId="37" applyNumberFormat="1" applyFont="1" applyBorder="1" applyAlignment="1">
      <alignment horizontal="center"/>
    </xf>
    <xf numFmtId="0" fontId="4" fillId="0" borderId="14" xfId="22" applyFont="1" applyBorder="1"/>
    <xf numFmtId="0" fontId="5" fillId="0" borderId="37" xfId="22" applyFont="1" applyBorder="1" applyAlignment="1">
      <alignment horizontal="center"/>
    </xf>
    <xf numFmtId="164" fontId="5" fillId="0" borderId="38" xfId="25" applyNumberFormat="1" applyFont="1" applyBorder="1" applyAlignment="1">
      <alignment horizontal="center"/>
    </xf>
    <xf numFmtId="164" fontId="5" fillId="0" borderId="13" xfId="37" applyNumberFormat="1" applyFont="1" applyBorder="1" applyAlignment="1">
      <alignment horizontal="center"/>
    </xf>
    <xf numFmtId="0" fontId="5" fillId="0" borderId="21" xfId="22" applyFont="1" applyBorder="1"/>
    <xf numFmtId="43" fontId="4" fillId="0" borderId="39" xfId="8" applyFont="1" applyBorder="1"/>
    <xf numFmtId="0" fontId="7" fillId="0" borderId="40" xfId="22" applyFont="1" applyBorder="1" applyAlignment="1">
      <alignment wrapText="1"/>
    </xf>
    <xf numFmtId="164" fontId="5" fillId="0" borderId="9" xfId="25" applyNumberFormat="1" applyFont="1" applyFill="1" applyBorder="1"/>
    <xf numFmtId="0" fontId="4" fillId="0" borderId="0" xfId="19" applyFont="1"/>
    <xf numFmtId="0" fontId="5" fillId="0" borderId="0" xfId="19" applyFont="1"/>
    <xf numFmtId="0" fontId="6" fillId="0" borderId="0" xfId="19" applyFont="1" applyFill="1" applyBorder="1" applyAlignment="1">
      <alignment horizontal="left"/>
    </xf>
    <xf numFmtId="0" fontId="9" fillId="0" borderId="0" xfId="19" applyFont="1" applyFill="1"/>
    <xf numFmtId="0" fontId="5" fillId="0" borderId="0" xfId="19" applyFont="1" applyFill="1"/>
    <xf numFmtId="0" fontId="4" fillId="0" borderId="41" xfId="19" applyFont="1" applyBorder="1" applyAlignment="1">
      <alignment horizontal="center" wrapText="1"/>
    </xf>
    <xf numFmtId="0" fontId="5" fillId="0" borderId="1" xfId="19" applyFont="1" applyBorder="1" applyAlignment="1">
      <alignment horizontal="center"/>
    </xf>
    <xf numFmtId="2" fontId="5" fillId="0" borderId="33" xfId="19" applyNumberFormat="1" applyFont="1" applyBorder="1" applyAlignment="1">
      <alignment horizontal="center"/>
    </xf>
    <xf numFmtId="0" fontId="5" fillId="0" borderId="0" xfId="19" applyFont="1" applyBorder="1"/>
    <xf numFmtId="0" fontId="4" fillId="0" borderId="0" xfId="19" applyFont="1" applyAlignment="1">
      <alignment horizontal="right"/>
    </xf>
    <xf numFmtId="0" fontId="4" fillId="0" borderId="14" xfId="19" applyFont="1" applyBorder="1"/>
    <xf numFmtId="0" fontId="5" fillId="0" borderId="15" xfId="19" applyFont="1" applyBorder="1"/>
    <xf numFmtId="0" fontId="5" fillId="0" borderId="16" xfId="19" applyFont="1" applyBorder="1"/>
    <xf numFmtId="0" fontId="5" fillId="0" borderId="17" xfId="19" applyFont="1" applyBorder="1"/>
    <xf numFmtId="0" fontId="5" fillId="0" borderId="18" xfId="19" applyFont="1" applyBorder="1"/>
    <xf numFmtId="0" fontId="5" fillId="0" borderId="19" xfId="19" applyFont="1" applyBorder="1"/>
    <xf numFmtId="0" fontId="5" fillId="0" borderId="20" xfId="19" applyFont="1" applyBorder="1"/>
    <xf numFmtId="0" fontId="5" fillId="0" borderId="21" xfId="19" applyFont="1" applyBorder="1"/>
    <xf numFmtId="0" fontId="4" fillId="0" borderId="14" xfId="19" applyFont="1" applyBorder="1" applyAlignment="1">
      <alignment horizontal="center" wrapText="1"/>
    </xf>
    <xf numFmtId="0" fontId="4" fillId="0" borderId="42" xfId="19" applyFont="1" applyBorder="1" applyAlignment="1">
      <alignment horizontal="center" wrapText="1"/>
    </xf>
    <xf numFmtId="0" fontId="4" fillId="0" borderId="8" xfId="19" applyFont="1" applyBorder="1" applyAlignment="1">
      <alignment horizontal="center" wrapText="1"/>
    </xf>
    <xf numFmtId="164" fontId="5" fillId="0" borderId="34" xfId="25" applyNumberFormat="1" applyFont="1" applyBorder="1" applyAlignment="1">
      <alignment horizontal="center"/>
    </xf>
    <xf numFmtId="164" fontId="5" fillId="0" borderId="30" xfId="25" applyNumberFormat="1" applyFont="1" applyBorder="1" applyAlignment="1">
      <alignment horizontal="center"/>
    </xf>
    <xf numFmtId="0" fontId="4" fillId="0" borderId="31" xfId="19" applyFont="1" applyBorder="1" applyAlignment="1"/>
    <xf numFmtId="0" fontId="5" fillId="0" borderId="12" xfId="19" applyFont="1" applyBorder="1" applyAlignment="1">
      <alignment horizontal="center"/>
    </xf>
    <xf numFmtId="2" fontId="5" fillId="0" borderId="43" xfId="19" applyNumberFormat="1" applyFont="1" applyBorder="1" applyAlignment="1">
      <alignment horizontal="center"/>
    </xf>
    <xf numFmtId="2" fontId="5" fillId="0" borderId="44" xfId="19" applyNumberFormat="1" applyFont="1" applyBorder="1" applyAlignment="1">
      <alignment horizontal="center"/>
    </xf>
    <xf numFmtId="164" fontId="4" fillId="0" borderId="13" xfId="25" applyNumberFormat="1" applyFont="1" applyBorder="1" applyAlignment="1">
      <alignment horizontal="center"/>
    </xf>
    <xf numFmtId="0" fontId="8" fillId="0" borderId="37" xfId="19" applyFont="1" applyBorder="1" applyAlignment="1"/>
    <xf numFmtId="0" fontId="0" fillId="0" borderId="20" xfId="0" applyFont="1" applyBorder="1"/>
    <xf numFmtId="0" fontId="3" fillId="0" borderId="0" xfId="0" applyFont="1" applyAlignment="1">
      <alignment horizontal="right"/>
    </xf>
    <xf numFmtId="0" fontId="0" fillId="0" borderId="0" xfId="0" applyFont="1" applyBorder="1"/>
    <xf numFmtId="165" fontId="2" fillId="0" borderId="1" xfId="12" applyNumberFormat="1" applyFont="1" applyBorder="1"/>
    <xf numFmtId="0" fontId="0" fillId="0" borderId="37" xfId="0" applyFont="1" applyBorder="1"/>
    <xf numFmtId="0" fontId="0" fillId="0" borderId="19" xfId="0" applyFont="1" applyBorder="1"/>
    <xf numFmtId="0" fontId="3" fillId="0" borderId="0" xfId="0" applyFont="1"/>
    <xf numFmtId="0" fontId="0" fillId="0" borderId="0" xfId="0" applyFont="1"/>
    <xf numFmtId="0" fontId="3" fillId="0" borderId="14" xfId="0" applyFont="1" applyBorder="1"/>
    <xf numFmtId="0" fontId="0" fillId="0" borderId="15" xfId="0" applyFont="1" applyBorder="1"/>
    <xf numFmtId="0" fontId="0" fillId="0" borderId="16" xfId="0" applyFont="1" applyBorder="1"/>
    <xf numFmtId="0" fontId="0" fillId="0" borderId="17" xfId="0" applyFont="1" applyBorder="1"/>
    <xf numFmtId="0" fontId="0" fillId="0" borderId="18" xfId="0" applyFont="1" applyBorder="1"/>
    <xf numFmtId="0" fontId="0" fillId="0" borderId="21" xfId="0" applyFont="1" applyBorder="1"/>
    <xf numFmtId="0" fontId="0" fillId="0" borderId="0" xfId="0"/>
    <xf numFmtId="0" fontId="0" fillId="0" borderId="0" xfId="0" applyFont="1"/>
    <xf numFmtId="0" fontId="3" fillId="0" borderId="0" xfId="0" applyFont="1"/>
    <xf numFmtId="0" fontId="0" fillId="0" borderId="0" xfId="0" applyFont="1"/>
    <xf numFmtId="0" fontId="0" fillId="0" borderId="0" xfId="0" applyBorder="1"/>
    <xf numFmtId="0" fontId="4" fillId="0" borderId="1" xfId="21" applyFont="1" applyBorder="1" applyAlignment="1">
      <alignment horizontal="center"/>
    </xf>
    <xf numFmtId="0" fontId="5" fillId="0" borderId="0" xfId="21" applyFont="1" applyBorder="1"/>
    <xf numFmtId="0" fontId="4" fillId="0" borderId="0" xfId="21" applyFont="1" applyBorder="1"/>
    <xf numFmtId="164" fontId="2" fillId="0" borderId="9" xfId="25" applyNumberFormat="1" applyFont="1" applyBorder="1" applyAlignment="1">
      <alignment horizontal="center"/>
    </xf>
    <xf numFmtId="164" fontId="5" fillId="0" borderId="12" xfId="25" applyNumberFormat="1" applyFont="1" applyBorder="1"/>
    <xf numFmtId="0" fontId="3" fillId="0" borderId="25" xfId="0" applyFont="1" applyBorder="1"/>
    <xf numFmtId="164" fontId="5" fillId="0" borderId="1" xfId="25" applyNumberFormat="1" applyFont="1" applyFill="1" applyBorder="1"/>
    <xf numFmtId="0" fontId="3" fillId="0" borderId="26" xfId="0" applyFont="1" applyBorder="1"/>
    <xf numFmtId="0" fontId="0" fillId="0" borderId="0" xfId="0"/>
    <xf numFmtId="0" fontId="0" fillId="0" borderId="0" xfId="0" applyBorder="1"/>
    <xf numFmtId="166" fontId="1" fillId="0" borderId="1" xfId="22" applyNumberFormat="1" applyFont="1" applyBorder="1" applyAlignment="1">
      <alignment horizontal="center"/>
    </xf>
    <xf numFmtId="0" fontId="3" fillId="0" borderId="0" xfId="0" applyFont="1" applyBorder="1" applyAlignment="1">
      <alignment horizontal="right"/>
    </xf>
    <xf numFmtId="0" fontId="4" fillId="0" borderId="14" xfId="21" applyFont="1" applyBorder="1" applyAlignment="1">
      <alignment horizontal="left"/>
    </xf>
    <xf numFmtId="0" fontId="0" fillId="0" borderId="15" xfId="0" applyFont="1" applyBorder="1"/>
    <xf numFmtId="0" fontId="0" fillId="0" borderId="16" xfId="0" applyBorder="1"/>
    <xf numFmtId="0" fontId="0" fillId="0" borderId="17" xfId="0" applyFont="1" applyBorder="1"/>
    <xf numFmtId="0" fontId="0" fillId="0" borderId="18" xfId="0" applyBorder="1"/>
    <xf numFmtId="0" fontId="4" fillId="0" borderId="19" xfId="21" applyFont="1" applyBorder="1" applyAlignment="1">
      <alignment wrapText="1"/>
    </xf>
    <xf numFmtId="0" fontId="4" fillId="0" borderId="20" xfId="21" applyFont="1" applyBorder="1" applyAlignment="1">
      <alignment wrapText="1"/>
    </xf>
    <xf numFmtId="0" fontId="0" fillId="0" borderId="21" xfId="0" applyBorder="1"/>
    <xf numFmtId="0" fontId="4" fillId="0" borderId="23" xfId="21" applyFont="1" applyBorder="1" applyAlignment="1">
      <alignment horizontal="center"/>
    </xf>
    <xf numFmtId="0" fontId="4" fillId="0" borderId="37" xfId="21" applyFont="1" applyBorder="1" applyAlignment="1">
      <alignment horizontal="center"/>
    </xf>
    <xf numFmtId="0" fontId="4" fillId="0" borderId="9" xfId="21" applyFont="1" applyBorder="1" applyAlignment="1">
      <alignment horizontal="center"/>
    </xf>
    <xf numFmtId="0" fontId="4" fillId="0" borderId="37" xfId="21" applyFont="1" applyBorder="1" applyAlignment="1"/>
    <xf numFmtId="164" fontId="5" fillId="0" borderId="9" xfId="25" applyNumberFormat="1" applyFont="1" applyBorder="1" applyAlignment="1">
      <alignment horizontal="center"/>
    </xf>
    <xf numFmtId="0" fontId="4" fillId="0" borderId="37" xfId="21" applyFont="1" applyBorder="1"/>
    <xf numFmtId="0" fontId="4" fillId="0" borderId="0" xfId="17" applyFont="1"/>
    <xf numFmtId="0" fontId="5" fillId="0" borderId="0" xfId="17" applyFont="1"/>
    <xf numFmtId="14" fontId="5" fillId="0" borderId="0" xfId="17" applyNumberFormat="1" applyFont="1"/>
    <xf numFmtId="0" fontId="5" fillId="0" borderId="1" xfId="17" applyFont="1" applyBorder="1" applyAlignment="1">
      <alignment horizontal="center"/>
    </xf>
    <xf numFmtId="0" fontId="10" fillId="0" borderId="0" xfId="17" applyFont="1" applyAlignment="1">
      <alignment horizontal="center"/>
    </xf>
    <xf numFmtId="0" fontId="10" fillId="0" borderId="0" xfId="17" applyFont="1"/>
    <xf numFmtId="0" fontId="5" fillId="0" borderId="0" xfId="17" applyFont="1" applyBorder="1"/>
    <xf numFmtId="0" fontId="4" fillId="0" borderId="0" xfId="17" applyFont="1" applyAlignment="1">
      <alignment horizontal="right"/>
    </xf>
    <xf numFmtId="1" fontId="5" fillId="0" borderId="1" xfId="17" applyNumberFormat="1" applyFont="1" applyBorder="1" applyAlignment="1">
      <alignment horizontal="center"/>
    </xf>
    <xf numFmtId="0" fontId="4" fillId="0" borderId="14" xfId="17" applyFont="1" applyBorder="1"/>
    <xf numFmtId="0" fontId="5" fillId="0" borderId="15" xfId="17" applyFont="1" applyBorder="1"/>
    <xf numFmtId="0" fontId="5" fillId="0" borderId="16" xfId="17" applyFont="1" applyBorder="1"/>
    <xf numFmtId="0" fontId="5" fillId="0" borderId="17" xfId="17" applyFont="1" applyBorder="1"/>
    <xf numFmtId="0" fontId="5" fillId="0" borderId="18" xfId="17" applyFont="1" applyBorder="1"/>
    <xf numFmtId="0" fontId="4" fillId="0" borderId="17" xfId="17" applyFont="1" applyBorder="1"/>
    <xf numFmtId="0" fontId="5" fillId="0" borderId="19" xfId="17" applyFont="1" applyBorder="1"/>
    <xf numFmtId="0" fontId="5" fillId="0" borderId="20" xfId="17" applyFont="1" applyBorder="1"/>
    <xf numFmtId="0" fontId="5" fillId="0" borderId="21" xfId="17" applyFont="1" applyBorder="1"/>
    <xf numFmtId="0" fontId="4" fillId="0" borderId="25" xfId="17" applyFont="1" applyBorder="1" applyAlignment="1">
      <alignment horizontal="center" wrapText="1"/>
    </xf>
    <xf numFmtId="0" fontId="4" fillId="0" borderId="26" xfId="17" applyFont="1" applyBorder="1" applyAlignment="1">
      <alignment horizontal="center" wrapText="1"/>
    </xf>
    <xf numFmtId="0" fontId="4" fillId="0" borderId="31" xfId="17" applyFont="1" applyBorder="1"/>
    <xf numFmtId="0" fontId="4" fillId="0" borderId="12" xfId="17" applyFont="1" applyBorder="1"/>
    <xf numFmtId="1" fontId="5" fillId="0" borderId="12" xfId="17" applyNumberFormat="1" applyFont="1" applyBorder="1" applyAlignment="1">
      <alignment horizontal="center"/>
    </xf>
    <xf numFmtId="0" fontId="5" fillId="0" borderId="12" xfId="17" applyFont="1" applyBorder="1" applyAlignment="1">
      <alignment horizontal="center"/>
    </xf>
    <xf numFmtId="164" fontId="5" fillId="0" borderId="13" xfId="26" applyNumberFormat="1" applyFont="1" applyBorder="1" applyAlignment="1">
      <alignment horizontal="center"/>
    </xf>
    <xf numFmtId="0" fontId="5" fillId="0" borderId="0" xfId="17" applyFont="1" applyBorder="1" applyAlignment="1">
      <alignment horizontal="center"/>
    </xf>
    <xf numFmtId="0" fontId="0" fillId="0" borderId="9" xfId="0" applyBorder="1" applyAlignment="1">
      <alignment horizontal="center"/>
    </xf>
    <xf numFmtId="0" fontId="0" fillId="0" borderId="13" xfId="0" applyBorder="1" applyAlignment="1">
      <alignment horizontal="center"/>
    </xf>
    <xf numFmtId="164" fontId="4" fillId="0" borderId="37" xfId="17" applyNumberFormat="1" applyFont="1" applyBorder="1" applyAlignment="1">
      <alignment horizontal="center"/>
    </xf>
    <xf numFmtId="164" fontId="4" fillId="0" borderId="37" xfId="26" applyNumberFormat="1" applyFont="1" applyBorder="1" applyAlignment="1">
      <alignment horizontal="center"/>
    </xf>
    <xf numFmtId="164" fontId="4" fillId="0" borderId="1" xfId="26" applyNumberFormat="1" applyFont="1" applyBorder="1" applyAlignment="1">
      <alignment horizontal="center"/>
    </xf>
    <xf numFmtId="44" fontId="7" fillId="0" borderId="1" xfId="13" applyFont="1" applyBorder="1" applyAlignment="1">
      <alignment horizontal="center"/>
    </xf>
    <xf numFmtId="164" fontId="8" fillId="0" borderId="1" xfId="26" applyNumberFormat="1" applyFont="1" applyBorder="1" applyAlignment="1">
      <alignment horizontal="center"/>
    </xf>
    <xf numFmtId="164" fontId="8" fillId="0" borderId="1" xfId="26" quotePrefix="1" applyNumberFormat="1" applyFont="1" applyBorder="1" applyAlignment="1">
      <alignment horizontal="center"/>
    </xf>
    <xf numFmtId="0" fontId="0" fillId="0" borderId="0" xfId="0" applyAlignment="1">
      <alignment wrapText="1"/>
    </xf>
    <xf numFmtId="0" fontId="4" fillId="0" borderId="7" xfId="0" applyFont="1" applyBorder="1" applyAlignment="1">
      <alignment horizontal="center" wrapText="1"/>
    </xf>
    <xf numFmtId="0" fontId="4" fillId="0" borderId="33" xfId="0" applyFont="1" applyBorder="1" applyAlignment="1">
      <alignment horizontal="center" wrapText="1"/>
    </xf>
    <xf numFmtId="43" fontId="5" fillId="0" borderId="3" xfId="1" applyFont="1" applyBorder="1" applyAlignment="1">
      <alignment horizontal="center"/>
    </xf>
    <xf numFmtId="164" fontId="5" fillId="0" borderId="3" xfId="38" applyNumberFormat="1" applyFont="1" applyBorder="1" applyAlignment="1">
      <alignment horizontal="center"/>
    </xf>
    <xf numFmtId="164" fontId="5" fillId="0" borderId="28" xfId="38" applyNumberFormat="1" applyFont="1" applyBorder="1" applyAlignment="1">
      <alignment horizontal="center"/>
    </xf>
    <xf numFmtId="0" fontId="4" fillId="0" borderId="45" xfId="23" applyFont="1" applyBorder="1" applyAlignment="1"/>
    <xf numFmtId="0" fontId="4" fillId="0" borderId="10" xfId="23" applyFont="1" applyBorder="1" applyAlignment="1"/>
    <xf numFmtId="0" fontId="0" fillId="0" borderId="0" xfId="0"/>
    <xf numFmtId="0" fontId="4" fillId="0" borderId="34" xfId="0" applyFont="1" applyBorder="1" applyAlignment="1">
      <alignment horizontal="center" wrapText="1"/>
    </xf>
    <xf numFmtId="164" fontId="0" fillId="0" borderId="13" xfId="0" applyNumberFormat="1" applyFont="1" applyBorder="1" applyAlignment="1">
      <alignment horizontal="center"/>
    </xf>
    <xf numFmtId="0" fontId="0" fillId="0" borderId="0" xfId="0"/>
    <xf numFmtId="44" fontId="4" fillId="0" borderId="37" xfId="13" applyFont="1" applyBorder="1" applyAlignment="1">
      <alignment horizontal="center"/>
    </xf>
    <xf numFmtId="44" fontId="4" fillId="0" borderId="1" xfId="13" applyFont="1" applyBorder="1" applyAlignment="1">
      <alignment horizontal="center"/>
    </xf>
    <xf numFmtId="164" fontId="5" fillId="0" borderId="9" xfId="25" applyNumberFormat="1" applyFont="1" applyBorder="1" applyAlignment="1">
      <alignment horizontal="center"/>
    </xf>
    <xf numFmtId="164" fontId="5" fillId="0" borderId="13" xfId="25" applyNumberFormat="1" applyFont="1" applyBorder="1" applyAlignment="1">
      <alignment horizontal="center"/>
    </xf>
    <xf numFmtId="0" fontId="4" fillId="0" borderId="0" xfId="16" applyFont="1" applyBorder="1" applyAlignment="1">
      <alignment horizontal="left" vertical="top"/>
    </xf>
    <xf numFmtId="0" fontId="4" fillId="0" borderId="0" xfId="16" applyFont="1" applyBorder="1" applyAlignment="1">
      <alignment horizontal="right" vertical="top"/>
    </xf>
    <xf numFmtId="0" fontId="0" fillId="0" borderId="0" xfId="0" applyBorder="1" applyAlignment="1">
      <alignment vertical="top"/>
    </xf>
    <xf numFmtId="0" fontId="0" fillId="0" borderId="0" xfId="0" applyFont="1" applyBorder="1" applyAlignment="1">
      <alignment vertical="top" wrapText="1"/>
    </xf>
    <xf numFmtId="0" fontId="4" fillId="0" borderId="0" xfId="16" applyFont="1" applyBorder="1" applyAlignment="1">
      <alignment vertical="top"/>
    </xf>
    <xf numFmtId="0" fontId="4" fillId="0" borderId="0" xfId="16" applyFont="1" applyBorder="1" applyAlignment="1">
      <alignment vertical="top" wrapText="1"/>
    </xf>
    <xf numFmtId="0" fontId="4" fillId="0" borderId="23" xfId="16" applyFont="1" applyBorder="1" applyAlignment="1">
      <alignment vertical="top" wrapText="1"/>
    </xf>
    <xf numFmtId="0" fontId="5" fillId="0" borderId="26" xfId="16" applyFont="1" applyBorder="1" applyAlignment="1">
      <alignment vertical="top"/>
    </xf>
    <xf numFmtId="0" fontId="4" fillId="0" borderId="37" xfId="16" applyFont="1" applyBorder="1" applyAlignment="1">
      <alignment horizontal="left" vertical="top" wrapText="1"/>
    </xf>
    <xf numFmtId="0" fontId="5" fillId="0" borderId="9" xfId="16" applyFont="1" applyFill="1" applyBorder="1" applyAlignment="1">
      <alignment vertical="top"/>
    </xf>
    <xf numFmtId="0" fontId="5" fillId="0" borderId="9" xfId="16" applyFont="1" applyBorder="1" applyAlignment="1">
      <alignment vertical="top" wrapText="1"/>
    </xf>
    <xf numFmtId="0" fontId="4" fillId="0" borderId="37" xfId="16" applyFont="1" applyFill="1" applyBorder="1" applyAlignment="1">
      <alignment vertical="top" wrapText="1"/>
    </xf>
    <xf numFmtId="0" fontId="5" fillId="0" borderId="9" xfId="16" applyFont="1" applyBorder="1" applyAlignment="1">
      <alignment horizontal="left" vertical="top" wrapText="1"/>
    </xf>
    <xf numFmtId="0" fontId="0" fillId="0" borderId="0" xfId="0" applyBorder="1" applyAlignment="1">
      <alignment horizontal="left" vertical="top"/>
    </xf>
    <xf numFmtId="0" fontId="3" fillId="0" borderId="37" xfId="0" applyFont="1" applyFill="1" applyBorder="1" applyAlignment="1">
      <alignment vertical="top" wrapText="1"/>
    </xf>
    <xf numFmtId="0" fontId="0" fillId="0" borderId="9" xfId="0" applyBorder="1" applyAlignment="1">
      <alignment vertical="top"/>
    </xf>
    <xf numFmtId="0" fontId="4" fillId="0" borderId="37" xfId="16" applyFont="1" applyBorder="1" applyAlignment="1">
      <alignment vertical="top" wrapText="1"/>
    </xf>
    <xf numFmtId="0" fontId="5" fillId="0" borderId="13" xfId="16" applyFont="1" applyBorder="1" applyAlignment="1">
      <alignment vertical="top" wrapText="1"/>
    </xf>
    <xf numFmtId="0" fontId="0" fillId="0" borderId="0" xfId="0" applyBorder="1" applyAlignment="1">
      <alignment vertical="top" wrapText="1"/>
    </xf>
    <xf numFmtId="0" fontId="4" fillId="0" borderId="37" xfId="16" applyFont="1" applyBorder="1" applyAlignment="1">
      <alignment horizontal="left" vertical="top" wrapText="1" indent="2"/>
    </xf>
    <xf numFmtId="0" fontId="4" fillId="0" borderId="37" xfId="16" applyFont="1" applyFill="1" applyBorder="1" applyAlignment="1">
      <alignment horizontal="left" vertical="top" wrapText="1" indent="2"/>
    </xf>
    <xf numFmtId="0" fontId="3" fillId="0" borderId="37" xfId="0" applyFont="1" applyBorder="1" applyAlignment="1">
      <alignment horizontal="left" vertical="top" wrapText="1" indent="2"/>
    </xf>
    <xf numFmtId="0" fontId="4" fillId="0" borderId="31" xfId="16" applyFont="1" applyBorder="1" applyAlignment="1">
      <alignment horizontal="left" vertical="top" wrapText="1" indent="2"/>
    </xf>
    <xf numFmtId="0" fontId="4" fillId="0" borderId="0" xfId="21" applyFont="1" applyBorder="1" applyAlignment="1">
      <alignment wrapText="1"/>
    </xf>
    <xf numFmtId="0" fontId="3" fillId="0" borderId="37" xfId="0" applyFont="1" applyFill="1" applyBorder="1" applyAlignment="1">
      <alignment horizontal="left" vertical="center" wrapText="1" indent="2"/>
    </xf>
    <xf numFmtId="0" fontId="7" fillId="0" borderId="46" xfId="23" applyFont="1" applyBorder="1" applyAlignment="1">
      <alignment horizontal="left" wrapText="1"/>
    </xf>
    <xf numFmtId="0" fontId="11" fillId="0" borderId="47" xfId="0" applyFont="1" applyBorder="1" applyAlignment="1">
      <alignment horizontal="left" wrapText="1"/>
    </xf>
    <xf numFmtId="0" fontId="11" fillId="0" borderId="36" xfId="0" applyFont="1" applyBorder="1" applyAlignment="1">
      <alignment horizontal="left" wrapText="1"/>
    </xf>
    <xf numFmtId="14" fontId="7" fillId="0" borderId="11" xfId="23" applyNumberFormat="1" applyFont="1" applyBorder="1" applyAlignment="1">
      <alignment horizontal="left"/>
    </xf>
    <xf numFmtId="14" fontId="11" fillId="0" borderId="22" xfId="0" applyNumberFormat="1" applyFont="1" applyBorder="1" applyAlignment="1">
      <alignment horizontal="left"/>
    </xf>
    <xf numFmtId="14" fontId="11" fillId="0" borderId="38" xfId="0" applyNumberFormat="1" applyFont="1" applyBorder="1" applyAlignment="1">
      <alignment horizontal="left"/>
    </xf>
    <xf numFmtId="0" fontId="3" fillId="0" borderId="0" xfId="0" applyFont="1" applyAlignment="1">
      <alignment horizontal="left" wrapText="1"/>
    </xf>
    <xf numFmtId="0" fontId="7" fillId="0" borderId="10" xfId="23" applyFont="1" applyBorder="1" applyAlignment="1">
      <alignment horizontal="left" wrapText="1"/>
    </xf>
    <xf numFmtId="0" fontId="7" fillId="0" borderId="48" xfId="23" applyFont="1" applyBorder="1" applyAlignment="1">
      <alignment horizontal="left" wrapText="1"/>
    </xf>
    <xf numFmtId="0" fontId="7" fillId="0" borderId="35" xfId="23" applyFont="1" applyBorder="1" applyAlignment="1">
      <alignment horizontal="left" wrapText="1"/>
    </xf>
    <xf numFmtId="0" fontId="4" fillId="0" borderId="0" xfId="23" applyFont="1" applyAlignment="1">
      <alignment horizontal="left" wrapText="1"/>
    </xf>
    <xf numFmtId="0" fontId="4" fillId="0" borderId="49" xfId="23" applyFont="1" applyBorder="1" applyAlignment="1">
      <alignment horizontal="center" wrapText="1"/>
    </xf>
    <xf numFmtId="0" fontId="4" fillId="0" borderId="50" xfId="23" applyFont="1" applyBorder="1" applyAlignment="1">
      <alignment horizontal="center" wrapText="1"/>
    </xf>
    <xf numFmtId="0" fontId="4" fillId="0" borderId="51" xfId="23" applyFont="1" applyBorder="1" applyAlignment="1">
      <alignment horizontal="center" wrapText="1"/>
    </xf>
    <xf numFmtId="0" fontId="4" fillId="0" borderId="33" xfId="23" applyFont="1" applyBorder="1" applyAlignment="1">
      <alignment horizontal="center" wrapText="1"/>
    </xf>
    <xf numFmtId="0" fontId="4" fillId="0" borderId="52" xfId="23" applyFont="1" applyBorder="1" applyAlignment="1">
      <alignment horizontal="center" wrapText="1"/>
    </xf>
    <xf numFmtId="0" fontId="4" fillId="0" borderId="34" xfId="23" applyFont="1" applyBorder="1" applyAlignment="1">
      <alignment horizontal="center" wrapText="1"/>
    </xf>
    <xf numFmtId="0" fontId="3" fillId="0" borderId="0" xfId="0" applyFont="1" applyAlignment="1">
      <alignment horizontal="left"/>
    </xf>
    <xf numFmtId="0" fontId="0" fillId="0" borderId="23" xfId="0" applyBorder="1" applyAlignment="1">
      <alignment horizontal="left"/>
    </xf>
    <xf numFmtId="0" fontId="0" fillId="0" borderId="25" xfId="0" applyBorder="1" applyAlignment="1">
      <alignment horizontal="left"/>
    </xf>
    <xf numFmtId="0" fontId="4" fillId="0" borderId="37" xfId="22" applyFont="1" applyBorder="1" applyAlignment="1">
      <alignment horizontal="left"/>
    </xf>
    <xf numFmtId="0" fontId="4" fillId="0" borderId="1" xfId="22" applyFont="1" applyBorder="1" applyAlignment="1">
      <alignment horizontal="left"/>
    </xf>
    <xf numFmtId="0" fontId="4" fillId="0" borderId="10" xfId="22" applyFont="1" applyBorder="1" applyAlignment="1">
      <alignment horizontal="left"/>
    </xf>
    <xf numFmtId="0" fontId="4" fillId="0" borderId="48" xfId="22" applyFont="1" applyBorder="1" applyAlignment="1">
      <alignment horizontal="left"/>
    </xf>
    <xf numFmtId="0" fontId="4" fillId="0" borderId="54" xfId="22" applyFont="1" applyBorder="1" applyAlignment="1">
      <alignment horizontal="left"/>
    </xf>
    <xf numFmtId="0" fontId="4" fillId="0" borderId="31" xfId="22" applyFont="1" applyBorder="1" applyAlignment="1">
      <alignment horizontal="left"/>
    </xf>
    <xf numFmtId="0" fontId="4" fillId="0" borderId="12" xfId="22" applyFont="1" applyBorder="1" applyAlignment="1">
      <alignment horizontal="left"/>
    </xf>
    <xf numFmtId="0" fontId="4" fillId="0" borderId="0" xfId="8" applyNumberFormat="1" applyFont="1" applyAlignment="1">
      <alignment horizontal="left"/>
    </xf>
    <xf numFmtId="0" fontId="4" fillId="0" borderId="10" xfId="22" applyFont="1" applyBorder="1" applyAlignment="1"/>
    <xf numFmtId="0" fontId="5" fillId="0" borderId="48" xfId="22" applyFont="1" applyBorder="1" applyAlignment="1"/>
    <xf numFmtId="0" fontId="5" fillId="0" borderId="54" xfId="22" applyFont="1" applyBorder="1" applyAlignment="1"/>
    <xf numFmtId="0" fontId="4" fillId="0" borderId="11" xfId="22" applyFont="1" applyBorder="1" applyAlignment="1"/>
    <xf numFmtId="0" fontId="5" fillId="0" borderId="22" xfId="22" applyFont="1" applyBorder="1" applyAlignment="1"/>
    <xf numFmtId="0" fontId="5" fillId="0" borderId="55" xfId="22" applyFont="1" applyBorder="1" applyAlignment="1"/>
    <xf numFmtId="0" fontId="7" fillId="0" borderId="46" xfId="22" applyFont="1" applyBorder="1" applyAlignment="1">
      <alignment horizontal="left" wrapText="1"/>
    </xf>
    <xf numFmtId="0" fontId="7" fillId="0" borderId="47" xfId="22" applyFont="1" applyBorder="1" applyAlignment="1">
      <alignment horizontal="left" wrapText="1"/>
    </xf>
    <xf numFmtId="0" fontId="7" fillId="0" borderId="36" xfId="22" applyFont="1" applyBorder="1" applyAlignment="1">
      <alignment horizontal="left" wrapText="1"/>
    </xf>
    <xf numFmtId="14" fontId="7" fillId="0" borderId="11" xfId="22" applyNumberFormat="1" applyFont="1" applyBorder="1" applyAlignment="1">
      <alignment horizontal="left"/>
    </xf>
    <xf numFmtId="14" fontId="7" fillId="0" borderId="22" xfId="22" applyNumberFormat="1" applyFont="1" applyBorder="1" applyAlignment="1">
      <alignment horizontal="left"/>
    </xf>
    <xf numFmtId="14" fontId="7" fillId="0" borderId="38" xfId="22" applyNumberFormat="1" applyFont="1" applyBorder="1" applyAlignment="1">
      <alignment horizontal="left"/>
    </xf>
    <xf numFmtId="0" fontId="4" fillId="0" borderId="46" xfId="22" applyFont="1" applyBorder="1" applyAlignment="1"/>
    <xf numFmtId="0" fontId="5" fillId="0" borderId="47" xfId="22" applyFont="1" applyBorder="1" applyAlignment="1"/>
    <xf numFmtId="0" fontId="5" fillId="0" borderId="53" xfId="22" applyFont="1" applyBorder="1" applyAlignment="1"/>
    <xf numFmtId="0" fontId="7" fillId="0" borderId="10" xfId="22" applyFont="1" applyBorder="1" applyAlignment="1">
      <alignment horizontal="left" wrapText="1"/>
    </xf>
    <xf numFmtId="0" fontId="7" fillId="0" borderId="48" xfId="22" applyFont="1" applyBorder="1" applyAlignment="1">
      <alignment horizontal="left" wrapText="1"/>
    </xf>
    <xf numFmtId="0" fontId="7" fillId="0" borderId="35" xfId="22" applyFont="1" applyBorder="1" applyAlignment="1">
      <alignment horizontal="left" wrapText="1"/>
    </xf>
    <xf numFmtId="0" fontId="4" fillId="0" borderId="11" xfId="21" applyFont="1" applyBorder="1" applyAlignment="1">
      <alignment horizontal="left"/>
    </xf>
    <xf numFmtId="0" fontId="4" fillId="0" borderId="22" xfId="21" applyFont="1" applyBorder="1" applyAlignment="1">
      <alignment horizontal="left"/>
    </xf>
    <xf numFmtId="0" fontId="4" fillId="0" borderId="55" xfId="21" applyFont="1" applyBorder="1" applyAlignment="1">
      <alignment horizontal="left"/>
    </xf>
    <xf numFmtId="0" fontId="3" fillId="0" borderId="0" xfId="0" applyFont="1" applyBorder="1" applyAlignment="1">
      <alignment horizontal="left" wrapText="1" indent="2"/>
    </xf>
    <xf numFmtId="0" fontId="7" fillId="0" borderId="14" xfId="21" applyFont="1" applyBorder="1" applyAlignment="1">
      <alignment horizontal="left" wrapText="1"/>
    </xf>
    <xf numFmtId="0" fontId="11" fillId="0" borderId="15" xfId="0" applyFont="1" applyBorder="1" applyAlignment="1">
      <alignment horizontal="left" wrapText="1"/>
    </xf>
    <xf numFmtId="0" fontId="11" fillId="0" borderId="16" xfId="0" applyFont="1" applyBorder="1" applyAlignment="1">
      <alignment horizontal="left" wrapText="1"/>
    </xf>
    <xf numFmtId="0" fontId="7" fillId="0" borderId="31" xfId="21" applyFont="1" applyBorder="1" applyAlignment="1">
      <alignment horizontal="left"/>
    </xf>
    <xf numFmtId="0" fontId="11" fillId="0" borderId="12" xfId="0" applyFont="1" applyBorder="1" applyAlignment="1">
      <alignment horizontal="left"/>
    </xf>
    <xf numFmtId="0" fontId="11" fillId="0" borderId="13" xfId="0" applyFont="1" applyBorder="1" applyAlignment="1">
      <alignment horizontal="left"/>
    </xf>
    <xf numFmtId="0" fontId="4" fillId="0" borderId="25" xfId="21" applyFont="1" applyBorder="1" applyAlignment="1">
      <alignment horizontal="center"/>
    </xf>
    <xf numFmtId="0" fontId="4" fillId="0" borderId="26" xfId="21" applyFont="1" applyBorder="1" applyAlignment="1">
      <alignment horizontal="center"/>
    </xf>
    <xf numFmtId="0" fontId="4" fillId="0" borderId="0" xfId="21" applyFont="1" applyBorder="1" applyAlignment="1">
      <alignment horizontal="left" wrapText="1"/>
    </xf>
    <xf numFmtId="0" fontId="3" fillId="0" borderId="0" xfId="0" applyFont="1" applyBorder="1" applyAlignment="1">
      <alignment horizontal="left" wrapText="1"/>
    </xf>
    <xf numFmtId="0" fontId="0" fillId="0" borderId="1" xfId="0" applyBorder="1" applyAlignment="1">
      <alignment horizontal="left"/>
    </xf>
    <xf numFmtId="0" fontId="4" fillId="0" borderId="31" xfId="0" applyFont="1" applyBorder="1" applyAlignment="1">
      <alignment horizontal="left"/>
    </xf>
    <xf numFmtId="0" fontId="4" fillId="0" borderId="12" xfId="0" applyFont="1" applyBorder="1" applyAlignment="1">
      <alignment horizontal="left"/>
    </xf>
    <xf numFmtId="0" fontId="0" fillId="0" borderId="37" xfId="0" applyFont="1" applyBorder="1" applyAlignment="1">
      <alignment horizontal="center"/>
    </xf>
    <xf numFmtId="0" fontId="0" fillId="0" borderId="31" xfId="0" applyFont="1" applyBorder="1" applyAlignment="1">
      <alignment horizontal="center"/>
    </xf>
    <xf numFmtId="0" fontId="3" fillId="0" borderId="37" xfId="0" applyFont="1" applyBorder="1" applyAlignment="1">
      <alignment horizontal="left"/>
    </xf>
    <xf numFmtId="0" fontId="3" fillId="0" borderId="1" xfId="0" applyFont="1" applyBorder="1" applyAlignment="1">
      <alignment horizontal="left"/>
    </xf>
    <xf numFmtId="0" fontId="3" fillId="0" borderId="9" xfId="0" applyFont="1" applyBorder="1" applyAlignment="1">
      <alignment horizontal="left"/>
    </xf>
    <xf numFmtId="0" fontId="0" fillId="0" borderId="23" xfId="0" applyFill="1" applyBorder="1" applyAlignment="1">
      <alignment horizontal="left" wrapText="1"/>
    </xf>
    <xf numFmtId="0" fontId="0" fillId="0" borderId="25" xfId="0" applyFill="1" applyBorder="1" applyAlignment="1">
      <alignment horizontal="left" wrapText="1"/>
    </xf>
    <xf numFmtId="0" fontId="0" fillId="0" borderId="26" xfId="0" applyFill="1" applyBorder="1" applyAlignment="1">
      <alignment horizontal="left" wrapText="1"/>
    </xf>
    <xf numFmtId="0" fontId="0" fillId="0" borderId="46" xfId="0" applyBorder="1" applyAlignment="1">
      <alignment horizontal="left" wrapText="1"/>
    </xf>
    <xf numFmtId="0" fontId="0" fillId="0" borderId="47" xfId="0" applyBorder="1" applyAlignment="1">
      <alignment horizontal="left" wrapText="1"/>
    </xf>
    <xf numFmtId="0" fontId="0" fillId="0" borderId="36" xfId="0" applyBorder="1" applyAlignment="1">
      <alignment horizontal="left" wrapText="1"/>
    </xf>
    <xf numFmtId="0" fontId="0" fillId="0" borderId="12" xfId="0" applyBorder="1" applyAlignment="1">
      <alignment horizontal="left"/>
    </xf>
    <xf numFmtId="0" fontId="4" fillId="0" borderId="0" xfId="24" applyFont="1" applyAlignment="1">
      <alignment horizontal="left"/>
    </xf>
    <xf numFmtId="0" fontId="7" fillId="0" borderId="46" xfId="24" applyFont="1" applyBorder="1" applyAlignment="1">
      <alignment horizontal="left" wrapText="1"/>
    </xf>
    <xf numFmtId="0" fontId="7" fillId="0" borderId="47" xfId="24" applyFont="1" applyBorder="1" applyAlignment="1">
      <alignment horizontal="left" wrapText="1"/>
    </xf>
    <xf numFmtId="0" fontId="7" fillId="0" borderId="36" xfId="24" applyFont="1" applyBorder="1" applyAlignment="1">
      <alignment horizontal="left" wrapText="1"/>
    </xf>
    <xf numFmtId="14" fontId="7" fillId="0" borderId="11" xfId="24" applyNumberFormat="1" applyFont="1" applyBorder="1" applyAlignment="1">
      <alignment horizontal="left"/>
    </xf>
    <xf numFmtId="14" fontId="7" fillId="0" borderId="22" xfId="24" applyNumberFormat="1" applyFont="1" applyBorder="1" applyAlignment="1">
      <alignment horizontal="left"/>
    </xf>
    <xf numFmtId="14" fontId="7" fillId="0" borderId="38" xfId="24" applyNumberFormat="1" applyFont="1" applyBorder="1" applyAlignment="1">
      <alignment horizontal="left"/>
    </xf>
    <xf numFmtId="0" fontId="4" fillId="0" borderId="0" xfId="20" applyFont="1" applyAlignment="1">
      <alignment horizontal="left"/>
    </xf>
    <xf numFmtId="0" fontId="4" fillId="0" borderId="10" xfId="20" applyFont="1" applyBorder="1" applyAlignment="1"/>
    <xf numFmtId="0" fontId="5" fillId="0" borderId="48" xfId="20" applyFont="1" applyBorder="1" applyAlignment="1"/>
    <xf numFmtId="0" fontId="5" fillId="0" borderId="54" xfId="20" applyFont="1" applyBorder="1" applyAlignment="1"/>
    <xf numFmtId="0" fontId="8" fillId="0" borderId="10" xfId="20" applyFont="1" applyBorder="1" applyAlignment="1"/>
    <xf numFmtId="0" fontId="8" fillId="0" borderId="48" xfId="20" applyFont="1" applyBorder="1" applyAlignment="1"/>
    <xf numFmtId="0" fontId="8" fillId="0" borderId="54" xfId="20" applyFont="1" applyBorder="1" applyAlignment="1"/>
    <xf numFmtId="0" fontId="4" fillId="0" borderId="0" xfId="20" applyFont="1" applyAlignment="1">
      <alignment horizontal="left" wrapText="1"/>
    </xf>
    <xf numFmtId="0" fontId="8" fillId="0" borderId="46" xfId="20" applyFont="1" applyBorder="1" applyAlignment="1">
      <alignment horizontal="left" wrapText="1"/>
    </xf>
    <xf numFmtId="0" fontId="8" fillId="0" borderId="47" xfId="20" applyFont="1" applyBorder="1" applyAlignment="1">
      <alignment horizontal="left" wrapText="1"/>
    </xf>
    <xf numFmtId="0" fontId="8" fillId="0" borderId="36" xfId="20" applyFont="1" applyBorder="1" applyAlignment="1">
      <alignment horizontal="left" wrapText="1"/>
    </xf>
    <xf numFmtId="0" fontId="4" fillId="0" borderId="14" xfId="20" applyFont="1" applyBorder="1" applyAlignment="1">
      <alignment horizontal="center"/>
    </xf>
    <xf numFmtId="0" fontId="4" fillId="0" borderId="15" xfId="20" applyFont="1" applyBorder="1" applyAlignment="1">
      <alignment horizontal="center"/>
    </xf>
    <xf numFmtId="0" fontId="4" fillId="0" borderId="24" xfId="20" applyFont="1" applyBorder="1" applyAlignment="1">
      <alignment horizontal="center"/>
    </xf>
    <xf numFmtId="0" fontId="5" fillId="0" borderId="47" xfId="20" applyFont="1" applyBorder="1" applyAlignment="1">
      <alignment horizontal="center"/>
    </xf>
    <xf numFmtId="0" fontId="5" fillId="0" borderId="36" xfId="20" applyFont="1" applyBorder="1" applyAlignment="1">
      <alignment horizontal="center"/>
    </xf>
    <xf numFmtId="0" fontId="8" fillId="0" borderId="8" xfId="20" applyFont="1" applyBorder="1" applyAlignment="1"/>
    <xf numFmtId="0" fontId="8" fillId="0" borderId="56" xfId="20" applyFont="1" applyBorder="1" applyAlignment="1"/>
    <xf numFmtId="0" fontId="8" fillId="0" borderId="50" xfId="20" applyFont="1" applyBorder="1" applyAlignment="1"/>
    <xf numFmtId="167" fontId="8" fillId="0" borderId="11" xfId="20" applyNumberFormat="1" applyFont="1" applyBorder="1" applyAlignment="1">
      <alignment horizontal="left"/>
    </xf>
    <xf numFmtId="167" fontId="8" fillId="0" borderId="22" xfId="20" applyNumberFormat="1" applyFont="1" applyBorder="1" applyAlignment="1">
      <alignment horizontal="left"/>
    </xf>
    <xf numFmtId="167" fontId="8" fillId="0" borderId="38" xfId="20" applyNumberFormat="1" applyFont="1" applyBorder="1" applyAlignment="1">
      <alignment horizontal="left"/>
    </xf>
    <xf numFmtId="0" fontId="4" fillId="0" borderId="7" xfId="20" applyFont="1" applyBorder="1" applyAlignment="1">
      <alignment horizontal="center" wrapText="1"/>
    </xf>
    <xf numFmtId="0" fontId="4" fillId="0" borderId="33" xfId="20" applyFont="1" applyBorder="1" applyAlignment="1">
      <alignment horizontal="center" wrapText="1"/>
    </xf>
    <xf numFmtId="0" fontId="8" fillId="0" borderId="10" xfId="20" applyFont="1" applyBorder="1" applyAlignment="1">
      <alignment horizontal="left" wrapText="1"/>
    </xf>
    <xf numFmtId="0" fontId="8" fillId="0" borderId="48" xfId="20" applyFont="1" applyBorder="1" applyAlignment="1">
      <alignment horizontal="left" wrapText="1"/>
    </xf>
    <xf numFmtId="0" fontId="8" fillId="0" borderId="35" xfId="20" applyFont="1" applyBorder="1" applyAlignment="1">
      <alignment horizontal="left" wrapText="1"/>
    </xf>
    <xf numFmtId="0" fontId="4" fillId="0" borderId="0" xfId="20" applyFont="1" applyAlignment="1">
      <alignment horizontal="left" vertical="top"/>
    </xf>
    <xf numFmtId="0" fontId="4" fillId="0" borderId="0" xfId="20" applyFont="1" applyAlignment="1">
      <alignment horizontal="left" indent="2"/>
    </xf>
    <xf numFmtId="0" fontId="4" fillId="0" borderId="0" xfId="20" applyFont="1" applyAlignment="1">
      <alignment horizontal="left" wrapText="1" indent="2"/>
    </xf>
    <xf numFmtId="0" fontId="4" fillId="0" borderId="0" xfId="19" applyFont="1" applyAlignment="1">
      <alignment horizontal="left"/>
    </xf>
    <xf numFmtId="0" fontId="4" fillId="0" borderId="0" xfId="19" applyFont="1" applyAlignment="1">
      <alignment horizontal="left" indent="2"/>
    </xf>
    <xf numFmtId="0" fontId="4" fillId="0" borderId="0" xfId="19" applyFont="1" applyAlignment="1">
      <alignment horizontal="left" wrapText="1" indent="2"/>
    </xf>
    <xf numFmtId="0" fontId="4" fillId="0" borderId="0" xfId="19" applyFont="1" applyAlignment="1">
      <alignment horizontal="left" wrapText="1"/>
    </xf>
    <xf numFmtId="0" fontId="4" fillId="0" borderId="0" xfId="19" applyFont="1" applyAlignment="1">
      <alignment horizontal="left" vertical="top" wrapText="1" indent="2"/>
    </xf>
    <xf numFmtId="0" fontId="4" fillId="0" borderId="0" xfId="20" applyFont="1" applyAlignment="1">
      <alignment horizontal="left" vertical="top" wrapText="1" indent="2"/>
    </xf>
    <xf numFmtId="0" fontId="4" fillId="0" borderId="51" xfId="19" applyFont="1" applyBorder="1" applyAlignment="1">
      <alignment horizontal="center" wrapText="1"/>
    </xf>
    <xf numFmtId="0" fontId="4" fillId="0" borderId="33" xfId="19" applyFont="1" applyBorder="1" applyAlignment="1">
      <alignment horizontal="center" wrapText="1"/>
    </xf>
    <xf numFmtId="0" fontId="4" fillId="0" borderId="52" xfId="19" applyFont="1" applyBorder="1" applyAlignment="1">
      <alignment horizontal="center" wrapText="1"/>
    </xf>
    <xf numFmtId="0" fontId="4" fillId="0" borderId="34" xfId="19" applyFont="1" applyBorder="1" applyAlignment="1">
      <alignment horizontal="center" wrapText="1"/>
    </xf>
    <xf numFmtId="0" fontId="7" fillId="0" borderId="46" xfId="19" applyFont="1" applyBorder="1" applyAlignment="1">
      <alignment horizontal="left" wrapText="1"/>
    </xf>
    <xf numFmtId="0" fontId="7" fillId="0" borderId="36" xfId="19" applyFont="1" applyBorder="1" applyAlignment="1">
      <alignment horizontal="left" wrapText="1"/>
    </xf>
    <xf numFmtId="0" fontId="7" fillId="0" borderId="10" xfId="19" applyFont="1" applyBorder="1" applyAlignment="1">
      <alignment horizontal="left" wrapText="1"/>
    </xf>
    <xf numFmtId="0" fontId="7" fillId="0" borderId="35" xfId="19" applyFont="1" applyBorder="1" applyAlignment="1">
      <alignment horizontal="left" wrapText="1"/>
    </xf>
    <xf numFmtId="0" fontId="7" fillId="0" borderId="57" xfId="19" applyFont="1" applyFill="1" applyBorder="1" applyAlignment="1">
      <alignment horizontal="left" wrapText="1"/>
    </xf>
    <xf numFmtId="0" fontId="7" fillId="0" borderId="58" xfId="19" applyFont="1" applyFill="1" applyBorder="1" applyAlignment="1">
      <alignment horizontal="left" wrapText="1"/>
    </xf>
    <xf numFmtId="0" fontId="4" fillId="0" borderId="0" xfId="17" applyFont="1" applyAlignment="1">
      <alignment horizontal="left"/>
    </xf>
    <xf numFmtId="0" fontId="4" fillId="0" borderId="0" xfId="17" applyFont="1" applyAlignment="1">
      <alignment horizontal="left" wrapText="1"/>
    </xf>
    <xf numFmtId="0" fontId="4" fillId="0" borderId="0" xfId="17" applyFont="1" applyFill="1" applyAlignment="1">
      <alignment horizontal="left" wrapText="1"/>
    </xf>
    <xf numFmtId="44" fontId="4" fillId="0" borderId="37" xfId="13" applyFont="1" applyBorder="1" applyAlignment="1">
      <alignment horizontal="center"/>
    </xf>
    <xf numFmtId="44" fontId="4" fillId="0" borderId="1" xfId="13" applyFont="1" applyBorder="1" applyAlignment="1">
      <alignment horizontal="center"/>
    </xf>
    <xf numFmtId="0" fontId="4" fillId="0" borderId="23" xfId="17" applyFont="1" applyBorder="1" applyAlignment="1">
      <alignment horizontal="center"/>
    </xf>
    <xf numFmtId="0" fontId="5" fillId="0" borderId="25" xfId="17" applyFont="1" applyBorder="1" applyAlignment="1">
      <alignment horizontal="center"/>
    </xf>
    <xf numFmtId="164" fontId="4" fillId="0" borderId="37" xfId="26" applyNumberFormat="1" applyFont="1" applyBorder="1" applyAlignment="1">
      <alignment horizontal="center"/>
    </xf>
    <xf numFmtId="164" fontId="4" fillId="0" borderId="1" xfId="26" applyNumberFormat="1" applyFont="1" applyBorder="1" applyAlignment="1">
      <alignment horizontal="center"/>
    </xf>
    <xf numFmtId="0" fontId="7" fillId="0" borderId="46" xfId="17" applyFont="1" applyBorder="1" applyAlignment="1">
      <alignment horizontal="left"/>
    </xf>
    <xf numFmtId="0" fontId="7" fillId="0" borderId="47" xfId="17" applyFont="1" applyBorder="1" applyAlignment="1">
      <alignment horizontal="left"/>
    </xf>
    <xf numFmtId="0" fontId="7" fillId="0" borderId="36" xfId="17" applyFont="1" applyBorder="1" applyAlignment="1">
      <alignment horizontal="left"/>
    </xf>
    <xf numFmtId="0" fontId="7" fillId="0" borderId="10" xfId="17" applyFont="1" applyBorder="1" applyAlignment="1">
      <alignment horizontal="left"/>
    </xf>
    <xf numFmtId="0" fontId="7" fillId="0" borderId="48" xfId="17" applyFont="1" applyBorder="1" applyAlignment="1">
      <alignment horizontal="left"/>
    </xf>
    <xf numFmtId="0" fontId="7" fillId="0" borderId="35" xfId="17" applyFont="1" applyBorder="1" applyAlignment="1">
      <alignment horizontal="left"/>
    </xf>
    <xf numFmtId="14" fontId="7" fillId="0" borderId="11" xfId="17" applyNumberFormat="1" applyFont="1" applyBorder="1" applyAlignment="1">
      <alignment horizontal="left"/>
    </xf>
    <xf numFmtId="14" fontId="7" fillId="0" borderId="22" xfId="17" applyNumberFormat="1" applyFont="1" applyBorder="1" applyAlignment="1">
      <alignment horizontal="left"/>
    </xf>
    <xf numFmtId="14" fontId="7" fillId="0" borderId="38" xfId="17" applyNumberFormat="1" applyFont="1" applyBorder="1" applyAlignment="1">
      <alignment horizontal="left"/>
    </xf>
  </cellXfs>
  <cellStyles count="39">
    <cellStyle name="Comma" xfId="1" builtinId="3"/>
    <cellStyle name="Comma 2 10" xfId="2"/>
    <cellStyle name="Comma 2 2" xfId="3"/>
    <cellStyle name="Comma 2 3" xfId="4"/>
    <cellStyle name="Comma 2 4" xfId="5"/>
    <cellStyle name="Comma 2 5" xfId="6"/>
    <cellStyle name="Comma 2 6" xfId="7"/>
    <cellStyle name="Comma 2 7" xfId="8"/>
    <cellStyle name="Comma 2 8" xfId="9"/>
    <cellStyle name="Comma 2 9" xfId="10"/>
    <cellStyle name="Comma 5" xfId="11"/>
    <cellStyle name="Currency" xfId="12" builtinId="4"/>
    <cellStyle name="Currency 2" xfId="13"/>
    <cellStyle name="Currency 7" xfId="14"/>
    <cellStyle name="Currency 9" xfId="15"/>
    <cellStyle name="Normal" xfId="0" builtinId="0"/>
    <cellStyle name="Normal 10" xfId="16"/>
    <cellStyle name="Normal 2" xfId="17"/>
    <cellStyle name="Normal 3" xfId="18"/>
    <cellStyle name="Normal 4" xfId="19"/>
    <cellStyle name="Normal 5" xfId="20"/>
    <cellStyle name="Normal 6" xfId="21"/>
    <cellStyle name="Normal 7" xfId="22"/>
    <cellStyle name="Normal 8" xfId="23"/>
    <cellStyle name="Normal 9" xfId="24"/>
    <cellStyle name="Percent" xfId="25" builtinId="5"/>
    <cellStyle name="Percent 2" xfId="26"/>
    <cellStyle name="Percent 2 10" xfId="27"/>
    <cellStyle name="Percent 2 2" xfId="28"/>
    <cellStyle name="Percent 2 3" xfId="29"/>
    <cellStyle name="Percent 2 4" xfId="30"/>
    <cellStyle name="Percent 2 5" xfId="31"/>
    <cellStyle name="Percent 2 6" xfId="32"/>
    <cellStyle name="Percent 2 7" xfId="33"/>
    <cellStyle name="Percent 2 8" xfId="34"/>
    <cellStyle name="Percent 2 9" xfId="35"/>
    <cellStyle name="Percent 5" xfId="36"/>
    <cellStyle name="Percent 7" xfId="37"/>
    <cellStyle name="Percent 8" xfId="38"/>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sheetPr>
    <pageSetUpPr fitToPage="1"/>
  </sheetPr>
  <dimension ref="A1:B32"/>
  <sheetViews>
    <sheetView tabSelected="1" workbookViewId="0"/>
  </sheetViews>
  <sheetFormatPr defaultRowHeight="15" customHeight="1"/>
  <cols>
    <col min="1" max="1" width="75.7109375" style="267" customWidth="1"/>
    <col min="2" max="2" width="27.7109375" style="251" customWidth="1"/>
    <col min="3" max="16384" width="9.140625" style="251"/>
  </cols>
  <sheetData>
    <row r="1" spans="1:2" ht="15" customHeight="1">
      <c r="A1" s="249" t="s">
        <v>99</v>
      </c>
      <c r="B1" s="250" t="s">
        <v>126</v>
      </c>
    </row>
    <row r="2" spans="1:2" ht="15" customHeight="1">
      <c r="A2" s="252"/>
      <c r="B2" s="253"/>
    </row>
    <row r="3" spans="1:2" ht="15" customHeight="1" thickBot="1">
      <c r="A3" s="254"/>
      <c r="B3" s="253"/>
    </row>
    <row r="4" spans="1:2">
      <c r="A4" s="255" t="s">
        <v>121</v>
      </c>
      <c r="B4" s="256"/>
    </row>
    <row r="5" spans="1:2" ht="45">
      <c r="A5" s="268" t="s">
        <v>204</v>
      </c>
      <c r="B5" s="258"/>
    </row>
    <row r="6" spans="1:2" ht="30">
      <c r="A6" s="268" t="s">
        <v>177</v>
      </c>
      <c r="B6" s="258"/>
    </row>
    <row r="7" spans="1:2" ht="30">
      <c r="A7" s="269" t="s">
        <v>185</v>
      </c>
      <c r="B7" s="259"/>
    </row>
    <row r="8" spans="1:2" ht="60" customHeight="1">
      <c r="A8" s="260" t="s">
        <v>122</v>
      </c>
      <c r="B8" s="259"/>
    </row>
    <row r="9" spans="1:2" s="262" customFormat="1" ht="30">
      <c r="A9" s="269" t="s">
        <v>182</v>
      </c>
      <c r="B9" s="261"/>
    </row>
    <row r="10" spans="1:2" s="262" customFormat="1" ht="30">
      <c r="A10" s="269" t="s">
        <v>187</v>
      </c>
      <c r="B10" s="261"/>
    </row>
    <row r="11" spans="1:2" ht="15" customHeight="1">
      <c r="A11" s="263" t="s">
        <v>183</v>
      </c>
      <c r="B11" s="264"/>
    </row>
    <row r="12" spans="1:2" ht="30">
      <c r="A12" s="270" t="s">
        <v>170</v>
      </c>
      <c r="B12" s="264"/>
    </row>
    <row r="13" spans="1:2" ht="15" customHeight="1">
      <c r="A13" s="270" t="s">
        <v>171</v>
      </c>
      <c r="B13" s="264"/>
    </row>
    <row r="14" spans="1:2" ht="30">
      <c r="A14" s="270" t="s">
        <v>172</v>
      </c>
      <c r="B14" s="264"/>
    </row>
    <row r="15" spans="1:2" ht="45">
      <c r="A15" s="273" t="s">
        <v>210</v>
      </c>
      <c r="B15" s="264"/>
    </row>
    <row r="16" spans="1:2" ht="30">
      <c r="A16" s="260" t="s">
        <v>173</v>
      </c>
      <c r="B16" s="259"/>
    </row>
    <row r="17" spans="1:2" ht="30">
      <c r="A17" s="265" t="s">
        <v>174</v>
      </c>
      <c r="B17" s="259"/>
    </row>
    <row r="18" spans="1:2">
      <c r="A18" s="268" t="s">
        <v>175</v>
      </c>
      <c r="B18" s="259"/>
    </row>
    <row r="19" spans="1:2" ht="30">
      <c r="A19" s="265" t="s">
        <v>176</v>
      </c>
      <c r="B19" s="259"/>
    </row>
    <row r="20" spans="1:2" ht="30">
      <c r="A20" s="265" t="s">
        <v>188</v>
      </c>
      <c r="B20" s="259"/>
    </row>
    <row r="21" spans="1:2">
      <c r="A21" s="268" t="s">
        <v>189</v>
      </c>
      <c r="B21" s="259"/>
    </row>
    <row r="22" spans="1:2" ht="30">
      <c r="A22" s="265" t="s">
        <v>190</v>
      </c>
      <c r="B22" s="259"/>
    </row>
    <row r="23" spans="1:2" ht="30" customHeight="1">
      <c r="A23" s="269" t="s">
        <v>191</v>
      </c>
      <c r="B23" s="259"/>
    </row>
    <row r="24" spans="1:2" ht="30">
      <c r="A24" s="265" t="s">
        <v>192</v>
      </c>
      <c r="B24" s="259"/>
    </row>
    <row r="25" spans="1:2">
      <c r="A25" s="268" t="s">
        <v>193</v>
      </c>
      <c r="B25" s="259"/>
    </row>
    <row r="26" spans="1:2">
      <c r="A26" s="268" t="s">
        <v>194</v>
      </c>
      <c r="B26" s="259"/>
    </row>
    <row r="27" spans="1:2" ht="30">
      <c r="A27" s="257" t="s">
        <v>195</v>
      </c>
      <c r="B27" s="259"/>
    </row>
    <row r="28" spans="1:2" ht="30">
      <c r="A28" s="268" t="s">
        <v>196</v>
      </c>
      <c r="B28" s="259"/>
    </row>
    <row r="29" spans="1:2" ht="30">
      <c r="A29" s="265" t="s">
        <v>197</v>
      </c>
      <c r="B29" s="259"/>
    </row>
    <row r="30" spans="1:2" ht="30">
      <c r="A30" s="268" t="s">
        <v>198</v>
      </c>
      <c r="B30" s="259"/>
    </row>
    <row r="31" spans="1:2">
      <c r="A31" s="265" t="s">
        <v>199</v>
      </c>
      <c r="B31" s="259"/>
    </row>
    <row r="32" spans="1:2" ht="30.75" thickBot="1">
      <c r="A32" s="271" t="s">
        <v>200</v>
      </c>
      <c r="B32" s="266"/>
    </row>
  </sheetData>
  <printOptions horizontalCentered="1"/>
  <pageMargins left="0.7" right="0.7" top="0.75" bottom="0.75" header="0.3" footer="0.3"/>
  <pageSetup scale="82" orientation="portrait" r:id="rId1"/>
  <headerFooter>
    <oddFooter>&amp;R8/13</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D35"/>
  <sheetViews>
    <sheetView workbookViewId="0"/>
  </sheetViews>
  <sheetFormatPr defaultRowHeight="15" customHeight="1"/>
  <cols>
    <col min="1" max="1" width="28.7109375" style="2" customWidth="1"/>
    <col min="2" max="2" width="17.7109375" style="2" customWidth="1"/>
    <col min="3" max="4" width="16.7109375" style="2" customWidth="1"/>
    <col min="5" max="16384" width="9.140625" style="2"/>
  </cols>
  <sheetData>
    <row r="1" spans="1:4" ht="15" customHeight="1">
      <c r="A1" s="15" t="s">
        <v>31</v>
      </c>
      <c r="B1" s="16"/>
      <c r="C1" s="16"/>
      <c r="D1" s="19" t="s">
        <v>127</v>
      </c>
    </row>
    <row r="3" spans="1:4" ht="15" customHeight="1" thickBot="1"/>
    <row r="4" spans="1:4" ht="15" customHeight="1">
      <c r="A4" s="15" t="s">
        <v>1</v>
      </c>
      <c r="B4" s="274" t="s">
        <v>2</v>
      </c>
      <c r="C4" s="275"/>
      <c r="D4" s="276"/>
    </row>
    <row r="5" spans="1:4" ht="15" customHeight="1">
      <c r="A5" s="15" t="s">
        <v>133</v>
      </c>
      <c r="B5" s="281" t="s">
        <v>134</v>
      </c>
      <c r="C5" s="282"/>
      <c r="D5" s="283"/>
    </row>
    <row r="6" spans="1:4" ht="15" customHeight="1" thickBot="1">
      <c r="A6" s="15" t="s">
        <v>3</v>
      </c>
      <c r="B6" s="277" t="s">
        <v>30</v>
      </c>
      <c r="C6" s="278"/>
      <c r="D6" s="279"/>
    </row>
    <row r="8" spans="1:4" ht="15" customHeight="1" thickBot="1"/>
    <row r="9" spans="1:4" ht="15" customHeight="1">
      <c r="A9" s="42" t="s">
        <v>100</v>
      </c>
      <c r="B9" s="285" t="s">
        <v>32</v>
      </c>
      <c r="C9" s="287" t="s">
        <v>23</v>
      </c>
      <c r="D9" s="289" t="s">
        <v>33</v>
      </c>
    </row>
    <row r="10" spans="1:4" ht="15" customHeight="1">
      <c r="A10" s="43" t="s">
        <v>34</v>
      </c>
      <c r="B10" s="286"/>
      <c r="C10" s="288"/>
      <c r="D10" s="290"/>
    </row>
    <row r="11" spans="1:4" ht="15" customHeight="1">
      <c r="A11" s="44" t="s">
        <v>142</v>
      </c>
      <c r="B11" s="20"/>
      <c r="C11" s="17"/>
      <c r="D11" s="45"/>
    </row>
    <row r="12" spans="1:4" ht="15" customHeight="1">
      <c r="A12" s="46" t="s">
        <v>143</v>
      </c>
      <c r="B12" s="20"/>
      <c r="C12" s="17"/>
      <c r="D12" s="45"/>
    </row>
    <row r="13" spans="1:4" ht="15" customHeight="1">
      <c r="A13" s="46" t="s">
        <v>45</v>
      </c>
      <c r="B13" s="20"/>
      <c r="C13" s="17"/>
      <c r="D13" s="45"/>
    </row>
    <row r="14" spans="1:4" ht="15" customHeight="1">
      <c r="A14" s="240" t="s">
        <v>128</v>
      </c>
      <c r="B14" s="20"/>
      <c r="C14" s="17"/>
      <c r="D14" s="45"/>
    </row>
    <row r="15" spans="1:4" ht="15" customHeight="1">
      <c r="A15" s="46" t="s">
        <v>144</v>
      </c>
      <c r="B15" s="20"/>
      <c r="C15" s="17"/>
      <c r="D15" s="45"/>
    </row>
    <row r="16" spans="1:4" ht="15" customHeight="1">
      <c r="A16" s="46" t="s">
        <v>145</v>
      </c>
      <c r="B16" s="20"/>
      <c r="C16" s="17"/>
      <c r="D16" s="45"/>
    </row>
    <row r="17" spans="1:4" ht="15" customHeight="1">
      <c r="A17" s="46" t="s">
        <v>45</v>
      </c>
      <c r="B17" s="20"/>
      <c r="C17" s="17"/>
      <c r="D17" s="45"/>
    </row>
    <row r="18" spans="1:4" ht="15" customHeight="1">
      <c r="A18" s="239" t="s">
        <v>129</v>
      </c>
      <c r="B18" s="236"/>
      <c r="C18" s="237"/>
      <c r="D18" s="238"/>
    </row>
    <row r="19" spans="1:4" ht="15" customHeight="1" thickBot="1">
      <c r="A19" s="47" t="s">
        <v>35</v>
      </c>
      <c r="B19" s="48"/>
      <c r="C19" s="49"/>
      <c r="D19" s="50"/>
    </row>
    <row r="20" spans="1:4" ht="15" customHeight="1">
      <c r="A20" s="16"/>
      <c r="B20" s="16"/>
      <c r="C20" s="16"/>
      <c r="D20" s="18"/>
    </row>
    <row r="21" spans="1:4" ht="15" customHeight="1" thickBot="1">
      <c r="A21" s="16"/>
      <c r="B21" s="16"/>
      <c r="C21" s="16"/>
      <c r="D21" s="16"/>
    </row>
    <row r="22" spans="1:4" ht="15" customHeight="1">
      <c r="A22" s="51" t="s">
        <v>27</v>
      </c>
      <c r="B22" s="52"/>
      <c r="C22" s="52"/>
      <c r="D22" s="53"/>
    </row>
    <row r="23" spans="1:4" ht="15" customHeight="1">
      <c r="A23" s="54"/>
      <c r="B23" s="18"/>
      <c r="C23" s="18"/>
      <c r="D23" s="55"/>
    </row>
    <row r="24" spans="1:4" ht="15" customHeight="1">
      <c r="A24" s="54"/>
      <c r="B24" s="18"/>
      <c r="C24" s="18"/>
      <c r="D24" s="55"/>
    </row>
    <row r="25" spans="1:4" ht="15" customHeight="1">
      <c r="A25" s="54"/>
      <c r="B25" s="18"/>
      <c r="C25" s="18"/>
      <c r="D25" s="55"/>
    </row>
    <row r="26" spans="1:4" ht="15" customHeight="1">
      <c r="A26" s="54"/>
      <c r="B26" s="18"/>
      <c r="C26" s="18"/>
      <c r="D26" s="55"/>
    </row>
    <row r="27" spans="1:4" ht="15" customHeight="1" thickBot="1">
      <c r="A27" s="56"/>
      <c r="B27" s="57"/>
      <c r="C27" s="57"/>
      <c r="D27" s="58"/>
    </row>
    <row r="28" spans="1:4" ht="15" customHeight="1">
      <c r="A28" s="18"/>
      <c r="B28" s="18"/>
      <c r="C28" s="18"/>
      <c r="D28" s="16"/>
    </row>
    <row r="29" spans="1:4" ht="15" customHeight="1">
      <c r="A29" s="16"/>
      <c r="B29" s="16"/>
      <c r="C29" s="16"/>
      <c r="D29" s="16"/>
    </row>
    <row r="30" spans="1:4" ht="15" customHeight="1">
      <c r="A30" s="15" t="s">
        <v>28</v>
      </c>
      <c r="B30" s="16"/>
      <c r="C30" s="16"/>
      <c r="D30" s="16"/>
    </row>
    <row r="31" spans="1:4" ht="30" customHeight="1">
      <c r="A31" s="284" t="s">
        <v>164</v>
      </c>
      <c r="B31" s="284"/>
      <c r="C31" s="284"/>
      <c r="D31" s="284"/>
    </row>
    <row r="32" spans="1:4" ht="30" customHeight="1">
      <c r="A32" s="280" t="s">
        <v>163</v>
      </c>
      <c r="B32" s="280"/>
      <c r="C32" s="280"/>
      <c r="D32" s="280"/>
    </row>
    <row r="33" spans="1:4" ht="30" customHeight="1">
      <c r="A33" s="280" t="s">
        <v>130</v>
      </c>
      <c r="B33" s="280"/>
      <c r="C33" s="280"/>
      <c r="D33" s="280"/>
    </row>
    <row r="34" spans="1:4" ht="30" customHeight="1">
      <c r="A34" s="280" t="s">
        <v>131</v>
      </c>
      <c r="B34" s="280"/>
      <c r="C34" s="280"/>
      <c r="D34" s="280"/>
    </row>
    <row r="35" spans="1:4" ht="15" customHeight="1">
      <c r="A35" s="280" t="s">
        <v>132</v>
      </c>
      <c r="B35" s="280"/>
      <c r="C35" s="280"/>
      <c r="D35" s="280"/>
    </row>
  </sheetData>
  <mergeCells count="11">
    <mergeCell ref="A35:D35"/>
    <mergeCell ref="B5:D5"/>
    <mergeCell ref="A31:D31"/>
    <mergeCell ref="B9:B10"/>
    <mergeCell ref="C9:C10"/>
    <mergeCell ref="D9:D10"/>
    <mergeCell ref="B4:D4"/>
    <mergeCell ref="B6:D6"/>
    <mergeCell ref="A32:D32"/>
    <mergeCell ref="A33:D33"/>
    <mergeCell ref="A34:D34"/>
  </mergeCells>
  <printOptions horizontalCentered="1"/>
  <pageMargins left="0.7" right="0.7" top="0.75" bottom="0.75" header="0.3" footer="0.3"/>
  <pageSetup orientation="portrait" r:id="rId1"/>
  <headerFooter>
    <oddFooter>&amp;R8/13</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M41"/>
  <sheetViews>
    <sheetView workbookViewId="0"/>
  </sheetViews>
  <sheetFormatPr defaultRowHeight="15" customHeight="1"/>
  <cols>
    <col min="1" max="1" width="12.7109375" customWidth="1"/>
    <col min="2" max="2" width="15" bestFit="1" customWidth="1"/>
    <col min="3" max="4" width="11.7109375" customWidth="1"/>
    <col min="5" max="6" width="13.7109375" customWidth="1"/>
    <col min="7" max="8" width="11.7109375" customWidth="1"/>
    <col min="9" max="9" width="13.140625" customWidth="1"/>
    <col min="10" max="10" width="11.7109375" customWidth="1"/>
    <col min="11" max="11" width="13.7109375" customWidth="1"/>
    <col min="12" max="13" width="11.7109375" customWidth="1"/>
  </cols>
  <sheetData>
    <row r="1" spans="1:13" s="2" customFormat="1" ht="15" customHeight="1">
      <c r="A1" s="4" t="s">
        <v>0</v>
      </c>
      <c r="B1" s="5"/>
      <c r="C1" s="5"/>
      <c r="D1" s="5"/>
      <c r="E1" s="5"/>
      <c r="F1" s="5"/>
      <c r="G1" s="5"/>
      <c r="H1" s="5"/>
      <c r="I1" s="5"/>
      <c r="J1" s="5"/>
      <c r="K1" s="5"/>
      <c r="L1" s="5"/>
      <c r="M1" s="14" t="s">
        <v>136</v>
      </c>
    </row>
    <row r="2" spans="1:13" ht="15" customHeight="1">
      <c r="A2" s="2"/>
      <c r="B2" s="2"/>
      <c r="C2" s="2"/>
      <c r="D2" s="2"/>
      <c r="E2" s="2"/>
      <c r="F2" s="2"/>
      <c r="G2" s="2"/>
      <c r="H2" s="2"/>
      <c r="I2" s="2"/>
      <c r="J2" s="2"/>
      <c r="K2" s="2"/>
      <c r="L2" s="2"/>
      <c r="M2" s="2"/>
    </row>
    <row r="3" spans="1:13" ht="15" customHeight="1" thickBot="1">
      <c r="A3" s="2"/>
      <c r="B3" s="2"/>
      <c r="C3" s="2"/>
      <c r="D3" s="2"/>
      <c r="E3" s="2"/>
      <c r="F3" s="2"/>
      <c r="G3" s="2"/>
      <c r="H3" s="2"/>
      <c r="I3" s="2"/>
      <c r="J3" s="2"/>
      <c r="K3" s="2"/>
      <c r="L3" s="2"/>
      <c r="M3" s="2"/>
    </row>
    <row r="4" spans="1:13" ht="15" customHeight="1">
      <c r="A4" s="4" t="s">
        <v>1</v>
      </c>
      <c r="B4" s="5"/>
      <c r="C4" s="308" t="s">
        <v>2</v>
      </c>
      <c r="D4" s="309"/>
      <c r="E4" s="310"/>
      <c r="F4" s="5"/>
      <c r="G4" s="5"/>
      <c r="H4" s="5"/>
      <c r="I4" s="5"/>
      <c r="J4" s="5"/>
      <c r="K4" s="5"/>
      <c r="L4" s="5"/>
      <c r="M4" s="5"/>
    </row>
    <row r="5" spans="1:13" s="241" customFormat="1" ht="15" customHeight="1">
      <c r="A5" s="4" t="s">
        <v>133</v>
      </c>
      <c r="B5" s="5"/>
      <c r="C5" s="317" t="s">
        <v>134</v>
      </c>
      <c r="D5" s="318"/>
      <c r="E5" s="319"/>
      <c r="F5" s="5"/>
      <c r="G5" s="5"/>
      <c r="H5" s="5"/>
      <c r="I5" s="5"/>
      <c r="J5" s="5"/>
      <c r="K5" s="5"/>
      <c r="L5" s="5"/>
      <c r="M5" s="5"/>
    </row>
    <row r="6" spans="1:13" ht="15" customHeight="1" thickBot="1">
      <c r="A6" s="4" t="s">
        <v>3</v>
      </c>
      <c r="B6" s="5"/>
      <c r="C6" s="311" t="s">
        <v>30</v>
      </c>
      <c r="D6" s="312"/>
      <c r="E6" s="313"/>
      <c r="F6" s="5"/>
      <c r="G6" s="5"/>
      <c r="H6" s="5"/>
      <c r="I6" s="5"/>
      <c r="J6" s="5"/>
      <c r="K6" s="5"/>
      <c r="L6" s="5"/>
      <c r="M6" s="5"/>
    </row>
    <row r="7" spans="1:13" ht="15" customHeight="1">
      <c r="A7" s="2"/>
      <c r="B7" s="2"/>
      <c r="C7" s="2"/>
      <c r="D7" s="2"/>
      <c r="E7" s="2"/>
      <c r="F7" s="2"/>
      <c r="G7" s="2"/>
      <c r="H7" s="2"/>
      <c r="I7" s="2"/>
      <c r="J7" s="2"/>
      <c r="K7" s="2"/>
      <c r="L7" s="2"/>
      <c r="M7" s="2"/>
    </row>
    <row r="8" spans="1:13" ht="15" customHeight="1" thickBot="1">
      <c r="A8" s="2"/>
      <c r="B8" s="2"/>
      <c r="C8" s="3"/>
      <c r="D8" s="3"/>
      <c r="E8" s="2"/>
      <c r="F8" s="2"/>
      <c r="G8" s="2"/>
      <c r="H8" s="2"/>
      <c r="I8" s="2"/>
      <c r="J8" s="2"/>
      <c r="K8" s="2"/>
      <c r="L8" s="2"/>
      <c r="M8" s="2"/>
    </row>
    <row r="9" spans="1:13" ht="15" customHeight="1" thickBot="1">
      <c r="A9" s="122" t="s">
        <v>100</v>
      </c>
      <c r="B9" s="123" t="s">
        <v>135</v>
      </c>
      <c r="C9" s="6"/>
      <c r="D9" s="6"/>
      <c r="E9" s="5"/>
      <c r="F9" s="5"/>
      <c r="G9" s="5"/>
      <c r="H9" s="5"/>
      <c r="I9" s="5"/>
      <c r="J9" s="5"/>
      <c r="K9" s="5"/>
      <c r="L9" s="5"/>
      <c r="M9" s="5"/>
    </row>
    <row r="10" spans="1:13" ht="60">
      <c r="A10" s="113" t="s">
        <v>4</v>
      </c>
      <c r="B10" s="100" t="s">
        <v>5</v>
      </c>
      <c r="C10" s="100" t="s">
        <v>6</v>
      </c>
      <c r="D10" s="100" t="s">
        <v>7</v>
      </c>
      <c r="E10" s="100" t="s">
        <v>8</v>
      </c>
      <c r="F10" s="100" t="s">
        <v>9</v>
      </c>
      <c r="G10" s="100" t="s">
        <v>10</v>
      </c>
      <c r="H10" s="100" t="s">
        <v>11</v>
      </c>
      <c r="I10" s="98" t="s">
        <v>12</v>
      </c>
      <c r="J10" s="100" t="s">
        <v>13</v>
      </c>
      <c r="K10" s="100" t="s">
        <v>14</v>
      </c>
      <c r="L10" s="100" t="s">
        <v>15</v>
      </c>
      <c r="M10" s="106" t="s">
        <v>16</v>
      </c>
    </row>
    <row r="11" spans="1:13" ht="15" customHeight="1">
      <c r="A11" s="118"/>
      <c r="B11" s="7"/>
      <c r="C11" s="183"/>
      <c r="D11" s="8"/>
      <c r="E11" s="7">
        <f>B11*C11*D11</f>
        <v>0</v>
      </c>
      <c r="F11" s="7"/>
      <c r="G11" s="8"/>
      <c r="H11" s="9" t="e">
        <f t="shared" ref="H11:H16" si="0">F11*G11/B11</f>
        <v>#DIV/0!</v>
      </c>
      <c r="I11" s="8"/>
      <c r="J11" s="8"/>
      <c r="K11" s="7">
        <f>F11*G11*I11*J11</f>
        <v>0</v>
      </c>
      <c r="L11" s="10" t="e">
        <f t="shared" ref="L11:L16" si="1">K11/E11</f>
        <v>#DIV/0!</v>
      </c>
      <c r="M11" s="116"/>
    </row>
    <row r="12" spans="1:13" ht="15" customHeight="1">
      <c r="A12" s="118"/>
      <c r="B12" s="7"/>
      <c r="C12" s="183"/>
      <c r="D12" s="8"/>
      <c r="E12" s="7">
        <f>B12*C12*D12</f>
        <v>0</v>
      </c>
      <c r="F12" s="7"/>
      <c r="G12" s="8"/>
      <c r="H12" s="9" t="e">
        <f t="shared" si="0"/>
        <v>#DIV/0!</v>
      </c>
      <c r="I12" s="8"/>
      <c r="J12" s="8"/>
      <c r="K12" s="7">
        <f>F12*G12*I12*J12</f>
        <v>0</v>
      </c>
      <c r="L12" s="10" t="e">
        <f t="shared" si="1"/>
        <v>#DIV/0!</v>
      </c>
      <c r="M12" s="116"/>
    </row>
    <row r="13" spans="1:13" ht="15" customHeight="1">
      <c r="A13" s="118"/>
      <c r="B13" s="7"/>
      <c r="C13" s="183"/>
      <c r="D13" s="8"/>
      <c r="E13" s="7">
        <f>B13*C13*D13</f>
        <v>0</v>
      </c>
      <c r="F13" s="7"/>
      <c r="G13" s="8"/>
      <c r="H13" s="9" t="e">
        <f t="shared" si="0"/>
        <v>#DIV/0!</v>
      </c>
      <c r="I13" s="8"/>
      <c r="J13" s="8"/>
      <c r="K13" s="7">
        <f>F13*G13*I13*J13</f>
        <v>0</v>
      </c>
      <c r="L13" s="10" t="e">
        <f t="shared" si="1"/>
        <v>#DIV/0!</v>
      </c>
      <c r="M13" s="116"/>
    </row>
    <row r="14" spans="1:13" ht="15" customHeight="1">
      <c r="A14" s="118"/>
      <c r="B14" s="7"/>
      <c r="C14" s="183"/>
      <c r="D14" s="8"/>
      <c r="E14" s="7">
        <f>B14*C14*D14</f>
        <v>0</v>
      </c>
      <c r="F14" s="7"/>
      <c r="G14" s="8"/>
      <c r="H14" s="9" t="e">
        <f t="shared" si="0"/>
        <v>#DIV/0!</v>
      </c>
      <c r="I14" s="8"/>
      <c r="J14" s="8"/>
      <c r="K14" s="7">
        <f>F14*G14*I14*J14</f>
        <v>0</v>
      </c>
      <c r="L14" s="10" t="e">
        <f t="shared" si="1"/>
        <v>#DIV/0!</v>
      </c>
      <c r="M14" s="116"/>
    </row>
    <row r="15" spans="1:13" ht="15" customHeight="1">
      <c r="A15" s="118"/>
      <c r="B15" s="7"/>
      <c r="C15" s="183"/>
      <c r="D15" s="8"/>
      <c r="E15" s="7">
        <f>B15*C15*D15</f>
        <v>0</v>
      </c>
      <c r="F15" s="7"/>
      <c r="G15" s="8"/>
      <c r="H15" s="9" t="e">
        <f t="shared" si="0"/>
        <v>#DIV/0!</v>
      </c>
      <c r="I15" s="8"/>
      <c r="J15" s="8"/>
      <c r="K15" s="7">
        <f>F15*G15*I15*J15</f>
        <v>0</v>
      </c>
      <c r="L15" s="10" t="e">
        <f t="shared" si="1"/>
        <v>#DIV/0!</v>
      </c>
      <c r="M15" s="116"/>
    </row>
    <row r="16" spans="1:13" ht="15" customHeight="1" thickBot="1">
      <c r="A16" s="112" t="s">
        <v>17</v>
      </c>
      <c r="B16" s="110">
        <f>SUM(B11:B15)</f>
        <v>0</v>
      </c>
      <c r="C16" s="107"/>
      <c r="D16" s="107"/>
      <c r="E16" s="110">
        <f>SUM(E11:E15)</f>
        <v>0</v>
      </c>
      <c r="F16" s="110">
        <f>SUM(F11:F15)</f>
        <v>0</v>
      </c>
      <c r="G16" s="104"/>
      <c r="H16" s="102" t="e">
        <f t="shared" si="0"/>
        <v>#DIV/0!</v>
      </c>
      <c r="I16" s="107"/>
      <c r="J16" s="107"/>
      <c r="K16" s="110">
        <f>SUM(K11:K15)</f>
        <v>0</v>
      </c>
      <c r="L16" s="99" t="e">
        <f t="shared" si="1"/>
        <v>#DIV/0!</v>
      </c>
      <c r="M16" s="120">
        <f>SUM(M11:M15)</f>
        <v>0</v>
      </c>
    </row>
    <row r="17" spans="1:13" ht="15" customHeight="1">
      <c r="A17" s="11"/>
      <c r="B17" s="11"/>
      <c r="C17" s="11"/>
      <c r="D17" s="11"/>
      <c r="E17" s="11"/>
      <c r="F17" s="11"/>
      <c r="G17" s="11"/>
      <c r="H17" s="11"/>
      <c r="I17" s="12"/>
      <c r="J17" s="11"/>
      <c r="K17" s="5"/>
      <c r="L17" s="5"/>
      <c r="M17" s="5"/>
    </row>
    <row r="18" spans="1:13" ht="15" customHeight="1" thickBot="1">
      <c r="A18" s="11"/>
      <c r="B18" s="11"/>
      <c r="C18" s="11"/>
      <c r="D18" s="11"/>
      <c r="E18" s="11"/>
      <c r="F18" s="11"/>
      <c r="G18" s="11"/>
      <c r="H18" s="11"/>
      <c r="I18" s="12"/>
      <c r="J18" s="12"/>
      <c r="K18" s="13"/>
      <c r="L18" s="13"/>
      <c r="M18" s="13"/>
    </row>
    <row r="19" spans="1:13" ht="15" customHeight="1">
      <c r="A19" s="314" t="s">
        <v>18</v>
      </c>
      <c r="B19" s="315"/>
      <c r="C19" s="316"/>
      <c r="D19" s="115" t="e">
        <f>SUMPRODUCT(L11:L15,M11:M15)</f>
        <v>#DIV/0!</v>
      </c>
      <c r="E19" s="5"/>
      <c r="F19" s="2"/>
      <c r="G19" s="292"/>
      <c r="H19" s="293"/>
      <c r="I19" s="178" t="s">
        <v>83</v>
      </c>
      <c r="J19" s="180" t="s">
        <v>84</v>
      </c>
      <c r="K19" s="5"/>
      <c r="L19" s="5"/>
      <c r="M19" s="5"/>
    </row>
    <row r="20" spans="1:13" s="181" customFormat="1" ht="15" customHeight="1">
      <c r="A20" s="296" t="s">
        <v>20</v>
      </c>
      <c r="B20" s="297"/>
      <c r="C20" s="298"/>
      <c r="D20" s="109">
        <f>'EXP-Auto'!B18</f>
        <v>0</v>
      </c>
      <c r="E20" s="5"/>
      <c r="F20" s="2"/>
      <c r="G20" s="294" t="s">
        <v>19</v>
      </c>
      <c r="H20" s="295"/>
      <c r="I20" s="179"/>
      <c r="J20" s="124"/>
      <c r="K20" s="5"/>
      <c r="L20" s="5"/>
      <c r="M20" s="5"/>
    </row>
    <row r="21" spans="1:13" ht="15" customHeight="1">
      <c r="A21" s="302" t="s">
        <v>29</v>
      </c>
      <c r="B21" s="303"/>
      <c r="C21" s="304"/>
      <c r="D21" s="109">
        <f>'EXP-Auto'!C18</f>
        <v>0</v>
      </c>
      <c r="E21" s="5"/>
      <c r="G21" s="294" t="s">
        <v>21</v>
      </c>
      <c r="H21" s="295"/>
      <c r="I21" s="179"/>
      <c r="J21" s="124"/>
      <c r="K21" s="5"/>
      <c r="L21" s="5"/>
      <c r="M21" s="5"/>
    </row>
    <row r="22" spans="1:13" ht="15" customHeight="1" thickBot="1">
      <c r="A22" s="296" t="s">
        <v>124</v>
      </c>
      <c r="B22" s="297"/>
      <c r="C22" s="298"/>
      <c r="D22" s="109">
        <f>'EXP-Auto'!D17</f>
        <v>0</v>
      </c>
      <c r="E22" s="5"/>
      <c r="G22" s="299" t="s">
        <v>22</v>
      </c>
      <c r="H22" s="300"/>
      <c r="I22" s="177">
        <f>(1+I21)/(1+I20)-1</f>
        <v>0</v>
      </c>
      <c r="J22" s="85">
        <f>(1+J21)/(1+J20)-1</f>
        <v>0</v>
      </c>
      <c r="K22" s="5"/>
      <c r="L22" s="5"/>
      <c r="M22" s="5"/>
    </row>
    <row r="23" spans="1:13" s="1" customFormat="1" ht="15" customHeight="1">
      <c r="A23" s="302" t="s">
        <v>23</v>
      </c>
      <c r="B23" s="303"/>
      <c r="C23" s="304"/>
      <c r="D23" s="109" t="e">
        <f>(D19+D20)/(1-D21-D22)-1</f>
        <v>#DIV/0!</v>
      </c>
      <c r="E23" s="5"/>
      <c r="G23" s="5"/>
      <c r="H23" s="5"/>
      <c r="I23" s="5"/>
      <c r="J23" s="5"/>
      <c r="K23" s="5"/>
      <c r="L23" s="5"/>
      <c r="M23" s="5"/>
    </row>
    <row r="24" spans="1:13" ht="15" customHeight="1">
      <c r="A24" s="302" t="s">
        <v>24</v>
      </c>
      <c r="B24" s="303"/>
      <c r="C24" s="304"/>
      <c r="D24" s="109"/>
      <c r="E24" s="5"/>
      <c r="F24" s="5"/>
      <c r="G24" s="5"/>
      <c r="H24" s="5"/>
      <c r="I24" s="13"/>
      <c r="J24" s="5"/>
      <c r="K24" s="5"/>
      <c r="L24" s="5"/>
      <c r="M24" s="5"/>
    </row>
    <row r="25" spans="1:13" ht="15" customHeight="1">
      <c r="A25" s="302" t="s">
        <v>25</v>
      </c>
      <c r="B25" s="303"/>
      <c r="C25" s="304"/>
      <c r="D25" s="109">
        <f>I22</f>
        <v>0</v>
      </c>
      <c r="E25" s="5"/>
      <c r="F25" s="5"/>
      <c r="G25" s="5"/>
      <c r="H25" s="5"/>
      <c r="I25" s="13"/>
      <c r="J25" s="5"/>
      <c r="K25" s="5"/>
      <c r="L25" s="5"/>
      <c r="M25" s="5"/>
    </row>
    <row r="26" spans="1:13" ht="15" customHeight="1" thickBot="1">
      <c r="A26" s="305" t="s">
        <v>26</v>
      </c>
      <c r="B26" s="306"/>
      <c r="C26" s="307"/>
      <c r="D26" s="119" t="e">
        <f>D23*D24+D25*(1-D24)</f>
        <v>#DIV/0!</v>
      </c>
      <c r="E26" s="5"/>
      <c r="F26" s="5"/>
      <c r="G26" s="5"/>
      <c r="H26" s="5"/>
      <c r="I26" s="13"/>
      <c r="J26" s="5"/>
      <c r="K26" s="5"/>
      <c r="L26" s="5"/>
      <c r="M26" s="5"/>
    </row>
    <row r="27" spans="1:13" ht="15" customHeight="1">
      <c r="A27" s="2"/>
      <c r="B27" s="2"/>
      <c r="C27" s="2"/>
      <c r="D27" s="2"/>
      <c r="E27" s="5"/>
      <c r="F27" s="5"/>
      <c r="G27" s="5"/>
      <c r="H27" s="5"/>
      <c r="I27" s="13"/>
      <c r="J27" s="5"/>
      <c r="K27" s="5"/>
      <c r="L27" s="5"/>
      <c r="M27" s="5"/>
    </row>
    <row r="28" spans="1:13" ht="15" customHeight="1" thickBot="1">
      <c r="A28" s="2"/>
      <c r="B28" s="2"/>
      <c r="C28" s="2"/>
      <c r="D28" s="2"/>
      <c r="E28" s="2"/>
      <c r="F28" s="2"/>
      <c r="G28" s="2"/>
      <c r="H28" s="2"/>
      <c r="I28" s="2"/>
      <c r="J28" s="2"/>
      <c r="K28" s="2"/>
      <c r="L28" s="2"/>
      <c r="M28" s="2"/>
    </row>
    <row r="29" spans="1:13" ht="15" customHeight="1">
      <c r="A29" s="117" t="s">
        <v>27</v>
      </c>
      <c r="B29" s="114"/>
      <c r="C29" s="114"/>
      <c r="D29" s="114"/>
      <c r="E29" s="114"/>
      <c r="F29" s="114"/>
      <c r="G29" s="114"/>
      <c r="H29" s="114"/>
      <c r="I29" s="114"/>
      <c r="J29" s="114"/>
      <c r="K29" s="114"/>
      <c r="L29" s="114"/>
      <c r="M29" s="111"/>
    </row>
    <row r="30" spans="1:13" ht="15" customHeight="1">
      <c r="A30" s="108"/>
      <c r="B30" s="11"/>
      <c r="C30" s="11"/>
      <c r="D30" s="11"/>
      <c r="E30" s="11"/>
      <c r="F30" s="11"/>
      <c r="G30" s="11"/>
      <c r="H30" s="11"/>
      <c r="I30" s="11"/>
      <c r="J30" s="11"/>
      <c r="K30" s="11"/>
      <c r="L30" s="11"/>
      <c r="M30" s="105"/>
    </row>
    <row r="31" spans="1:13" ht="15" customHeight="1">
      <c r="A31" s="108"/>
      <c r="B31" s="11"/>
      <c r="C31" s="11"/>
      <c r="D31" s="11"/>
      <c r="E31" s="11"/>
      <c r="F31" s="11"/>
      <c r="G31" s="11"/>
      <c r="H31" s="11"/>
      <c r="I31" s="11"/>
      <c r="J31" s="11"/>
      <c r="K31" s="11"/>
      <c r="L31" s="11"/>
      <c r="M31" s="105"/>
    </row>
    <row r="32" spans="1:13" ht="15" customHeight="1">
      <c r="A32" s="108"/>
      <c r="B32" s="11"/>
      <c r="C32" s="11"/>
      <c r="D32" s="11"/>
      <c r="E32" s="11"/>
      <c r="F32" s="11"/>
      <c r="G32" s="11"/>
      <c r="H32" s="11"/>
      <c r="I32" s="11"/>
      <c r="J32" s="11"/>
      <c r="K32" s="11"/>
      <c r="L32" s="11"/>
      <c r="M32" s="105"/>
    </row>
    <row r="33" spans="1:13" ht="15" customHeight="1">
      <c r="A33" s="108"/>
      <c r="B33" s="11"/>
      <c r="C33" s="11"/>
      <c r="D33" s="11"/>
      <c r="E33" s="11"/>
      <c r="F33" s="11"/>
      <c r="G33" s="11"/>
      <c r="H33" s="11"/>
      <c r="I33" s="11"/>
      <c r="J33" s="11"/>
      <c r="K33" s="11"/>
      <c r="L33" s="11"/>
      <c r="M33" s="105"/>
    </row>
    <row r="34" spans="1:13" ht="15" customHeight="1" thickBot="1">
      <c r="A34" s="103"/>
      <c r="B34" s="101"/>
      <c r="C34" s="101"/>
      <c r="D34" s="101"/>
      <c r="E34" s="101"/>
      <c r="F34" s="101"/>
      <c r="G34" s="101"/>
      <c r="H34" s="101"/>
      <c r="I34" s="101"/>
      <c r="J34" s="101"/>
      <c r="K34" s="101"/>
      <c r="L34" s="101"/>
      <c r="M34" s="121"/>
    </row>
    <row r="35" spans="1:13" ht="15" customHeight="1">
      <c r="A35" s="2"/>
      <c r="B35" s="2"/>
      <c r="C35" s="2"/>
      <c r="D35" s="2"/>
      <c r="E35" s="2"/>
      <c r="F35" s="2"/>
      <c r="G35" s="2"/>
      <c r="H35" s="2"/>
      <c r="I35" s="2"/>
      <c r="J35" s="2"/>
      <c r="K35" s="2"/>
      <c r="L35" s="2"/>
      <c r="M35" s="2"/>
    </row>
    <row r="36" spans="1:13" ht="15" customHeight="1">
      <c r="A36" s="2"/>
      <c r="B36" s="2"/>
      <c r="C36" s="2"/>
      <c r="D36" s="2"/>
      <c r="E36" s="2"/>
      <c r="F36" s="2"/>
      <c r="G36" s="2"/>
      <c r="H36" s="2"/>
      <c r="I36" s="2"/>
      <c r="J36" s="2"/>
      <c r="K36" s="2"/>
      <c r="L36" s="2"/>
      <c r="M36" s="2"/>
    </row>
    <row r="37" spans="1:13" ht="15" customHeight="1">
      <c r="A37" s="4" t="s">
        <v>28</v>
      </c>
      <c r="B37" s="5"/>
      <c r="C37" s="5"/>
      <c r="D37" s="5"/>
      <c r="E37" s="5"/>
      <c r="F37" s="5"/>
      <c r="G37" s="5"/>
      <c r="H37" s="5"/>
      <c r="I37" s="5"/>
      <c r="J37" s="5"/>
      <c r="K37" s="5"/>
      <c r="L37" s="5"/>
      <c r="M37" s="5"/>
    </row>
    <row r="38" spans="1:13" ht="15" customHeight="1">
      <c r="A38" s="301" t="s">
        <v>178</v>
      </c>
      <c r="B38" s="301"/>
      <c r="C38" s="301"/>
      <c r="D38" s="301"/>
      <c r="E38" s="301"/>
      <c r="F38" s="301"/>
      <c r="G38" s="301"/>
      <c r="H38" s="301"/>
      <c r="I38" s="301"/>
      <c r="J38" s="301"/>
      <c r="K38" s="301"/>
      <c r="L38" s="301"/>
      <c r="M38" s="301"/>
    </row>
    <row r="39" spans="1:13" ht="15" customHeight="1">
      <c r="A39" s="301" t="s">
        <v>137</v>
      </c>
      <c r="B39" s="301"/>
      <c r="C39" s="301"/>
      <c r="D39" s="301"/>
      <c r="E39" s="301"/>
      <c r="F39" s="301"/>
      <c r="G39" s="301"/>
      <c r="H39" s="301"/>
      <c r="I39" s="301"/>
      <c r="J39" s="301"/>
      <c r="K39" s="301"/>
      <c r="L39" s="301"/>
      <c r="M39" s="301"/>
    </row>
    <row r="40" spans="1:13" ht="15" customHeight="1">
      <c r="A40" s="291" t="s">
        <v>138</v>
      </c>
      <c r="B40" s="291"/>
      <c r="C40" s="291"/>
      <c r="D40" s="291"/>
      <c r="E40" s="291"/>
      <c r="F40" s="291"/>
      <c r="G40" s="291"/>
      <c r="H40" s="291"/>
      <c r="I40" s="291"/>
      <c r="J40" s="291"/>
      <c r="K40" s="291"/>
      <c r="L40" s="291"/>
      <c r="M40" s="291"/>
    </row>
    <row r="41" spans="1:13" ht="15" customHeight="1">
      <c r="A41" s="291" t="s">
        <v>139</v>
      </c>
      <c r="B41" s="291"/>
      <c r="C41" s="291"/>
      <c r="D41" s="291"/>
      <c r="E41" s="291"/>
      <c r="F41" s="291"/>
      <c r="G41" s="291"/>
      <c r="H41" s="291"/>
      <c r="I41" s="291"/>
      <c r="J41" s="291"/>
      <c r="K41" s="291"/>
      <c r="L41" s="291"/>
      <c r="M41" s="291"/>
    </row>
  </sheetData>
  <mergeCells count="19">
    <mergeCell ref="C4:E4"/>
    <mergeCell ref="C6:E6"/>
    <mergeCell ref="A19:C19"/>
    <mergeCell ref="A21:C21"/>
    <mergeCell ref="A23:C23"/>
    <mergeCell ref="A20:C20"/>
    <mergeCell ref="C5:E5"/>
    <mergeCell ref="A40:M40"/>
    <mergeCell ref="A41:M41"/>
    <mergeCell ref="G19:H19"/>
    <mergeCell ref="G20:H20"/>
    <mergeCell ref="G21:H21"/>
    <mergeCell ref="A22:C22"/>
    <mergeCell ref="G22:H22"/>
    <mergeCell ref="A38:M38"/>
    <mergeCell ref="A39:M39"/>
    <mergeCell ref="A25:C25"/>
    <mergeCell ref="A26:C26"/>
    <mergeCell ref="A24:C24"/>
  </mergeCells>
  <printOptions horizontalCentered="1"/>
  <pageMargins left="0.7" right="0.7" top="0.75" bottom="0.75" header="0.3" footer="0.3"/>
  <pageSetup scale="75" orientation="landscape" r:id="rId1"/>
  <headerFooter>
    <oddFooter>&amp;R8/13</oddFooter>
  </headerFooter>
  <ignoredErrors>
    <ignoredError sqref="D19" formulaRange="1"/>
  </ignoredErrors>
</worksheet>
</file>

<file path=xl/worksheets/sheet4.xml><?xml version="1.0" encoding="utf-8"?>
<worksheet xmlns="http://schemas.openxmlformats.org/spreadsheetml/2006/main" xmlns:r="http://schemas.openxmlformats.org/officeDocument/2006/relationships">
  <sheetPr>
    <pageSetUpPr fitToPage="1"/>
  </sheetPr>
  <dimension ref="A1:G37"/>
  <sheetViews>
    <sheetView workbookViewId="0"/>
  </sheetViews>
  <sheetFormatPr defaultRowHeight="15" customHeight="1"/>
  <cols>
    <col min="1" max="1" width="28.7109375" style="172" customWidth="1"/>
    <col min="2" max="4" width="10.7109375" style="172" customWidth="1"/>
    <col min="5" max="5" width="17.7109375" style="172" customWidth="1"/>
    <col min="6" max="16384" width="9.140625" style="172"/>
  </cols>
  <sheetData>
    <row r="1" spans="1:5" ht="15" customHeight="1">
      <c r="A1" s="175" t="s">
        <v>120</v>
      </c>
      <c r="B1" s="174"/>
      <c r="C1" s="174"/>
      <c r="D1" s="174"/>
      <c r="E1" s="184" t="s">
        <v>154</v>
      </c>
    </row>
    <row r="2" spans="1:5" ht="15" customHeight="1">
      <c r="A2" s="3"/>
      <c r="B2" s="3"/>
      <c r="C2" s="3"/>
      <c r="D2" s="3"/>
    </row>
    <row r="3" spans="1:5" ht="15" customHeight="1" thickBot="1">
      <c r="A3" s="3"/>
      <c r="B3" s="3"/>
      <c r="C3" s="3"/>
      <c r="D3" s="3"/>
    </row>
    <row r="4" spans="1:5" ht="15" customHeight="1">
      <c r="A4" s="175" t="s">
        <v>1</v>
      </c>
      <c r="B4" s="324" t="s">
        <v>2</v>
      </c>
      <c r="C4" s="325"/>
      <c r="D4" s="326"/>
    </row>
    <row r="5" spans="1:5" ht="15" customHeight="1" thickBot="1">
      <c r="A5" s="175" t="s">
        <v>153</v>
      </c>
      <c r="B5" s="327" t="s">
        <v>134</v>
      </c>
      <c r="C5" s="328"/>
      <c r="D5" s="329"/>
    </row>
    <row r="6" spans="1:5" ht="15" customHeight="1">
      <c r="A6" s="3"/>
      <c r="B6" s="3"/>
      <c r="C6" s="3"/>
      <c r="D6" s="3"/>
    </row>
    <row r="7" spans="1:5" ht="15" customHeight="1" thickBot="1">
      <c r="A7" s="3"/>
      <c r="B7" s="3"/>
      <c r="C7" s="3"/>
      <c r="D7" s="3"/>
    </row>
    <row r="8" spans="1:5" ht="15" customHeight="1">
      <c r="A8" s="193" t="s">
        <v>71</v>
      </c>
      <c r="B8" s="330" t="s">
        <v>72</v>
      </c>
      <c r="C8" s="330"/>
      <c r="D8" s="331"/>
    </row>
    <row r="9" spans="1:5" ht="15" customHeight="1">
      <c r="A9" s="194" t="s">
        <v>34</v>
      </c>
      <c r="B9" s="173" t="s">
        <v>73</v>
      </c>
      <c r="C9" s="173" t="s">
        <v>74</v>
      </c>
      <c r="D9" s="195" t="s">
        <v>17</v>
      </c>
    </row>
    <row r="10" spans="1:5" ht="15" customHeight="1">
      <c r="A10" s="196" t="s">
        <v>75</v>
      </c>
      <c r="B10" s="9"/>
      <c r="C10" s="9"/>
      <c r="D10" s="197">
        <f>SUM(B10:C10)</f>
        <v>0</v>
      </c>
    </row>
    <row r="11" spans="1:5" ht="15" customHeight="1">
      <c r="A11" s="196" t="s">
        <v>76</v>
      </c>
      <c r="B11" s="9"/>
      <c r="C11" s="9"/>
      <c r="D11" s="197">
        <f t="shared" ref="D11:D18" si="0">SUM(B11:C11)</f>
        <v>0</v>
      </c>
    </row>
    <row r="12" spans="1:5" ht="15" customHeight="1">
      <c r="A12" s="196" t="s">
        <v>77</v>
      </c>
      <c r="B12" s="9"/>
      <c r="C12" s="9"/>
      <c r="D12" s="197">
        <f t="shared" si="0"/>
        <v>0</v>
      </c>
    </row>
    <row r="13" spans="1:5" ht="15" customHeight="1">
      <c r="A13" s="196" t="s">
        <v>78</v>
      </c>
      <c r="B13" s="9"/>
      <c r="C13" s="9"/>
      <c r="D13" s="197">
        <f t="shared" si="0"/>
        <v>0</v>
      </c>
    </row>
    <row r="14" spans="1:5" ht="15" customHeight="1">
      <c r="A14" s="196" t="s">
        <v>79</v>
      </c>
      <c r="B14" s="9"/>
      <c r="C14" s="9"/>
      <c r="D14" s="197">
        <f t="shared" si="0"/>
        <v>0</v>
      </c>
    </row>
    <row r="15" spans="1:5" ht="15" customHeight="1">
      <c r="A15" s="196" t="s">
        <v>80</v>
      </c>
      <c r="B15" s="9"/>
      <c r="C15" s="9"/>
      <c r="D15" s="197">
        <f t="shared" si="0"/>
        <v>0</v>
      </c>
    </row>
    <row r="16" spans="1:5" ht="15" customHeight="1">
      <c r="A16" s="196" t="s">
        <v>81</v>
      </c>
      <c r="B16" s="9"/>
      <c r="C16" s="9"/>
      <c r="D16" s="197">
        <f t="shared" si="0"/>
        <v>0</v>
      </c>
    </row>
    <row r="17" spans="1:5" ht="15" customHeight="1">
      <c r="A17" s="196" t="s">
        <v>86</v>
      </c>
      <c r="B17" s="9"/>
      <c r="C17" s="9"/>
      <c r="D17" s="197">
        <f t="shared" si="0"/>
        <v>0</v>
      </c>
    </row>
    <row r="18" spans="1:5" ht="15" customHeight="1">
      <c r="A18" s="198" t="s">
        <v>82</v>
      </c>
      <c r="B18" s="9">
        <f>SUM(B10:B17)</f>
        <v>0</v>
      </c>
      <c r="C18" s="9">
        <f>SUM(C10:C17)</f>
        <v>0</v>
      </c>
      <c r="D18" s="197">
        <f t="shared" si="0"/>
        <v>0</v>
      </c>
    </row>
    <row r="19" spans="1:5" ht="15" customHeight="1" thickBot="1">
      <c r="A19" s="320" t="s">
        <v>125</v>
      </c>
      <c r="B19" s="321"/>
      <c r="C19" s="322"/>
      <c r="D19" s="152">
        <f>1-C18</f>
        <v>1</v>
      </c>
    </row>
    <row r="20" spans="1:5" ht="15" customHeight="1">
      <c r="A20" s="3"/>
      <c r="B20" s="3"/>
      <c r="C20" s="3"/>
      <c r="D20" s="3"/>
    </row>
    <row r="21" spans="1:5" ht="15" customHeight="1" thickBot="1">
      <c r="A21" s="3"/>
      <c r="B21" s="3"/>
      <c r="C21" s="3"/>
      <c r="D21" s="3"/>
    </row>
    <row r="22" spans="1:5" s="182" customFormat="1" ht="15" customHeight="1">
      <c r="A22" s="185" t="s">
        <v>27</v>
      </c>
      <c r="B22" s="186"/>
      <c r="C22" s="186"/>
      <c r="D22" s="186"/>
      <c r="E22" s="187"/>
    </row>
    <row r="23" spans="1:5" s="182" customFormat="1" ht="15" customHeight="1">
      <c r="A23" s="188"/>
      <c r="B23" s="3"/>
      <c r="C23" s="3"/>
      <c r="D23" s="3"/>
      <c r="E23" s="189"/>
    </row>
    <row r="24" spans="1:5" s="182" customFormat="1" ht="15" customHeight="1">
      <c r="A24" s="188"/>
      <c r="B24" s="3"/>
      <c r="C24" s="3"/>
      <c r="D24" s="3"/>
      <c r="E24" s="189"/>
    </row>
    <row r="25" spans="1:5" s="182" customFormat="1" ht="15" customHeight="1">
      <c r="A25" s="188"/>
      <c r="B25" s="3"/>
      <c r="C25" s="3"/>
      <c r="D25" s="3"/>
      <c r="E25" s="189"/>
    </row>
    <row r="26" spans="1:5" s="182" customFormat="1" ht="15" customHeight="1">
      <c r="A26" s="188"/>
      <c r="B26" s="3"/>
      <c r="C26" s="3"/>
      <c r="D26" s="3"/>
      <c r="E26" s="189"/>
    </row>
    <row r="27" spans="1:5" ht="15" customHeight="1" thickBot="1">
      <c r="A27" s="190"/>
      <c r="B27" s="191"/>
      <c r="C27" s="191"/>
      <c r="D27" s="191"/>
      <c r="E27" s="192"/>
    </row>
    <row r="28" spans="1:5" ht="15" customHeight="1">
      <c r="A28" s="175"/>
      <c r="B28" s="174"/>
      <c r="C28" s="174"/>
      <c r="D28" s="174"/>
    </row>
    <row r="29" spans="1:5" ht="15" customHeight="1">
      <c r="A29" s="3"/>
      <c r="B29" s="3"/>
      <c r="C29" s="3"/>
      <c r="D29" s="3"/>
    </row>
    <row r="30" spans="1:5" ht="15" customHeight="1">
      <c r="A30" s="175" t="s">
        <v>28</v>
      </c>
      <c r="B30" s="174"/>
      <c r="C30" s="174"/>
      <c r="D30" s="174"/>
    </row>
    <row r="31" spans="1:5" ht="30" customHeight="1">
      <c r="A31" s="332" t="s">
        <v>85</v>
      </c>
      <c r="B31" s="332"/>
      <c r="C31" s="332"/>
      <c r="D31" s="332"/>
      <c r="E31" s="332"/>
    </row>
    <row r="32" spans="1:5" s="182" customFormat="1" ht="30" customHeight="1">
      <c r="A32" s="332" t="s">
        <v>89</v>
      </c>
      <c r="B32" s="332"/>
      <c r="C32" s="332"/>
      <c r="D32" s="332"/>
      <c r="E32" s="332"/>
    </row>
    <row r="33" spans="1:7" ht="30" customHeight="1">
      <c r="A33" s="333" t="s">
        <v>201</v>
      </c>
      <c r="B33" s="333"/>
      <c r="C33" s="333"/>
      <c r="D33" s="333"/>
      <c r="E33" s="333"/>
    </row>
    <row r="34" spans="1:7" s="182" customFormat="1" ht="30" customHeight="1">
      <c r="A34" s="332" t="s">
        <v>202</v>
      </c>
      <c r="B34" s="332"/>
      <c r="C34" s="332"/>
      <c r="D34" s="332"/>
      <c r="E34" s="332"/>
    </row>
    <row r="35" spans="1:7" ht="60" customHeight="1">
      <c r="A35" s="323" t="s">
        <v>203</v>
      </c>
      <c r="B35" s="323"/>
      <c r="C35" s="323"/>
      <c r="D35" s="323"/>
      <c r="E35" s="323"/>
    </row>
    <row r="36" spans="1:7" s="182" customFormat="1" ht="15" customHeight="1">
      <c r="A36" s="332" t="s">
        <v>208</v>
      </c>
      <c r="B36" s="332"/>
      <c r="C36" s="332"/>
      <c r="D36" s="332"/>
      <c r="E36" s="332"/>
      <c r="F36" s="272"/>
      <c r="G36" s="272"/>
    </row>
    <row r="37" spans="1:7" ht="15" customHeight="1">
      <c r="A37" s="332" t="s">
        <v>181</v>
      </c>
      <c r="B37" s="332"/>
      <c r="C37" s="332"/>
      <c r="D37" s="332"/>
      <c r="E37" s="332"/>
    </row>
  </sheetData>
  <mergeCells count="11">
    <mergeCell ref="A37:E37"/>
    <mergeCell ref="A32:E32"/>
    <mergeCell ref="A31:E31"/>
    <mergeCell ref="A34:E34"/>
    <mergeCell ref="A33:E33"/>
    <mergeCell ref="A36:E36"/>
    <mergeCell ref="A19:C19"/>
    <mergeCell ref="A35:E35"/>
    <mergeCell ref="B4:D4"/>
    <mergeCell ref="B5:D5"/>
    <mergeCell ref="B8:D8"/>
  </mergeCells>
  <printOptions horizontalCentered="1"/>
  <pageMargins left="0.7" right="0.7" top="0.75" bottom="0.75" header="0.3" footer="0.3"/>
  <pageSetup orientation="portrait" r:id="rId1"/>
  <headerFooter>
    <oddFooter>&amp;R8/13</oddFooter>
  </headerFooter>
</worksheet>
</file>

<file path=xl/worksheets/sheet5.xml><?xml version="1.0" encoding="utf-8"?>
<worksheet xmlns="http://schemas.openxmlformats.org/spreadsheetml/2006/main" xmlns:r="http://schemas.openxmlformats.org/officeDocument/2006/relationships">
  <sheetPr>
    <pageSetUpPr fitToPage="1"/>
  </sheetPr>
  <dimension ref="A1:M33"/>
  <sheetViews>
    <sheetView workbookViewId="0"/>
  </sheetViews>
  <sheetFormatPr defaultRowHeight="15" customHeight="1"/>
  <cols>
    <col min="1" max="9" width="13.7109375" style="161" customWidth="1"/>
    <col min="10" max="16384" width="9.140625" style="161"/>
  </cols>
  <sheetData>
    <row r="1" spans="1:13" ht="15" customHeight="1">
      <c r="A1" s="170" t="s">
        <v>101</v>
      </c>
      <c r="I1" s="155" t="s">
        <v>152</v>
      </c>
    </row>
    <row r="3" spans="1:13" ht="15" customHeight="1" thickBot="1"/>
    <row r="4" spans="1:13" ht="30" customHeight="1">
      <c r="A4" s="342" t="s">
        <v>70</v>
      </c>
      <c r="B4" s="343"/>
      <c r="C4" s="343"/>
      <c r="D4" s="344"/>
      <c r="F4" s="345" t="s">
        <v>103</v>
      </c>
      <c r="G4" s="346"/>
      <c r="H4" s="346"/>
      <c r="I4" s="347"/>
    </row>
    <row r="5" spans="1:13" s="169" customFormat="1" ht="15" customHeight="1">
      <c r="A5" s="339" t="s">
        <v>6</v>
      </c>
      <c r="B5" s="340"/>
      <c r="C5" s="340"/>
      <c r="D5" s="341"/>
      <c r="F5" s="234" t="s">
        <v>4</v>
      </c>
      <c r="G5" s="235" t="s">
        <v>68</v>
      </c>
      <c r="H5" s="235" t="s">
        <v>155</v>
      </c>
      <c r="I5" s="242" t="s">
        <v>156</v>
      </c>
    </row>
    <row r="6" spans="1:13" s="169" customFormat="1" ht="15" customHeight="1">
      <c r="A6" s="337"/>
      <c r="B6" s="334" t="s">
        <v>62</v>
      </c>
      <c r="C6" s="334"/>
      <c r="D6" s="225"/>
      <c r="F6" s="158"/>
      <c r="G6" s="157"/>
      <c r="H6" s="157"/>
      <c r="I6" s="176" t="e">
        <f t="shared" ref="I6:I15" si="0">H6/G6</f>
        <v>#DIV/0!</v>
      </c>
    </row>
    <row r="7" spans="1:13" s="169" customFormat="1" ht="15" customHeight="1">
      <c r="A7" s="337"/>
      <c r="B7" s="334" t="s">
        <v>63</v>
      </c>
      <c r="C7" s="334"/>
      <c r="D7" s="225"/>
      <c r="F7" s="158"/>
      <c r="G7" s="157"/>
      <c r="H7" s="157"/>
      <c r="I7" s="176" t="e">
        <f t="shared" si="0"/>
        <v>#DIV/0!</v>
      </c>
    </row>
    <row r="8" spans="1:13" ht="15" customHeight="1">
      <c r="A8" s="337"/>
      <c r="B8" s="334" t="s">
        <v>64</v>
      </c>
      <c r="C8" s="334"/>
      <c r="D8" s="225"/>
      <c r="F8" s="158"/>
      <c r="G8" s="157"/>
      <c r="H8" s="157"/>
      <c r="I8" s="176" t="e">
        <f t="shared" si="0"/>
        <v>#DIV/0!</v>
      </c>
    </row>
    <row r="9" spans="1:13" s="169" customFormat="1" ht="15" customHeight="1">
      <c r="A9" s="339" t="s">
        <v>7</v>
      </c>
      <c r="B9" s="340"/>
      <c r="C9" s="340"/>
      <c r="D9" s="341"/>
      <c r="F9" s="158"/>
      <c r="G9" s="157"/>
      <c r="H9" s="157"/>
      <c r="I9" s="176" t="e">
        <f t="shared" si="0"/>
        <v>#DIV/0!</v>
      </c>
    </row>
    <row r="10" spans="1:13" s="169" customFormat="1" ht="15" customHeight="1">
      <c r="A10" s="337"/>
      <c r="B10" s="334" t="s">
        <v>65</v>
      </c>
      <c r="C10" s="334"/>
      <c r="D10" s="225"/>
      <c r="F10" s="158"/>
      <c r="G10" s="157"/>
      <c r="H10" s="157"/>
      <c r="I10" s="176" t="e">
        <f t="shared" si="0"/>
        <v>#DIV/0!</v>
      </c>
    </row>
    <row r="11" spans="1:13" ht="15" customHeight="1">
      <c r="A11" s="337"/>
      <c r="B11" s="334" t="s">
        <v>102</v>
      </c>
      <c r="C11" s="334"/>
      <c r="D11" s="225"/>
      <c r="F11" s="158"/>
      <c r="G11" s="157"/>
      <c r="H11" s="157"/>
      <c r="I11" s="176" t="e">
        <f t="shared" si="0"/>
        <v>#DIV/0!</v>
      </c>
    </row>
    <row r="12" spans="1:13" ht="15" customHeight="1">
      <c r="A12" s="337"/>
      <c r="B12" s="334" t="s">
        <v>64</v>
      </c>
      <c r="C12" s="334"/>
      <c r="D12" s="225"/>
      <c r="F12" s="158"/>
      <c r="G12" s="157"/>
      <c r="H12" s="157"/>
      <c r="I12" s="176" t="e">
        <f t="shared" si="0"/>
        <v>#DIV/0!</v>
      </c>
      <c r="M12" s="168"/>
    </row>
    <row r="13" spans="1:13" ht="15" customHeight="1">
      <c r="A13" s="339" t="s">
        <v>12</v>
      </c>
      <c r="B13" s="340"/>
      <c r="C13" s="340"/>
      <c r="D13" s="341"/>
      <c r="F13" s="158"/>
      <c r="G13" s="157"/>
      <c r="H13" s="157"/>
      <c r="I13" s="176" t="e">
        <f t="shared" si="0"/>
        <v>#DIV/0!</v>
      </c>
      <c r="M13" s="168"/>
    </row>
    <row r="14" spans="1:13" ht="15" customHeight="1">
      <c r="A14" s="337"/>
      <c r="B14" s="334" t="s">
        <v>66</v>
      </c>
      <c r="C14" s="334"/>
      <c r="D14" s="225"/>
      <c r="F14" s="158"/>
      <c r="G14" s="157"/>
      <c r="H14" s="157"/>
      <c r="I14" s="176" t="e">
        <f t="shared" si="0"/>
        <v>#DIV/0!</v>
      </c>
      <c r="M14" s="168"/>
    </row>
    <row r="15" spans="1:13" s="171" customFormat="1">
      <c r="A15" s="337"/>
      <c r="B15" s="334" t="s">
        <v>67</v>
      </c>
      <c r="C15" s="334"/>
      <c r="D15" s="225"/>
      <c r="F15" s="158"/>
      <c r="G15" s="157"/>
      <c r="H15" s="157"/>
      <c r="I15" s="176" t="e">
        <f t="shared" si="0"/>
        <v>#DIV/0!</v>
      </c>
    </row>
    <row r="16" spans="1:13" ht="15.75" thickBot="1">
      <c r="A16" s="337"/>
      <c r="B16" s="334" t="s">
        <v>64</v>
      </c>
      <c r="C16" s="334"/>
      <c r="D16" s="225"/>
      <c r="F16" s="335" t="s">
        <v>69</v>
      </c>
      <c r="G16" s="336"/>
      <c r="H16" s="336"/>
      <c r="I16" s="243" t="e">
        <f>LOGEST(I6:I15)-1</f>
        <v>#VALUE!</v>
      </c>
    </row>
    <row r="17" spans="1:12" ht="15" customHeight="1">
      <c r="A17" s="339" t="s">
        <v>13</v>
      </c>
      <c r="B17" s="340"/>
      <c r="C17" s="340"/>
      <c r="D17" s="341"/>
    </row>
    <row r="18" spans="1:12" ht="15" customHeight="1">
      <c r="A18" s="337"/>
      <c r="B18" s="334" t="s">
        <v>65</v>
      </c>
      <c r="C18" s="334"/>
      <c r="D18" s="225"/>
      <c r="I18" s="168"/>
    </row>
    <row r="19" spans="1:12" ht="15" customHeight="1">
      <c r="A19" s="337"/>
      <c r="B19" s="334" t="s">
        <v>102</v>
      </c>
      <c r="C19" s="334"/>
      <c r="D19" s="225"/>
    </row>
    <row r="20" spans="1:12" ht="15" customHeight="1" thickBot="1">
      <c r="A20" s="338"/>
      <c r="B20" s="348" t="s">
        <v>64</v>
      </c>
      <c r="C20" s="348"/>
      <c r="D20" s="226"/>
    </row>
    <row r="22" spans="1:12" ht="15" customHeight="1" thickBot="1"/>
    <row r="23" spans="1:12" ht="15" customHeight="1">
      <c r="A23" s="162" t="s">
        <v>27</v>
      </c>
      <c r="B23" s="163"/>
      <c r="C23" s="163"/>
      <c r="D23" s="163"/>
      <c r="E23" s="163"/>
      <c r="F23" s="163"/>
      <c r="G23" s="163"/>
      <c r="H23" s="163"/>
      <c r="I23" s="164"/>
    </row>
    <row r="24" spans="1:12" ht="15" customHeight="1">
      <c r="A24" s="165"/>
      <c r="B24" s="156"/>
      <c r="C24" s="156"/>
      <c r="D24" s="156"/>
      <c r="E24" s="156"/>
      <c r="F24" s="156"/>
      <c r="G24" s="156"/>
      <c r="H24" s="156"/>
      <c r="I24" s="166"/>
      <c r="L24" s="168"/>
    </row>
    <row r="25" spans="1:12" ht="15" customHeight="1">
      <c r="A25" s="165"/>
      <c r="B25" s="156"/>
      <c r="C25" s="156"/>
      <c r="D25" s="156"/>
      <c r="E25" s="156"/>
      <c r="F25" s="156"/>
      <c r="G25" s="156"/>
      <c r="H25" s="156"/>
      <c r="I25" s="166"/>
      <c r="K25" s="168"/>
    </row>
    <row r="26" spans="1:12" ht="15" customHeight="1">
      <c r="A26" s="165"/>
      <c r="B26" s="156"/>
      <c r="C26" s="156"/>
      <c r="D26" s="156"/>
      <c r="E26" s="156"/>
      <c r="F26" s="156"/>
      <c r="G26" s="156"/>
      <c r="H26" s="156"/>
      <c r="I26" s="166"/>
      <c r="K26" s="168"/>
    </row>
    <row r="27" spans="1:12" ht="15" customHeight="1">
      <c r="A27" s="165"/>
      <c r="B27" s="156"/>
      <c r="C27" s="156"/>
      <c r="D27" s="156"/>
      <c r="E27" s="156"/>
      <c r="F27" s="156"/>
      <c r="G27" s="156"/>
      <c r="H27" s="156"/>
      <c r="I27" s="166"/>
    </row>
    <row r="28" spans="1:12" ht="15" customHeight="1" thickBot="1">
      <c r="A28" s="159"/>
      <c r="B28" s="154"/>
      <c r="C28" s="154"/>
      <c r="D28" s="154"/>
      <c r="E28" s="154"/>
      <c r="F28" s="154"/>
      <c r="G28" s="154"/>
      <c r="H28" s="154"/>
      <c r="I28" s="167"/>
    </row>
    <row r="31" spans="1:12" ht="15" customHeight="1">
      <c r="A31" s="160" t="s">
        <v>28</v>
      </c>
    </row>
    <row r="32" spans="1:12" s="169" customFormat="1" ht="15" customHeight="1">
      <c r="A32" s="291" t="s">
        <v>88</v>
      </c>
      <c r="B32" s="291"/>
      <c r="C32" s="291"/>
      <c r="D32" s="291"/>
      <c r="E32" s="291"/>
      <c r="F32" s="291"/>
      <c r="G32" s="291"/>
      <c r="H32" s="291"/>
      <c r="I32" s="291"/>
    </row>
    <row r="33" spans="1:9" ht="30" customHeight="1">
      <c r="A33" s="280" t="s">
        <v>166</v>
      </c>
      <c r="B33" s="280"/>
      <c r="C33" s="280"/>
      <c r="D33" s="280"/>
      <c r="E33" s="280"/>
      <c r="F33" s="280"/>
      <c r="G33" s="280"/>
      <c r="H33" s="280"/>
      <c r="I33" s="280"/>
    </row>
  </sheetData>
  <mergeCells count="25">
    <mergeCell ref="A4:D4"/>
    <mergeCell ref="F4:I4"/>
    <mergeCell ref="A32:I32"/>
    <mergeCell ref="A33:I33"/>
    <mergeCell ref="B15:C15"/>
    <mergeCell ref="B16:C16"/>
    <mergeCell ref="B19:C19"/>
    <mergeCell ref="B20:C20"/>
    <mergeCell ref="A5:D5"/>
    <mergeCell ref="A9:D9"/>
    <mergeCell ref="B6:C6"/>
    <mergeCell ref="B7:C7"/>
    <mergeCell ref="B8:C8"/>
    <mergeCell ref="A6:A8"/>
    <mergeCell ref="A10:A12"/>
    <mergeCell ref="A14:A16"/>
    <mergeCell ref="B14:C14"/>
    <mergeCell ref="B18:C18"/>
    <mergeCell ref="F16:H16"/>
    <mergeCell ref="A18:A20"/>
    <mergeCell ref="B10:C10"/>
    <mergeCell ref="B11:C11"/>
    <mergeCell ref="B12:C12"/>
    <mergeCell ref="A13:D13"/>
    <mergeCell ref="A17:D17"/>
  </mergeCells>
  <printOptions horizontalCentered="1"/>
  <pageMargins left="0.7" right="0.7" top="0.75" bottom="0.75" header="0.3" footer="0.3"/>
  <pageSetup scale="99" orientation="landscape" r:id="rId1"/>
  <headerFooter>
    <oddFooter>&amp;R8/13</oddFooter>
  </headerFooter>
</worksheet>
</file>

<file path=xl/worksheets/sheet6.xml><?xml version="1.0" encoding="utf-8"?>
<worksheet xmlns="http://schemas.openxmlformats.org/spreadsheetml/2006/main" xmlns:r="http://schemas.openxmlformats.org/officeDocument/2006/relationships">
  <sheetPr>
    <pageSetUpPr fitToPage="1"/>
  </sheetPr>
  <dimension ref="A1:G34"/>
  <sheetViews>
    <sheetView workbookViewId="0"/>
  </sheetViews>
  <sheetFormatPr defaultRowHeight="15" customHeight="1"/>
  <cols>
    <col min="1" max="1" width="28.7109375" style="2" customWidth="1"/>
    <col min="2" max="7" width="12.7109375" style="2" customWidth="1"/>
    <col min="8" max="16384" width="9.140625" style="2"/>
  </cols>
  <sheetData>
    <row r="1" spans="1:7" ht="15" customHeight="1">
      <c r="A1" s="21" t="s">
        <v>36</v>
      </c>
      <c r="B1" s="22"/>
      <c r="C1" s="22"/>
      <c r="D1" s="22"/>
      <c r="E1" s="22"/>
      <c r="F1" s="22"/>
      <c r="G1" s="31" t="s">
        <v>158</v>
      </c>
    </row>
    <row r="2" spans="1:7" ht="15" customHeight="1">
      <c r="A2" s="21"/>
      <c r="B2" s="22"/>
      <c r="C2" s="22"/>
      <c r="D2" s="22"/>
      <c r="E2" s="22"/>
      <c r="F2" s="22"/>
      <c r="G2" s="22"/>
    </row>
    <row r="3" spans="1:7" ht="15" customHeight="1" thickBot="1">
      <c r="A3" s="21"/>
      <c r="B3" s="22"/>
      <c r="C3" s="22"/>
      <c r="D3" s="22"/>
      <c r="E3" s="22"/>
      <c r="F3" s="22"/>
      <c r="G3" s="22"/>
    </row>
    <row r="4" spans="1:7" ht="15" customHeight="1">
      <c r="A4" s="21" t="s">
        <v>1</v>
      </c>
      <c r="B4" s="350" t="s">
        <v>2</v>
      </c>
      <c r="C4" s="351"/>
      <c r="D4" s="352"/>
      <c r="F4" s="22"/>
      <c r="G4" s="22"/>
    </row>
    <row r="5" spans="1:7" ht="15" customHeight="1" thickBot="1">
      <c r="A5" s="21" t="s">
        <v>3</v>
      </c>
      <c r="B5" s="353" t="s">
        <v>30</v>
      </c>
      <c r="C5" s="354"/>
      <c r="D5" s="355"/>
      <c r="F5" s="22"/>
      <c r="G5" s="22"/>
    </row>
    <row r="6" spans="1:7" ht="15" customHeight="1">
      <c r="A6" s="22"/>
      <c r="B6" s="22"/>
      <c r="C6" s="23"/>
      <c r="D6" s="23"/>
      <c r="E6" s="23"/>
      <c r="F6" s="22"/>
      <c r="G6" s="22"/>
    </row>
    <row r="7" spans="1:7" ht="15" customHeight="1" thickBot="1"/>
    <row r="8" spans="1:7" ht="30">
      <c r="A8" s="74" t="s">
        <v>37</v>
      </c>
      <c r="B8" s="75" t="s">
        <v>4</v>
      </c>
      <c r="C8" s="76" t="s">
        <v>38</v>
      </c>
      <c r="D8" s="75" t="s">
        <v>4</v>
      </c>
      <c r="E8" s="76" t="s">
        <v>38</v>
      </c>
      <c r="F8" s="75" t="s">
        <v>4</v>
      </c>
      <c r="G8" s="77" t="s">
        <v>38</v>
      </c>
    </row>
    <row r="9" spans="1:7" ht="15" customHeight="1">
      <c r="A9" s="78" t="s">
        <v>5</v>
      </c>
      <c r="B9" s="24"/>
      <c r="C9" s="25" t="e">
        <f>B9/$B$9</f>
        <v>#DIV/0!</v>
      </c>
      <c r="D9" s="24"/>
      <c r="E9" s="25" t="e">
        <f>D9/$D$9</f>
        <v>#DIV/0!</v>
      </c>
      <c r="F9" s="24"/>
      <c r="G9" s="79" t="e">
        <f>F9/$F$9</f>
        <v>#DIV/0!</v>
      </c>
    </row>
    <row r="10" spans="1:7" ht="15" customHeight="1">
      <c r="A10" s="80" t="s">
        <v>39</v>
      </c>
      <c r="B10" s="26"/>
      <c r="C10" s="27" t="e">
        <f>B10/$B$9</f>
        <v>#DIV/0!</v>
      </c>
      <c r="D10" s="26"/>
      <c r="E10" s="27" t="e">
        <f>D10/$D$9</f>
        <v>#DIV/0!</v>
      </c>
      <c r="F10" s="26"/>
      <c r="G10" s="81" t="e">
        <f>F10/$F$9</f>
        <v>#DIV/0!</v>
      </c>
    </row>
    <row r="11" spans="1:7" ht="15" customHeight="1">
      <c r="A11" s="80" t="s">
        <v>40</v>
      </c>
      <c r="B11" s="26"/>
      <c r="C11" s="27" t="e">
        <f>B11/$B$9</f>
        <v>#DIV/0!</v>
      </c>
      <c r="D11" s="26"/>
      <c r="E11" s="27" t="e">
        <f>D11/$D$9</f>
        <v>#DIV/0!</v>
      </c>
      <c r="F11" s="26"/>
      <c r="G11" s="81" t="e">
        <f>F11/$F$9</f>
        <v>#DIV/0!</v>
      </c>
    </row>
    <row r="12" spans="1:7" ht="15" customHeight="1">
      <c r="A12" s="80" t="s">
        <v>41</v>
      </c>
      <c r="B12" s="26"/>
      <c r="C12" s="27" t="e">
        <f>B12/$B$9</f>
        <v>#DIV/0!</v>
      </c>
      <c r="D12" s="26"/>
      <c r="E12" s="27" t="e">
        <f>D12/$D$9</f>
        <v>#DIV/0!</v>
      </c>
      <c r="F12" s="26"/>
      <c r="G12" s="81" t="e">
        <f>F12/$F$9</f>
        <v>#DIV/0!</v>
      </c>
    </row>
    <row r="13" spans="1:7" ht="15" customHeight="1" thickBot="1">
      <c r="A13" s="82" t="s">
        <v>42</v>
      </c>
      <c r="B13" s="83">
        <f>B9-B10-B11-B12</f>
        <v>0</v>
      </c>
      <c r="C13" s="84" t="e">
        <f>B13/$B$9</f>
        <v>#DIV/0!</v>
      </c>
      <c r="D13" s="83">
        <f>D9-D10-D11-D12</f>
        <v>0</v>
      </c>
      <c r="E13" s="84" t="e">
        <f>D13/$D$9</f>
        <v>#DIV/0!</v>
      </c>
      <c r="F13" s="83">
        <f>F9-F10-F11-F12</f>
        <v>0</v>
      </c>
      <c r="G13" s="85" t="e">
        <f>F13/$F$9</f>
        <v>#DIV/0!</v>
      </c>
    </row>
    <row r="14" spans="1:7" ht="15" customHeight="1">
      <c r="A14" s="21"/>
      <c r="B14" s="22"/>
      <c r="C14" s="28"/>
      <c r="D14" s="28"/>
      <c r="E14" s="29"/>
      <c r="F14" s="28"/>
      <c r="G14" s="29"/>
    </row>
    <row r="15" spans="1:7" ht="15" customHeight="1" thickBot="1"/>
    <row r="16" spans="1:7" ht="30">
      <c r="A16" s="74" t="s">
        <v>43</v>
      </c>
      <c r="B16" s="75" t="s">
        <v>4</v>
      </c>
      <c r="C16" s="76" t="s">
        <v>38</v>
      </c>
      <c r="D16" s="75" t="s">
        <v>4</v>
      </c>
      <c r="E16" s="76" t="s">
        <v>38</v>
      </c>
      <c r="F16" s="75" t="s">
        <v>4</v>
      </c>
      <c r="G16" s="77" t="s">
        <v>38</v>
      </c>
    </row>
    <row r="17" spans="1:7" ht="15" customHeight="1">
      <c r="A17" s="78" t="s">
        <v>5</v>
      </c>
      <c r="B17" s="24"/>
      <c r="C17" s="25" t="e">
        <f>B17/$B$17</f>
        <v>#DIV/0!</v>
      </c>
      <c r="D17" s="24"/>
      <c r="E17" s="25" t="e">
        <f>D17/$D$17</f>
        <v>#DIV/0!</v>
      </c>
      <c r="F17" s="24"/>
      <c r="G17" s="79" t="e">
        <f>F17/$F$17</f>
        <v>#DIV/0!</v>
      </c>
    </row>
    <row r="18" spans="1:7" ht="15" customHeight="1">
      <c r="A18" s="80" t="s">
        <v>39</v>
      </c>
      <c r="B18" s="26"/>
      <c r="C18" s="27" t="e">
        <f>B18/$B$17</f>
        <v>#DIV/0!</v>
      </c>
      <c r="D18" s="26"/>
      <c r="E18" s="27" t="e">
        <f>D18/$D$17</f>
        <v>#DIV/0!</v>
      </c>
      <c r="F18" s="26"/>
      <c r="G18" s="81" t="e">
        <f>F18/$F$17</f>
        <v>#DIV/0!</v>
      </c>
    </row>
    <row r="19" spans="1:7" ht="15" customHeight="1">
      <c r="A19" s="80" t="s">
        <v>40</v>
      </c>
      <c r="B19" s="26"/>
      <c r="C19" s="27" t="e">
        <f>B19/$B$17</f>
        <v>#DIV/0!</v>
      </c>
      <c r="D19" s="26"/>
      <c r="E19" s="27" t="e">
        <f>D19/$D$17</f>
        <v>#DIV/0!</v>
      </c>
      <c r="F19" s="26"/>
      <c r="G19" s="81" t="e">
        <f>F19/$F$17</f>
        <v>#DIV/0!</v>
      </c>
    </row>
    <row r="20" spans="1:7" ht="15" customHeight="1">
      <c r="A20" s="80" t="s">
        <v>41</v>
      </c>
      <c r="B20" s="26"/>
      <c r="C20" s="27" t="e">
        <f>B20/$B$17</f>
        <v>#DIV/0!</v>
      </c>
      <c r="D20" s="26"/>
      <c r="E20" s="27" t="e">
        <f>D20/$D$17</f>
        <v>#DIV/0!</v>
      </c>
      <c r="F20" s="26"/>
      <c r="G20" s="81" t="e">
        <f>F20/$F$17</f>
        <v>#DIV/0!</v>
      </c>
    </row>
    <row r="21" spans="1:7" ht="15" customHeight="1" thickBot="1">
      <c r="A21" s="82" t="s">
        <v>42</v>
      </c>
      <c r="B21" s="83">
        <f>B17-B18-B19-B20</f>
        <v>0</v>
      </c>
      <c r="C21" s="84" t="e">
        <f>B21/$B$17</f>
        <v>#DIV/0!</v>
      </c>
      <c r="D21" s="83">
        <f>D17-D18-D19-D20</f>
        <v>0</v>
      </c>
      <c r="E21" s="84" t="e">
        <f>D21/$D$17</f>
        <v>#DIV/0!</v>
      </c>
      <c r="F21" s="83">
        <f>F17-F18-F19-F20</f>
        <v>0</v>
      </c>
      <c r="G21" s="85" t="e">
        <f>F21/$F$17</f>
        <v>#DIV/0!</v>
      </c>
    </row>
    <row r="22" spans="1:7" ht="15" customHeight="1">
      <c r="A22" s="21"/>
      <c r="B22" s="22"/>
      <c r="C22" s="28"/>
      <c r="D22" s="28"/>
      <c r="E22" s="29"/>
      <c r="F22" s="28"/>
      <c r="G22" s="29"/>
    </row>
    <row r="23" spans="1:7" ht="15" customHeight="1" thickBot="1">
      <c r="A23" s="21"/>
      <c r="B23" s="22"/>
      <c r="C23" s="28"/>
      <c r="D23" s="28"/>
      <c r="E23" s="29"/>
      <c r="F23" s="28"/>
      <c r="G23" s="28"/>
    </row>
    <row r="24" spans="1:7" ht="15" customHeight="1">
      <c r="A24" s="86" t="s">
        <v>27</v>
      </c>
      <c r="B24" s="87"/>
      <c r="C24" s="87"/>
      <c r="D24" s="87"/>
      <c r="E24" s="87"/>
      <c r="F24" s="87"/>
      <c r="G24" s="88"/>
    </row>
    <row r="25" spans="1:7" ht="15" customHeight="1">
      <c r="A25" s="89"/>
      <c r="B25" s="30"/>
      <c r="C25" s="30"/>
      <c r="D25" s="30"/>
      <c r="E25" s="30"/>
      <c r="F25" s="30"/>
      <c r="G25" s="90"/>
    </row>
    <row r="26" spans="1:7" ht="15" customHeight="1">
      <c r="A26" s="89"/>
      <c r="B26" s="30"/>
      <c r="C26" s="30"/>
      <c r="D26" s="30"/>
      <c r="E26" s="30"/>
      <c r="F26" s="30"/>
      <c r="G26" s="90"/>
    </row>
    <row r="27" spans="1:7" ht="15" customHeight="1">
      <c r="A27" s="89"/>
      <c r="B27" s="30"/>
      <c r="C27" s="30"/>
      <c r="D27" s="30"/>
      <c r="E27" s="30"/>
      <c r="F27" s="30"/>
      <c r="G27" s="90"/>
    </row>
    <row r="28" spans="1:7" ht="15" customHeight="1">
      <c r="A28" s="89"/>
      <c r="B28" s="30"/>
      <c r="C28" s="30"/>
      <c r="D28" s="30"/>
      <c r="E28" s="30"/>
      <c r="F28" s="30"/>
      <c r="G28" s="90"/>
    </row>
    <row r="29" spans="1:7" ht="15" customHeight="1" thickBot="1">
      <c r="A29" s="91"/>
      <c r="B29" s="92"/>
      <c r="C29" s="92"/>
      <c r="D29" s="92"/>
      <c r="E29" s="92"/>
      <c r="F29" s="92"/>
      <c r="G29" s="93"/>
    </row>
    <row r="32" spans="1:7" ht="15" customHeight="1">
      <c r="A32" s="21" t="s">
        <v>28</v>
      </c>
      <c r="B32" s="22"/>
      <c r="C32" s="22"/>
      <c r="D32" s="22"/>
      <c r="E32" s="22"/>
      <c r="F32" s="22"/>
      <c r="G32" s="22"/>
    </row>
    <row r="33" spans="1:7" ht="15" customHeight="1">
      <c r="A33" s="349" t="s">
        <v>157</v>
      </c>
      <c r="B33" s="349"/>
      <c r="C33" s="349"/>
      <c r="D33" s="349"/>
      <c r="E33" s="349"/>
      <c r="F33" s="349"/>
      <c r="G33" s="349"/>
    </row>
    <row r="34" spans="1:7" ht="15" customHeight="1">
      <c r="A34" s="349" t="s">
        <v>186</v>
      </c>
      <c r="B34" s="349"/>
      <c r="C34" s="349"/>
      <c r="D34" s="349"/>
      <c r="E34" s="349"/>
      <c r="F34" s="349"/>
      <c r="G34" s="349"/>
    </row>
  </sheetData>
  <mergeCells count="4">
    <mergeCell ref="A33:G33"/>
    <mergeCell ref="A34:G34"/>
    <mergeCell ref="B4:D4"/>
    <mergeCell ref="B5:D5"/>
  </mergeCells>
  <printOptions horizontalCentered="1"/>
  <pageMargins left="0.7" right="0.7" top="0.75" bottom="0.75" header="0.3" footer="0.3"/>
  <pageSetup scale="86" orientation="portrait" r:id="rId1"/>
  <headerFooter>
    <oddFooter>&amp;R8/13</oddFooter>
  </headerFooter>
  <ignoredErrors>
    <ignoredError sqref="C21 E21 E13 C13" formula="1"/>
  </ignoredErrors>
</worksheet>
</file>

<file path=xl/worksheets/sheet7.xml><?xml version="1.0" encoding="utf-8"?>
<worksheet xmlns="http://schemas.openxmlformats.org/spreadsheetml/2006/main" xmlns:r="http://schemas.openxmlformats.org/officeDocument/2006/relationships">
  <sheetPr>
    <pageSetUpPr fitToPage="1"/>
  </sheetPr>
  <dimension ref="A1:H38"/>
  <sheetViews>
    <sheetView workbookViewId="0"/>
  </sheetViews>
  <sheetFormatPr defaultRowHeight="15" customHeight="1"/>
  <cols>
    <col min="1" max="7" width="12.7109375" customWidth="1"/>
    <col min="8" max="8" width="12.7109375" style="32" customWidth="1"/>
  </cols>
  <sheetData>
    <row r="1" spans="1:8" ht="15" customHeight="1">
      <c r="A1" s="33" t="s">
        <v>44</v>
      </c>
      <c r="B1" s="34"/>
      <c r="C1" s="34"/>
      <c r="D1" s="34"/>
      <c r="E1" s="34"/>
      <c r="F1" s="34"/>
      <c r="G1" s="34"/>
      <c r="H1" s="41" t="s">
        <v>140</v>
      </c>
    </row>
    <row r="2" spans="1:8" ht="15" customHeight="1">
      <c r="A2" s="2"/>
      <c r="B2" s="2"/>
      <c r="C2" s="2"/>
      <c r="D2" s="2"/>
      <c r="E2" s="2"/>
      <c r="F2" s="2"/>
      <c r="G2" s="2"/>
      <c r="H2" s="2"/>
    </row>
    <row r="3" spans="1:8" ht="15" customHeight="1" thickBot="1">
      <c r="A3" s="2"/>
      <c r="B3" s="2"/>
      <c r="C3" s="2"/>
      <c r="D3" s="2"/>
      <c r="E3" s="2"/>
      <c r="F3" s="2"/>
      <c r="G3" s="2"/>
      <c r="H3" s="2"/>
    </row>
    <row r="4" spans="1:8" ht="15" customHeight="1">
      <c r="A4" s="33" t="s">
        <v>1</v>
      </c>
      <c r="B4" s="34"/>
      <c r="C4" s="364" t="s">
        <v>2</v>
      </c>
      <c r="D4" s="365"/>
      <c r="E4" s="366"/>
      <c r="F4" s="35"/>
      <c r="G4" s="35"/>
      <c r="H4" s="35"/>
    </row>
    <row r="5" spans="1:8" s="241" customFormat="1" ht="15" customHeight="1">
      <c r="A5" s="33" t="s">
        <v>133</v>
      </c>
      <c r="B5" s="34"/>
      <c r="C5" s="380" t="s">
        <v>134</v>
      </c>
      <c r="D5" s="381"/>
      <c r="E5" s="382"/>
      <c r="F5" s="35"/>
      <c r="G5" s="35"/>
      <c r="H5" s="35"/>
    </row>
    <row r="6" spans="1:8" ht="15" customHeight="1" thickBot="1">
      <c r="A6" s="33" t="s">
        <v>3</v>
      </c>
      <c r="B6" s="34"/>
      <c r="C6" s="375" t="s">
        <v>30</v>
      </c>
      <c r="D6" s="376"/>
      <c r="E6" s="377"/>
      <c r="F6" s="35"/>
      <c r="G6" s="35"/>
      <c r="H6" s="35"/>
    </row>
    <row r="7" spans="1:8" ht="15" customHeight="1">
      <c r="A7" s="2"/>
      <c r="B7" s="2"/>
      <c r="C7" s="2"/>
      <c r="D7" s="2"/>
      <c r="E7" s="2"/>
      <c r="F7" s="2"/>
      <c r="G7" s="2"/>
      <c r="H7" s="2"/>
    </row>
    <row r="8" spans="1:8" ht="15" customHeight="1" thickBot="1">
      <c r="A8" s="2"/>
      <c r="B8" s="2"/>
      <c r="C8" s="2"/>
      <c r="D8" s="2"/>
      <c r="E8" s="2"/>
      <c r="F8" s="2"/>
      <c r="G8" s="2"/>
      <c r="H8" s="2"/>
    </row>
    <row r="9" spans="1:8" ht="15" customHeight="1">
      <c r="A9" s="367" t="s">
        <v>48</v>
      </c>
      <c r="B9" s="368"/>
      <c r="C9" s="368"/>
      <c r="D9" s="369" t="s">
        <v>141</v>
      </c>
      <c r="E9" s="370"/>
      <c r="F9" s="370"/>
      <c r="G9" s="370"/>
      <c r="H9" s="371"/>
    </row>
    <row r="10" spans="1:8" ht="15" customHeight="1">
      <c r="A10" s="378" t="s">
        <v>49</v>
      </c>
      <c r="B10" s="379"/>
      <c r="C10" s="379"/>
      <c r="D10" s="36" t="s">
        <v>112</v>
      </c>
      <c r="E10" s="36" t="s">
        <v>113</v>
      </c>
      <c r="F10" s="36" t="s">
        <v>114</v>
      </c>
      <c r="G10" s="36" t="s">
        <v>45</v>
      </c>
      <c r="H10" s="59" t="s">
        <v>17</v>
      </c>
    </row>
    <row r="11" spans="1:8" ht="15" customHeight="1">
      <c r="A11" s="372" t="s">
        <v>108</v>
      </c>
      <c r="B11" s="373"/>
      <c r="C11" s="374"/>
      <c r="D11" s="94"/>
      <c r="E11" s="94"/>
      <c r="F11" s="94"/>
      <c r="G11" s="94"/>
      <c r="H11" s="95"/>
    </row>
    <row r="12" spans="1:8" ht="15" customHeight="1">
      <c r="A12" s="360" t="s">
        <v>109</v>
      </c>
      <c r="B12" s="361"/>
      <c r="C12" s="362"/>
      <c r="D12" s="37"/>
      <c r="E12" s="37"/>
      <c r="F12" s="37"/>
      <c r="G12" s="37"/>
      <c r="H12" s="60"/>
    </row>
    <row r="13" spans="1:8" ht="15" customHeight="1">
      <c r="A13" s="360" t="s">
        <v>110</v>
      </c>
      <c r="B13" s="361"/>
      <c r="C13" s="362"/>
      <c r="D13" s="37"/>
      <c r="E13" s="37"/>
      <c r="F13" s="37"/>
      <c r="G13" s="37"/>
      <c r="H13" s="60"/>
    </row>
    <row r="14" spans="1:8" ht="15" customHeight="1">
      <c r="A14" s="360" t="s">
        <v>111</v>
      </c>
      <c r="B14" s="361"/>
      <c r="C14" s="362"/>
      <c r="D14" s="37"/>
      <c r="E14" s="37"/>
      <c r="F14" s="37"/>
      <c r="G14" s="37"/>
      <c r="H14" s="60"/>
    </row>
    <row r="15" spans="1:8" ht="15" customHeight="1">
      <c r="A15" s="360" t="s">
        <v>104</v>
      </c>
      <c r="B15" s="361"/>
      <c r="C15" s="362"/>
      <c r="D15" s="37"/>
      <c r="E15" s="37"/>
      <c r="F15" s="37"/>
      <c r="G15" s="37"/>
      <c r="H15" s="60"/>
    </row>
    <row r="16" spans="1:8" ht="15" customHeight="1">
      <c r="A16" s="360" t="s">
        <v>106</v>
      </c>
      <c r="B16" s="361"/>
      <c r="C16" s="362"/>
      <c r="D16" s="37"/>
      <c r="E16" s="37"/>
      <c r="F16" s="37"/>
      <c r="G16" s="37"/>
      <c r="H16" s="60"/>
    </row>
    <row r="17" spans="1:8" ht="15" customHeight="1">
      <c r="A17" s="360" t="s">
        <v>105</v>
      </c>
      <c r="B17" s="361"/>
      <c r="C17" s="362"/>
      <c r="D17" s="37"/>
      <c r="E17" s="37"/>
      <c r="F17" s="37"/>
      <c r="G17" s="37"/>
      <c r="H17" s="60"/>
    </row>
    <row r="18" spans="1:8" ht="15" customHeight="1">
      <c r="A18" s="360" t="s">
        <v>107</v>
      </c>
      <c r="B18" s="361"/>
      <c r="C18" s="362"/>
      <c r="D18" s="37"/>
      <c r="E18" s="37"/>
      <c r="F18" s="37"/>
      <c r="G18" s="37"/>
      <c r="H18" s="60"/>
    </row>
    <row r="19" spans="1:8" ht="15" customHeight="1">
      <c r="A19" s="360" t="s">
        <v>45</v>
      </c>
      <c r="B19" s="361"/>
      <c r="C19" s="362"/>
      <c r="D19" s="37"/>
      <c r="E19" s="37"/>
      <c r="F19" s="37"/>
      <c r="G19" s="37"/>
      <c r="H19" s="60"/>
    </row>
    <row r="20" spans="1:8" ht="15" customHeight="1">
      <c r="A20" s="357" t="s">
        <v>162</v>
      </c>
      <c r="B20" s="358"/>
      <c r="C20" s="359"/>
      <c r="D20" s="38"/>
      <c r="E20" s="38"/>
      <c r="F20" s="38"/>
      <c r="G20" s="38"/>
      <c r="H20" s="61"/>
    </row>
    <row r="21" spans="1:8" ht="15" customHeight="1">
      <c r="A21" s="357" t="s">
        <v>46</v>
      </c>
      <c r="B21" s="358"/>
      <c r="C21" s="359"/>
      <c r="D21" s="20"/>
      <c r="E21" s="20"/>
      <c r="F21" s="20"/>
      <c r="G21" s="20"/>
      <c r="H21" s="96"/>
    </row>
    <row r="22" spans="1:8" ht="15" customHeight="1">
      <c r="A22" s="357" t="s">
        <v>47</v>
      </c>
      <c r="B22" s="358"/>
      <c r="C22" s="359"/>
      <c r="D22" s="39"/>
      <c r="E22" s="39"/>
      <c r="F22" s="39"/>
      <c r="G22" s="39"/>
      <c r="H22" s="97"/>
    </row>
    <row r="23" spans="1:8" ht="15" customHeight="1" thickBot="1">
      <c r="A23" s="62" t="s">
        <v>35</v>
      </c>
      <c r="B23" s="63"/>
      <c r="C23" s="63"/>
      <c r="D23" s="64"/>
      <c r="E23" s="64"/>
      <c r="F23" s="64"/>
      <c r="G23" s="64"/>
      <c r="H23" s="65"/>
    </row>
    <row r="24" spans="1:8" ht="15" customHeight="1">
      <c r="A24" s="2"/>
      <c r="B24" s="2"/>
      <c r="C24" s="2"/>
      <c r="D24" s="2"/>
      <c r="E24" s="2"/>
      <c r="F24" s="2"/>
      <c r="G24" s="2"/>
      <c r="H24" s="2"/>
    </row>
    <row r="25" spans="1:8" ht="15" customHeight="1" thickBot="1">
      <c r="A25" s="2"/>
      <c r="B25" s="2"/>
      <c r="C25" s="2"/>
      <c r="D25" s="2"/>
      <c r="E25" s="2"/>
      <c r="F25" s="2"/>
      <c r="G25" s="2"/>
      <c r="H25" s="2"/>
    </row>
    <row r="26" spans="1:8" ht="15" customHeight="1">
      <c r="A26" s="66" t="s">
        <v>27</v>
      </c>
      <c r="B26" s="67"/>
      <c r="C26" s="67"/>
      <c r="D26" s="67"/>
      <c r="E26" s="67"/>
      <c r="F26" s="67"/>
      <c r="G26" s="67"/>
      <c r="H26" s="68"/>
    </row>
    <row r="27" spans="1:8" ht="15" customHeight="1">
      <c r="A27" s="69"/>
      <c r="B27" s="40"/>
      <c r="C27" s="40"/>
      <c r="D27" s="40"/>
      <c r="E27" s="40"/>
      <c r="F27" s="40"/>
      <c r="G27" s="40"/>
      <c r="H27" s="70"/>
    </row>
    <row r="28" spans="1:8" ht="15" customHeight="1">
      <c r="A28" s="69"/>
      <c r="B28" s="40"/>
      <c r="C28" s="40"/>
      <c r="D28" s="40"/>
      <c r="E28" s="40"/>
      <c r="F28" s="40"/>
      <c r="G28" s="40"/>
      <c r="H28" s="70"/>
    </row>
    <row r="29" spans="1:8" ht="15" customHeight="1">
      <c r="A29" s="69"/>
      <c r="B29" s="40"/>
      <c r="C29" s="40"/>
      <c r="D29" s="40"/>
      <c r="E29" s="40"/>
      <c r="F29" s="40"/>
      <c r="G29" s="40"/>
      <c r="H29" s="70"/>
    </row>
    <row r="30" spans="1:8" ht="15" customHeight="1">
      <c r="A30" s="69"/>
      <c r="B30" s="40"/>
      <c r="C30" s="40"/>
      <c r="D30" s="40"/>
      <c r="E30" s="40"/>
      <c r="F30" s="40"/>
      <c r="G30" s="40"/>
      <c r="H30" s="70"/>
    </row>
    <row r="31" spans="1:8" ht="15" customHeight="1" thickBot="1">
      <c r="A31" s="71"/>
      <c r="B31" s="72"/>
      <c r="C31" s="72"/>
      <c r="D31" s="72"/>
      <c r="E31" s="72"/>
      <c r="F31" s="72"/>
      <c r="G31" s="72"/>
      <c r="H31" s="73"/>
    </row>
    <row r="32" spans="1:8" ht="15" customHeight="1">
      <c r="A32" s="2"/>
      <c r="B32" s="2"/>
      <c r="C32" s="2"/>
      <c r="D32" s="2"/>
      <c r="E32" s="2"/>
      <c r="F32" s="2"/>
      <c r="G32" s="2"/>
      <c r="H32" s="2"/>
    </row>
    <row r="33" spans="1:8" ht="15" customHeight="1">
      <c r="A33" s="2"/>
      <c r="B33" s="2"/>
      <c r="C33" s="2"/>
      <c r="D33" s="2"/>
      <c r="E33" s="2"/>
      <c r="F33" s="2"/>
      <c r="G33" s="2"/>
      <c r="H33" s="2"/>
    </row>
    <row r="34" spans="1:8" ht="15" customHeight="1">
      <c r="A34" s="33" t="s">
        <v>28</v>
      </c>
      <c r="B34" s="34"/>
      <c r="C34" s="34"/>
      <c r="D34" s="34"/>
      <c r="E34" s="34"/>
      <c r="F34" s="34"/>
      <c r="G34" s="34"/>
      <c r="H34" s="34"/>
    </row>
    <row r="35" spans="1:8" ht="15" customHeight="1">
      <c r="A35" s="356" t="s">
        <v>146</v>
      </c>
      <c r="B35" s="356"/>
      <c r="C35" s="356"/>
      <c r="D35" s="356"/>
      <c r="E35" s="356"/>
      <c r="F35" s="356"/>
      <c r="G35" s="356"/>
      <c r="H35" s="356"/>
    </row>
    <row r="36" spans="1:8" ht="15" customHeight="1">
      <c r="A36" s="363" t="s">
        <v>147</v>
      </c>
      <c r="B36" s="363"/>
      <c r="C36" s="363"/>
      <c r="D36" s="363"/>
      <c r="E36" s="363"/>
      <c r="F36" s="363"/>
      <c r="G36" s="363"/>
      <c r="H36" s="363"/>
    </row>
    <row r="37" spans="1:8" ht="15" customHeight="1">
      <c r="A37" s="363" t="s">
        <v>165</v>
      </c>
      <c r="B37" s="363"/>
      <c r="C37" s="363"/>
      <c r="D37" s="363"/>
      <c r="E37" s="363"/>
      <c r="F37" s="363"/>
      <c r="G37" s="363"/>
      <c r="H37" s="363"/>
    </row>
    <row r="38" spans="1:8" ht="15" customHeight="1">
      <c r="A38" s="356" t="s">
        <v>148</v>
      </c>
      <c r="B38" s="356"/>
      <c r="C38" s="356"/>
      <c r="D38" s="356"/>
      <c r="E38" s="356"/>
      <c r="F38" s="356"/>
      <c r="G38" s="356"/>
      <c r="H38" s="356"/>
    </row>
  </sheetData>
  <mergeCells count="22">
    <mergeCell ref="C4:E4"/>
    <mergeCell ref="A9:C9"/>
    <mergeCell ref="D9:H9"/>
    <mergeCell ref="A11:C11"/>
    <mergeCell ref="C6:E6"/>
    <mergeCell ref="A10:C10"/>
    <mergeCell ref="C5:E5"/>
    <mergeCell ref="A38:H38"/>
    <mergeCell ref="A22:C22"/>
    <mergeCell ref="A12:C12"/>
    <mergeCell ref="A13:C13"/>
    <mergeCell ref="A35:H35"/>
    <mergeCell ref="A36:H36"/>
    <mergeCell ref="A37:H37"/>
    <mergeCell ref="A19:C19"/>
    <mergeCell ref="A21:C21"/>
    <mergeCell ref="A20:C20"/>
    <mergeCell ref="A14:C14"/>
    <mergeCell ref="A15:C15"/>
    <mergeCell ref="A16:C16"/>
    <mergeCell ref="A17:C17"/>
    <mergeCell ref="A18:C18"/>
  </mergeCells>
  <printOptions horizontalCentered="1"/>
  <pageMargins left="0.7" right="0.7" top="0.75" bottom="0.75" header="0.3" footer="0.3"/>
  <pageSetup scale="88" orientation="portrait" r:id="rId1"/>
  <headerFooter>
    <oddFooter>&amp;R8/13</oddFooter>
  </headerFooter>
</worksheet>
</file>

<file path=xl/worksheets/sheet8.xml><?xml version="1.0" encoding="utf-8"?>
<worksheet xmlns="http://schemas.openxmlformats.org/spreadsheetml/2006/main" xmlns:r="http://schemas.openxmlformats.org/officeDocument/2006/relationships">
  <sheetPr>
    <pageSetUpPr fitToPage="1"/>
  </sheetPr>
  <dimension ref="A1:F47"/>
  <sheetViews>
    <sheetView workbookViewId="0"/>
  </sheetViews>
  <sheetFormatPr defaultRowHeight="15" customHeight="1"/>
  <cols>
    <col min="1" max="1" width="36.7109375" customWidth="1"/>
    <col min="2" max="2" width="19.7109375" customWidth="1"/>
    <col min="3" max="3" width="25.7109375" customWidth="1"/>
    <col min="4" max="6" width="14.7109375" customWidth="1"/>
  </cols>
  <sheetData>
    <row r="1" spans="1:6" ht="15" customHeight="1">
      <c r="A1" s="125" t="s">
        <v>50</v>
      </c>
      <c r="B1" s="126"/>
      <c r="C1" s="126"/>
      <c r="D1" s="126"/>
      <c r="E1" s="126"/>
      <c r="F1" s="134" t="s">
        <v>149</v>
      </c>
    </row>
    <row r="2" spans="1:6" ht="15" customHeight="1">
      <c r="A2" s="125"/>
      <c r="B2" s="126"/>
      <c r="C2" s="126"/>
      <c r="D2" s="126"/>
      <c r="E2" s="126"/>
      <c r="F2" s="126"/>
    </row>
    <row r="3" spans="1:6" ht="15" customHeight="1" thickBot="1">
      <c r="A3" s="2"/>
      <c r="B3" s="2"/>
      <c r="C3" s="2"/>
      <c r="D3" s="2"/>
      <c r="E3" s="2"/>
      <c r="F3" s="2"/>
    </row>
    <row r="4" spans="1:6" ht="15" customHeight="1">
      <c r="A4" s="125" t="s">
        <v>1</v>
      </c>
      <c r="B4" s="396" t="s">
        <v>2</v>
      </c>
      <c r="C4" s="397"/>
      <c r="E4" s="126"/>
      <c r="F4" s="126"/>
    </row>
    <row r="5" spans="1:6" ht="15" customHeight="1">
      <c r="A5" s="125" t="s">
        <v>133</v>
      </c>
      <c r="B5" s="398" t="s">
        <v>134</v>
      </c>
      <c r="C5" s="399"/>
      <c r="E5" s="126"/>
      <c r="F5" s="126"/>
    </row>
    <row r="6" spans="1:6" ht="15" customHeight="1" thickBot="1">
      <c r="A6" s="125" t="s">
        <v>3</v>
      </c>
      <c r="B6" s="375" t="s">
        <v>30</v>
      </c>
      <c r="C6" s="377"/>
      <c r="E6" s="126"/>
      <c r="F6" s="126"/>
    </row>
    <row r="7" spans="1:6" ht="15" customHeight="1">
      <c r="A7" s="125"/>
      <c r="B7" s="126"/>
      <c r="C7" s="126"/>
      <c r="E7" s="126"/>
      <c r="F7" s="126"/>
    </row>
    <row r="8" spans="1:6" ht="15" customHeight="1" thickBot="1">
      <c r="A8" s="125"/>
      <c r="B8" s="126"/>
      <c r="C8" s="126"/>
      <c r="E8" s="126"/>
      <c r="F8" s="126"/>
    </row>
    <row r="9" spans="1:6" ht="15" customHeight="1" thickBot="1">
      <c r="A9" s="125" t="s">
        <v>51</v>
      </c>
      <c r="B9" s="400" t="s">
        <v>52</v>
      </c>
      <c r="C9" s="401"/>
      <c r="E9" s="127"/>
      <c r="F9" s="127"/>
    </row>
    <row r="10" spans="1:6" ht="15" customHeight="1">
      <c r="A10" s="126"/>
      <c r="B10" s="126"/>
      <c r="C10" s="128"/>
      <c r="D10" s="129"/>
      <c r="E10" s="129"/>
      <c r="F10" s="129"/>
    </row>
    <row r="11" spans="1:6" ht="15" customHeight="1" thickBot="1">
      <c r="A11" s="126"/>
      <c r="B11" s="126"/>
      <c r="C11" s="129"/>
      <c r="D11" s="129"/>
      <c r="E11" s="129"/>
      <c r="F11" s="129"/>
    </row>
    <row r="12" spans="1:6" ht="15" customHeight="1">
      <c r="A12" s="143" t="s">
        <v>53</v>
      </c>
      <c r="B12" s="392" t="s">
        <v>32</v>
      </c>
      <c r="C12" s="144" t="s">
        <v>54</v>
      </c>
      <c r="D12" s="392" t="s">
        <v>55</v>
      </c>
      <c r="E12" s="392" t="s">
        <v>56</v>
      </c>
      <c r="F12" s="394" t="s">
        <v>57</v>
      </c>
    </row>
    <row r="13" spans="1:6" ht="15" customHeight="1">
      <c r="A13" s="145" t="s">
        <v>34</v>
      </c>
      <c r="B13" s="393"/>
      <c r="C13" s="130" t="s">
        <v>58</v>
      </c>
      <c r="D13" s="393"/>
      <c r="E13" s="393"/>
      <c r="F13" s="395"/>
    </row>
    <row r="14" spans="1:6" ht="15" customHeight="1">
      <c r="A14" s="153" t="s">
        <v>112</v>
      </c>
      <c r="B14" s="131"/>
      <c r="C14" s="132"/>
      <c r="D14" s="132"/>
      <c r="E14" s="132"/>
      <c r="F14" s="146"/>
    </row>
    <row r="15" spans="1:6" ht="15" customHeight="1">
      <c r="A15" s="153" t="s">
        <v>113</v>
      </c>
      <c r="B15" s="131"/>
      <c r="C15" s="132"/>
      <c r="D15" s="132"/>
      <c r="E15" s="132"/>
      <c r="F15" s="146"/>
    </row>
    <row r="16" spans="1:6" ht="15" customHeight="1">
      <c r="A16" s="153" t="s">
        <v>114</v>
      </c>
      <c r="B16" s="131"/>
      <c r="C16" s="132"/>
      <c r="D16" s="132"/>
      <c r="E16" s="132"/>
      <c r="F16" s="146"/>
    </row>
    <row r="17" spans="1:6" ht="15" customHeight="1">
      <c r="A17" s="153" t="s">
        <v>115</v>
      </c>
      <c r="B17" s="131"/>
      <c r="C17" s="132"/>
      <c r="D17" s="132"/>
      <c r="E17" s="132"/>
      <c r="F17" s="146"/>
    </row>
    <row r="18" spans="1:6" ht="15" customHeight="1">
      <c r="A18" s="153" t="s">
        <v>116</v>
      </c>
      <c r="B18" s="131"/>
      <c r="C18" s="132"/>
      <c r="D18" s="132"/>
      <c r="E18" s="132"/>
      <c r="F18" s="146"/>
    </row>
    <row r="19" spans="1:6" ht="15" customHeight="1">
      <c r="A19" s="153" t="s">
        <v>117</v>
      </c>
      <c r="B19" s="131"/>
      <c r="C19" s="132"/>
      <c r="D19" s="132"/>
      <c r="E19" s="132"/>
      <c r="F19" s="146"/>
    </row>
    <row r="20" spans="1:6" ht="15" customHeight="1">
      <c r="A20" s="153" t="s">
        <v>118</v>
      </c>
      <c r="B20" s="131"/>
      <c r="C20" s="132"/>
      <c r="D20" s="132"/>
      <c r="E20" s="132"/>
      <c r="F20" s="146"/>
    </row>
    <row r="21" spans="1:6" ht="15" customHeight="1">
      <c r="A21" s="153" t="s">
        <v>119</v>
      </c>
      <c r="B21" s="131"/>
      <c r="C21" s="132"/>
      <c r="D21" s="132"/>
      <c r="E21" s="132"/>
      <c r="F21" s="146"/>
    </row>
    <row r="22" spans="1:6" ht="15" customHeight="1">
      <c r="A22" s="153" t="s">
        <v>45</v>
      </c>
      <c r="B22" s="131"/>
      <c r="C22" s="132"/>
      <c r="D22" s="132"/>
      <c r="E22" s="132"/>
      <c r="F22" s="147"/>
    </row>
    <row r="23" spans="1:6" ht="15" customHeight="1" thickBot="1">
      <c r="A23" s="148" t="s">
        <v>17</v>
      </c>
      <c r="B23" s="149"/>
      <c r="C23" s="150"/>
      <c r="D23" s="150"/>
      <c r="E23" s="151"/>
      <c r="F23" s="152"/>
    </row>
    <row r="24" spans="1:6" ht="15" customHeight="1">
      <c r="A24" s="2"/>
      <c r="B24" s="2"/>
      <c r="C24" s="2"/>
      <c r="D24" s="2"/>
      <c r="E24" s="2"/>
      <c r="F24" s="2"/>
    </row>
    <row r="25" spans="1:6" ht="15" customHeight="1" thickBot="1">
      <c r="A25" s="2"/>
      <c r="B25" s="2"/>
      <c r="C25" s="2"/>
      <c r="D25" s="2"/>
      <c r="E25" s="2"/>
      <c r="F25" s="2"/>
    </row>
    <row r="26" spans="1:6" ht="15" customHeight="1">
      <c r="A26" s="135" t="s">
        <v>27</v>
      </c>
      <c r="B26" s="136"/>
      <c r="C26" s="136"/>
      <c r="D26" s="136"/>
      <c r="E26" s="136"/>
      <c r="F26" s="137"/>
    </row>
    <row r="27" spans="1:6" ht="15" customHeight="1">
      <c r="A27" s="138"/>
      <c r="B27" s="133"/>
      <c r="C27" s="133"/>
      <c r="D27" s="133"/>
      <c r="E27" s="133"/>
      <c r="F27" s="139"/>
    </row>
    <row r="28" spans="1:6" ht="15" customHeight="1">
      <c r="A28" s="138"/>
      <c r="B28" s="133"/>
      <c r="C28" s="133"/>
      <c r="D28" s="133"/>
      <c r="E28" s="133"/>
      <c r="F28" s="139"/>
    </row>
    <row r="29" spans="1:6" ht="15" customHeight="1">
      <c r="A29" s="138"/>
      <c r="B29" s="133"/>
      <c r="C29" s="133"/>
      <c r="D29" s="133"/>
      <c r="E29" s="133"/>
      <c r="F29" s="139"/>
    </row>
    <row r="30" spans="1:6" ht="15" customHeight="1">
      <c r="A30" s="138"/>
      <c r="B30" s="133"/>
      <c r="C30" s="133"/>
      <c r="D30" s="133"/>
      <c r="E30" s="133"/>
      <c r="F30" s="139"/>
    </row>
    <row r="31" spans="1:6" ht="15" customHeight="1" thickBot="1">
      <c r="A31" s="140"/>
      <c r="B31" s="141"/>
      <c r="C31" s="141"/>
      <c r="D31" s="141"/>
      <c r="E31" s="141"/>
      <c r="F31" s="142"/>
    </row>
    <row r="32" spans="1:6" ht="15" customHeight="1">
      <c r="A32" s="2"/>
      <c r="B32" s="2"/>
      <c r="C32" s="2"/>
      <c r="D32" s="2"/>
      <c r="E32" s="2"/>
      <c r="F32" s="2"/>
    </row>
    <row r="33" spans="1:6" ht="15" customHeight="1">
      <c r="A33" s="2"/>
      <c r="B33" s="2"/>
      <c r="C33" s="2"/>
      <c r="D33" s="2"/>
      <c r="E33" s="2"/>
      <c r="F33" s="2"/>
    </row>
    <row r="34" spans="1:6" ht="15" customHeight="1">
      <c r="A34" s="125" t="s">
        <v>28</v>
      </c>
      <c r="B34" s="126"/>
      <c r="C34" s="126"/>
      <c r="D34" s="126"/>
      <c r="E34" s="126"/>
      <c r="F34" s="126"/>
    </row>
    <row r="35" spans="1:6" ht="15" customHeight="1">
      <c r="A35" s="386" t="s">
        <v>150</v>
      </c>
      <c r="B35" s="386"/>
      <c r="C35" s="386"/>
      <c r="D35" s="386"/>
      <c r="E35" s="386"/>
      <c r="F35" s="386"/>
    </row>
    <row r="36" spans="1:6" ht="15" customHeight="1">
      <c r="A36" s="386" t="s">
        <v>151</v>
      </c>
      <c r="B36" s="386"/>
      <c r="C36" s="386"/>
      <c r="D36" s="386"/>
      <c r="E36" s="386"/>
      <c r="F36" s="386"/>
    </row>
    <row r="37" spans="1:6" ht="15" customHeight="1">
      <c r="A37" s="387" t="s">
        <v>59</v>
      </c>
      <c r="B37" s="387"/>
      <c r="C37" s="387"/>
      <c r="D37" s="387"/>
      <c r="E37" s="387"/>
      <c r="F37" s="387"/>
    </row>
    <row r="38" spans="1:6" ht="15" customHeight="1">
      <c r="A38" s="386" t="s">
        <v>60</v>
      </c>
      <c r="B38" s="386"/>
      <c r="C38" s="386"/>
      <c r="D38" s="386"/>
      <c r="E38" s="386"/>
      <c r="F38" s="386"/>
    </row>
    <row r="39" spans="1:6" ht="15" customHeight="1">
      <c r="A39" s="388" t="s">
        <v>87</v>
      </c>
      <c r="B39" s="388"/>
      <c r="C39" s="388"/>
      <c r="D39" s="388"/>
      <c r="E39" s="388"/>
      <c r="F39" s="388"/>
    </row>
    <row r="40" spans="1:6" ht="30" customHeight="1">
      <c r="A40" s="389" t="s">
        <v>61</v>
      </c>
      <c r="B40" s="389"/>
      <c r="C40" s="389"/>
      <c r="D40" s="389"/>
      <c r="E40" s="389"/>
      <c r="F40" s="389"/>
    </row>
    <row r="41" spans="1:6" s="244" customFormat="1" ht="45" customHeight="1">
      <c r="A41" s="389" t="s">
        <v>205</v>
      </c>
      <c r="B41" s="389"/>
      <c r="C41" s="389"/>
      <c r="D41" s="389"/>
      <c r="E41" s="389"/>
      <c r="F41" s="389"/>
    </row>
    <row r="42" spans="1:6" s="244" customFormat="1" ht="45" customHeight="1">
      <c r="A42" s="390" t="s">
        <v>206</v>
      </c>
      <c r="B42" s="390"/>
      <c r="C42" s="390"/>
      <c r="D42" s="390"/>
      <c r="E42" s="390"/>
      <c r="F42" s="390"/>
    </row>
    <row r="43" spans="1:6" s="244" customFormat="1">
      <c r="A43" s="385" t="s">
        <v>167</v>
      </c>
      <c r="B43" s="385"/>
      <c r="C43" s="385"/>
      <c r="D43" s="385"/>
      <c r="E43" s="385"/>
      <c r="F43" s="385"/>
    </row>
    <row r="44" spans="1:6" s="233" customFormat="1" ht="45" customHeight="1">
      <c r="A44" s="385" t="s">
        <v>168</v>
      </c>
      <c r="B44" s="385"/>
      <c r="C44" s="385"/>
      <c r="D44" s="385"/>
      <c r="E44" s="385"/>
      <c r="F44" s="385"/>
    </row>
    <row r="45" spans="1:6" s="244" customFormat="1" ht="15" customHeight="1">
      <c r="A45" s="384" t="s">
        <v>169</v>
      </c>
      <c r="B45" s="384"/>
      <c r="C45" s="384"/>
      <c r="D45" s="384"/>
      <c r="E45" s="384"/>
      <c r="F45" s="384"/>
    </row>
    <row r="46" spans="1:6" ht="45" customHeight="1">
      <c r="A46" s="391" t="s">
        <v>207</v>
      </c>
      <c r="B46" s="391"/>
      <c r="C46" s="391"/>
      <c r="D46" s="391"/>
      <c r="E46" s="391"/>
      <c r="F46" s="391"/>
    </row>
    <row r="47" spans="1:6" ht="15" customHeight="1">
      <c r="A47" s="383" t="s">
        <v>179</v>
      </c>
      <c r="B47" s="383"/>
      <c r="C47" s="383"/>
      <c r="D47" s="383"/>
      <c r="E47" s="383"/>
      <c r="F47" s="383"/>
    </row>
  </sheetData>
  <mergeCells count="21">
    <mergeCell ref="D12:D13"/>
    <mergeCell ref="E12:E13"/>
    <mergeCell ref="F12:F13"/>
    <mergeCell ref="A40:F40"/>
    <mergeCell ref="B4:C4"/>
    <mergeCell ref="B5:C5"/>
    <mergeCell ref="B6:C6"/>
    <mergeCell ref="B9:C9"/>
    <mergeCell ref="B12:B13"/>
    <mergeCell ref="A47:F47"/>
    <mergeCell ref="A45:F45"/>
    <mergeCell ref="A44:F44"/>
    <mergeCell ref="A35:F35"/>
    <mergeCell ref="A36:F36"/>
    <mergeCell ref="A37:F37"/>
    <mergeCell ref="A38:F38"/>
    <mergeCell ref="A39:F39"/>
    <mergeCell ref="A41:F41"/>
    <mergeCell ref="A42:F42"/>
    <mergeCell ref="A43:F43"/>
    <mergeCell ref="A46:F46"/>
  </mergeCells>
  <printOptions horizontalCentered="1"/>
  <pageMargins left="0.7" right="0.7" top="0.75" bottom="0.75" header="0.3" footer="0.3"/>
  <pageSetup scale="72" orientation="portrait" r:id="rId1"/>
  <headerFooter>
    <oddFooter>&amp;R8/13</oddFooter>
  </headerFooter>
</worksheet>
</file>

<file path=xl/worksheets/sheet9.xml><?xml version="1.0" encoding="utf-8"?>
<worksheet xmlns="http://schemas.openxmlformats.org/spreadsheetml/2006/main" xmlns:r="http://schemas.openxmlformats.org/officeDocument/2006/relationships">
  <sheetPr>
    <pageSetUpPr fitToPage="1"/>
  </sheetPr>
  <dimension ref="A1:M39"/>
  <sheetViews>
    <sheetView workbookViewId="0"/>
  </sheetViews>
  <sheetFormatPr defaultRowHeight="15" customHeight="1"/>
  <cols>
    <col min="1" max="9" width="11.5703125" customWidth="1"/>
  </cols>
  <sheetData>
    <row r="1" spans="1:13" ht="15" customHeight="1">
      <c r="A1" s="199" t="s">
        <v>123</v>
      </c>
      <c r="B1" s="200"/>
      <c r="C1" s="200"/>
      <c r="D1" s="200"/>
      <c r="E1" s="200"/>
      <c r="F1" s="200"/>
      <c r="G1" s="200"/>
      <c r="H1" s="200"/>
      <c r="I1" s="206" t="s">
        <v>159</v>
      </c>
      <c r="J1" s="200"/>
      <c r="K1" s="200"/>
      <c r="L1" s="200"/>
      <c r="M1" s="200"/>
    </row>
    <row r="2" spans="1:13" ht="15" customHeight="1" thickBot="1">
      <c r="A2" s="200"/>
      <c r="B2" s="200"/>
      <c r="C2" s="200"/>
      <c r="D2" s="200"/>
      <c r="E2" s="200"/>
      <c r="F2" s="200"/>
      <c r="G2" s="200"/>
      <c r="H2" s="200"/>
      <c r="I2" s="200"/>
      <c r="J2" s="200"/>
      <c r="K2" s="200"/>
      <c r="L2" s="200"/>
      <c r="M2" s="201"/>
    </row>
    <row r="3" spans="1:13" ht="15" customHeight="1">
      <c r="A3" s="199" t="s">
        <v>1</v>
      </c>
      <c r="B3" s="200"/>
      <c r="C3" s="411" t="s">
        <v>2</v>
      </c>
      <c r="D3" s="412"/>
      <c r="E3" s="413"/>
      <c r="G3" s="200"/>
      <c r="H3" s="200"/>
      <c r="I3" s="200"/>
      <c r="J3" s="200"/>
      <c r="K3" s="200"/>
      <c r="L3" s="200"/>
      <c r="M3" s="201"/>
    </row>
    <row r="4" spans="1:13" ht="15" customHeight="1">
      <c r="A4" s="199" t="s">
        <v>133</v>
      </c>
      <c r="B4" s="200"/>
      <c r="C4" s="414" t="s">
        <v>134</v>
      </c>
      <c r="D4" s="415"/>
      <c r="E4" s="416"/>
      <c r="G4" s="200"/>
      <c r="H4" s="200"/>
      <c r="I4" s="200"/>
      <c r="J4" s="200"/>
      <c r="K4" s="200"/>
      <c r="L4" s="200"/>
      <c r="M4" s="201"/>
    </row>
    <row r="5" spans="1:13" ht="15" customHeight="1" thickBot="1">
      <c r="A5" s="199" t="s">
        <v>3</v>
      </c>
      <c r="B5" s="200"/>
      <c r="C5" s="417" t="s">
        <v>30</v>
      </c>
      <c r="D5" s="418"/>
      <c r="E5" s="419"/>
      <c r="G5" s="200"/>
      <c r="H5" s="200"/>
      <c r="I5" s="200"/>
      <c r="J5" s="200"/>
      <c r="K5" s="200"/>
      <c r="L5" s="200"/>
      <c r="M5" s="201"/>
    </row>
    <row r="6" spans="1:13" ht="15" customHeight="1">
      <c r="A6" s="200"/>
      <c r="B6" s="200"/>
      <c r="C6" s="200"/>
      <c r="D6" s="200"/>
      <c r="E6" s="200"/>
      <c r="F6" s="200"/>
      <c r="G6" s="200"/>
      <c r="H6" s="200"/>
      <c r="I6" s="200"/>
      <c r="J6" s="200"/>
      <c r="K6" s="200"/>
      <c r="L6" s="200"/>
      <c r="M6" s="201"/>
    </row>
    <row r="7" spans="1:13" ht="15" customHeight="1" thickBot="1">
      <c r="A7" s="200"/>
      <c r="B7" s="200"/>
      <c r="C7" s="200"/>
      <c r="D7" s="200"/>
      <c r="E7" s="200"/>
      <c r="F7" s="200"/>
      <c r="G7" s="200"/>
      <c r="H7" s="200"/>
      <c r="I7" s="200"/>
      <c r="J7" s="200"/>
      <c r="K7" s="200"/>
      <c r="L7" s="200"/>
      <c r="M7" s="201"/>
    </row>
    <row r="8" spans="1:13" ht="15" customHeight="1">
      <c r="A8" s="407" t="s">
        <v>90</v>
      </c>
      <c r="B8" s="408"/>
      <c r="C8" s="217" t="s">
        <v>91</v>
      </c>
      <c r="D8" s="218" t="s">
        <v>92</v>
      </c>
      <c r="E8" s="224"/>
      <c r="F8" s="407" t="s">
        <v>90</v>
      </c>
      <c r="G8" s="408"/>
      <c r="H8" s="217" t="s">
        <v>91</v>
      </c>
      <c r="I8" s="218" t="s">
        <v>92</v>
      </c>
      <c r="J8" s="200"/>
      <c r="K8" s="200"/>
      <c r="L8" s="200"/>
      <c r="M8" s="201"/>
    </row>
    <row r="9" spans="1:13" ht="15" customHeight="1">
      <c r="A9" s="227">
        <v>0.251</v>
      </c>
      <c r="B9" s="231" t="s">
        <v>93</v>
      </c>
      <c r="C9" s="207"/>
      <c r="D9" s="197" t="e">
        <f>C9/$C$22</f>
        <v>#DIV/0!</v>
      </c>
      <c r="E9" s="205"/>
      <c r="F9" s="245">
        <v>400.01</v>
      </c>
      <c r="G9" s="230" t="s">
        <v>97</v>
      </c>
      <c r="H9" s="202"/>
      <c r="I9" s="247" t="e">
        <f>H9/$H$22</f>
        <v>#DIV/0!</v>
      </c>
      <c r="J9" s="200"/>
      <c r="K9" s="200"/>
      <c r="L9" s="200"/>
      <c r="M9" s="201"/>
    </row>
    <row r="10" spans="1:13" ht="15" customHeight="1">
      <c r="A10" s="228">
        <v>0.20100000000000001</v>
      </c>
      <c r="B10" s="229">
        <v>0.25</v>
      </c>
      <c r="C10" s="207"/>
      <c r="D10" s="197" t="e">
        <f t="shared" ref="D10:D21" si="0">C10/$C$22</f>
        <v>#DIV/0!</v>
      </c>
      <c r="E10" s="205"/>
      <c r="F10" s="245">
        <v>300.01</v>
      </c>
      <c r="G10" s="246">
        <v>400</v>
      </c>
      <c r="H10" s="202"/>
      <c r="I10" s="247" t="e">
        <f t="shared" ref="I10:I22" si="1">H10/$H$22</f>
        <v>#DIV/0!</v>
      </c>
      <c r="J10" s="200"/>
      <c r="K10" s="200"/>
      <c r="L10" s="200"/>
      <c r="M10" s="201"/>
    </row>
    <row r="11" spans="1:13" ht="15" customHeight="1">
      <c r="A11" s="228">
        <v>0.151</v>
      </c>
      <c r="B11" s="229">
        <v>0.2</v>
      </c>
      <c r="C11" s="207"/>
      <c r="D11" s="197" t="e">
        <f t="shared" si="0"/>
        <v>#DIV/0!</v>
      </c>
      <c r="E11" s="205"/>
      <c r="F11" s="245">
        <v>200.01</v>
      </c>
      <c r="G11" s="246">
        <v>300</v>
      </c>
      <c r="H11" s="202"/>
      <c r="I11" s="247" t="e">
        <f t="shared" si="1"/>
        <v>#DIV/0!</v>
      </c>
      <c r="J11" s="200"/>
      <c r="K11" s="200"/>
      <c r="L11" s="200"/>
      <c r="M11" s="201"/>
    </row>
    <row r="12" spans="1:13" ht="15" customHeight="1">
      <c r="A12" s="228">
        <v>0.10100000000000001</v>
      </c>
      <c r="B12" s="229">
        <v>0.15</v>
      </c>
      <c r="C12" s="207"/>
      <c r="D12" s="197" t="e">
        <f t="shared" si="0"/>
        <v>#DIV/0!</v>
      </c>
      <c r="E12" s="205"/>
      <c r="F12" s="245">
        <v>100.01</v>
      </c>
      <c r="G12" s="246">
        <v>200</v>
      </c>
      <c r="H12" s="202"/>
      <c r="I12" s="247" t="e">
        <f t="shared" si="1"/>
        <v>#DIV/0!</v>
      </c>
      <c r="J12" s="200"/>
      <c r="K12" s="200"/>
      <c r="L12" s="200"/>
      <c r="M12" s="201"/>
    </row>
    <row r="13" spans="1:13" ht="15" customHeight="1">
      <c r="A13" s="228">
        <v>5.0999999999999997E-2</v>
      </c>
      <c r="B13" s="229">
        <v>0.1</v>
      </c>
      <c r="C13" s="207"/>
      <c r="D13" s="197" t="e">
        <f t="shared" si="0"/>
        <v>#DIV/0!</v>
      </c>
      <c r="E13" s="205"/>
      <c r="F13" s="245">
        <v>50.01</v>
      </c>
      <c r="G13" s="246">
        <v>100</v>
      </c>
      <c r="H13" s="202"/>
      <c r="I13" s="247" t="e">
        <f t="shared" si="1"/>
        <v>#DIV/0!</v>
      </c>
      <c r="J13" s="200"/>
      <c r="K13" s="200"/>
      <c r="L13" s="200"/>
      <c r="M13" s="201"/>
    </row>
    <row r="14" spans="1:13" ht="15" customHeight="1">
      <c r="A14" s="228">
        <v>1E-3</v>
      </c>
      <c r="B14" s="229">
        <v>0.05</v>
      </c>
      <c r="C14" s="207"/>
      <c r="D14" s="197" t="e">
        <f t="shared" si="0"/>
        <v>#DIV/0!</v>
      </c>
      <c r="E14" s="205"/>
      <c r="F14" s="245">
        <v>0.01</v>
      </c>
      <c r="G14" s="246">
        <v>50</v>
      </c>
      <c r="H14" s="202"/>
      <c r="I14" s="247" t="e">
        <f t="shared" si="1"/>
        <v>#DIV/0!</v>
      </c>
      <c r="J14" s="200"/>
      <c r="K14" s="200"/>
      <c r="L14" s="200"/>
      <c r="M14" s="201"/>
    </row>
    <row r="15" spans="1:13" ht="15" customHeight="1">
      <c r="A15" s="409" t="s">
        <v>94</v>
      </c>
      <c r="B15" s="410"/>
      <c r="C15" s="207"/>
      <c r="D15" s="197" t="e">
        <f t="shared" si="0"/>
        <v>#DIV/0!</v>
      </c>
      <c r="E15" s="205"/>
      <c r="F15" s="405" t="s">
        <v>94</v>
      </c>
      <c r="G15" s="406"/>
      <c r="H15" s="202"/>
      <c r="I15" s="247" t="e">
        <f t="shared" si="1"/>
        <v>#DIV/0!</v>
      </c>
      <c r="J15" s="200"/>
      <c r="K15" s="200"/>
      <c r="L15" s="200"/>
      <c r="M15" s="201"/>
    </row>
    <row r="16" spans="1:13" ht="15" customHeight="1">
      <c r="A16" s="228">
        <v>-1E-3</v>
      </c>
      <c r="B16" s="229">
        <v>-0.05</v>
      </c>
      <c r="C16" s="207"/>
      <c r="D16" s="197" t="e">
        <f t="shared" si="0"/>
        <v>#DIV/0!</v>
      </c>
      <c r="E16" s="205"/>
      <c r="F16" s="245">
        <v>-0.01</v>
      </c>
      <c r="G16" s="246">
        <v>-50</v>
      </c>
      <c r="H16" s="202"/>
      <c r="I16" s="247" t="e">
        <f t="shared" si="1"/>
        <v>#DIV/0!</v>
      </c>
      <c r="J16" s="200"/>
      <c r="K16" s="200"/>
      <c r="L16" s="200"/>
      <c r="M16" s="201"/>
    </row>
    <row r="17" spans="1:13" ht="15" customHeight="1">
      <c r="A17" s="228">
        <v>-5.0999999999999997E-2</v>
      </c>
      <c r="B17" s="229">
        <v>-0.1</v>
      </c>
      <c r="C17" s="207"/>
      <c r="D17" s="197" t="e">
        <f t="shared" si="0"/>
        <v>#DIV/0!</v>
      </c>
      <c r="E17" s="205"/>
      <c r="F17" s="245">
        <v>-50.01</v>
      </c>
      <c r="G17" s="246">
        <v>-100</v>
      </c>
      <c r="H17" s="202"/>
      <c r="I17" s="247" t="e">
        <f t="shared" si="1"/>
        <v>#DIV/0!</v>
      </c>
      <c r="J17" s="200"/>
      <c r="K17" s="200"/>
      <c r="L17" s="200"/>
      <c r="M17" s="201"/>
    </row>
    <row r="18" spans="1:13" ht="15" customHeight="1">
      <c r="A18" s="228">
        <v>-0.10100000000000001</v>
      </c>
      <c r="B18" s="229">
        <v>-0.15</v>
      </c>
      <c r="C18" s="207"/>
      <c r="D18" s="197" t="e">
        <f t="shared" si="0"/>
        <v>#DIV/0!</v>
      </c>
      <c r="E18" s="205"/>
      <c r="F18" s="245">
        <v>-100.01</v>
      </c>
      <c r="G18" s="246">
        <v>-200</v>
      </c>
      <c r="H18" s="202"/>
      <c r="I18" s="247" t="e">
        <f t="shared" si="1"/>
        <v>#DIV/0!</v>
      </c>
      <c r="J18" s="200"/>
      <c r="K18" s="200"/>
      <c r="L18" s="200"/>
      <c r="M18" s="201"/>
    </row>
    <row r="19" spans="1:13" ht="15" customHeight="1">
      <c r="A19" s="228">
        <v>-0.151</v>
      </c>
      <c r="B19" s="229">
        <v>-0.2</v>
      </c>
      <c r="C19" s="207"/>
      <c r="D19" s="197" t="e">
        <f t="shared" si="0"/>
        <v>#DIV/0!</v>
      </c>
      <c r="E19" s="205"/>
      <c r="F19" s="245">
        <v>-200.01</v>
      </c>
      <c r="G19" s="246">
        <v>-300</v>
      </c>
      <c r="H19" s="202"/>
      <c r="I19" s="247" t="e">
        <f t="shared" si="1"/>
        <v>#DIV/0!</v>
      </c>
      <c r="J19" s="200"/>
      <c r="K19" s="200"/>
      <c r="L19" s="200"/>
      <c r="M19" s="201"/>
    </row>
    <row r="20" spans="1:13" ht="15" customHeight="1">
      <c r="A20" s="228">
        <v>-0.20100000000000001</v>
      </c>
      <c r="B20" s="229">
        <v>-0.25</v>
      </c>
      <c r="C20" s="207"/>
      <c r="D20" s="197" t="e">
        <f t="shared" si="0"/>
        <v>#DIV/0!</v>
      </c>
      <c r="E20" s="205"/>
      <c r="F20" s="245">
        <v>-300.01</v>
      </c>
      <c r="G20" s="246">
        <v>-400</v>
      </c>
      <c r="H20" s="202"/>
      <c r="I20" s="247" t="e">
        <f t="shared" si="1"/>
        <v>#DIV/0!</v>
      </c>
      <c r="J20" s="200"/>
      <c r="K20" s="200"/>
      <c r="L20" s="200"/>
      <c r="M20" s="201"/>
    </row>
    <row r="21" spans="1:13" ht="15" customHeight="1">
      <c r="A21" s="228">
        <v>-0.251</v>
      </c>
      <c r="B21" s="232" t="s">
        <v>98</v>
      </c>
      <c r="C21" s="207"/>
      <c r="D21" s="197" t="e">
        <f t="shared" si="0"/>
        <v>#DIV/0!</v>
      </c>
      <c r="E21" s="205"/>
      <c r="F21" s="245">
        <v>-400.01</v>
      </c>
      <c r="G21" s="230" t="s">
        <v>96</v>
      </c>
      <c r="H21" s="202"/>
      <c r="I21" s="247" t="e">
        <f t="shared" si="1"/>
        <v>#DIV/0!</v>
      </c>
      <c r="J21" s="200"/>
      <c r="K21" s="200"/>
      <c r="L21" s="200"/>
      <c r="M21" s="201"/>
    </row>
    <row r="22" spans="1:13" ht="15" customHeight="1" thickBot="1">
      <c r="A22" s="219"/>
      <c r="B22" s="220" t="s">
        <v>95</v>
      </c>
      <c r="C22" s="221">
        <f>SUM(C9:C21)</f>
        <v>0</v>
      </c>
      <c r="D22" s="223" t="e">
        <f>SUM(D9:D21)</f>
        <v>#DIV/0!</v>
      </c>
      <c r="E22" s="205"/>
      <c r="F22" s="219"/>
      <c r="G22" s="220" t="s">
        <v>95</v>
      </c>
      <c r="H22" s="222">
        <f>SUM(H9:H21)</f>
        <v>0</v>
      </c>
      <c r="I22" s="248" t="e">
        <f t="shared" si="1"/>
        <v>#DIV/0!</v>
      </c>
      <c r="J22" s="200"/>
      <c r="K22" s="200"/>
      <c r="L22" s="200"/>
      <c r="M22" s="201"/>
    </row>
    <row r="23" spans="1:13" ht="15" customHeight="1">
      <c r="A23" s="200"/>
      <c r="B23" s="200"/>
      <c r="C23" s="200"/>
      <c r="D23" s="200"/>
      <c r="E23" s="200"/>
      <c r="F23" s="200"/>
      <c r="G23" s="200"/>
      <c r="H23" s="200"/>
      <c r="I23" s="200"/>
      <c r="J23" s="200"/>
      <c r="K23" s="200"/>
      <c r="L23" s="200"/>
      <c r="M23" s="201"/>
    </row>
    <row r="24" spans="1:13" ht="15" customHeight="1" thickBot="1">
      <c r="A24" s="203"/>
      <c r="B24" s="204"/>
      <c r="C24" s="200"/>
      <c r="D24" s="200"/>
      <c r="E24" s="200"/>
      <c r="F24" s="200"/>
      <c r="G24" s="200"/>
      <c r="H24" s="200"/>
      <c r="I24" s="200"/>
      <c r="J24" s="200"/>
      <c r="K24" s="200"/>
      <c r="L24" s="200"/>
      <c r="M24" s="201"/>
    </row>
    <row r="25" spans="1:13" ht="15" customHeight="1">
      <c r="A25" s="208" t="s">
        <v>27</v>
      </c>
      <c r="B25" s="209"/>
      <c r="C25" s="209"/>
      <c r="D25" s="209"/>
      <c r="E25" s="209"/>
      <c r="F25" s="209"/>
      <c r="G25" s="209"/>
      <c r="H25" s="209"/>
      <c r="I25" s="210"/>
      <c r="J25" s="200"/>
      <c r="K25" s="200"/>
      <c r="L25" s="200"/>
      <c r="M25" s="201"/>
    </row>
    <row r="26" spans="1:13" ht="15" customHeight="1">
      <c r="A26" s="211"/>
      <c r="B26" s="205"/>
      <c r="C26" s="205"/>
      <c r="D26" s="205"/>
      <c r="E26" s="205"/>
      <c r="F26" s="205"/>
      <c r="G26" s="205"/>
      <c r="H26" s="205"/>
      <c r="I26" s="212"/>
      <c r="J26" s="200"/>
      <c r="K26" s="200"/>
      <c r="L26" s="200"/>
      <c r="M26" s="201"/>
    </row>
    <row r="27" spans="1:13" ht="15" customHeight="1">
      <c r="A27" s="211"/>
      <c r="B27" s="205"/>
      <c r="C27" s="205"/>
      <c r="D27" s="205"/>
      <c r="E27" s="205"/>
      <c r="F27" s="205"/>
      <c r="G27" s="205"/>
      <c r="H27" s="205"/>
      <c r="I27" s="212"/>
      <c r="J27" s="200"/>
      <c r="K27" s="200"/>
      <c r="L27" s="200"/>
      <c r="M27" s="201"/>
    </row>
    <row r="28" spans="1:13" ht="15" customHeight="1">
      <c r="A28" s="213"/>
      <c r="B28" s="205"/>
      <c r="C28" s="205"/>
      <c r="D28" s="205"/>
      <c r="E28" s="205"/>
      <c r="F28" s="205"/>
      <c r="G28" s="205"/>
      <c r="H28" s="205"/>
      <c r="I28" s="212"/>
      <c r="J28" s="200"/>
      <c r="K28" s="200"/>
      <c r="L28" s="200"/>
      <c r="M28" s="201"/>
    </row>
    <row r="29" spans="1:13" ht="15" customHeight="1">
      <c r="A29" s="211"/>
      <c r="B29" s="205"/>
      <c r="C29" s="205"/>
      <c r="D29" s="205"/>
      <c r="E29" s="205"/>
      <c r="F29" s="205"/>
      <c r="G29" s="205"/>
      <c r="H29" s="205"/>
      <c r="I29" s="212"/>
      <c r="J29" s="200"/>
      <c r="K29" s="200"/>
      <c r="L29" s="200"/>
      <c r="M29" s="201"/>
    </row>
    <row r="30" spans="1:13" ht="15" customHeight="1" thickBot="1">
      <c r="A30" s="214"/>
      <c r="B30" s="215"/>
      <c r="C30" s="215"/>
      <c r="D30" s="215"/>
      <c r="E30" s="215"/>
      <c r="F30" s="215"/>
      <c r="G30" s="215"/>
      <c r="H30" s="215"/>
      <c r="I30" s="216"/>
      <c r="J30" s="200"/>
      <c r="K30" s="200"/>
      <c r="L30" s="200"/>
      <c r="M30" s="201"/>
    </row>
    <row r="31" spans="1:13" ht="15" customHeight="1">
      <c r="A31" s="200"/>
      <c r="B31" s="200"/>
      <c r="C31" s="200"/>
      <c r="D31" s="200"/>
      <c r="E31" s="200"/>
      <c r="F31" s="200"/>
      <c r="G31" s="200"/>
      <c r="H31" s="200"/>
      <c r="I31" s="200"/>
      <c r="J31" s="200"/>
      <c r="K31" s="200"/>
      <c r="L31" s="200"/>
      <c r="M31" s="201"/>
    </row>
    <row r="32" spans="1:13" ht="15" customHeight="1">
      <c r="A32" s="200"/>
      <c r="B32" s="200"/>
      <c r="C32" s="200"/>
      <c r="D32" s="200"/>
      <c r="E32" s="200"/>
      <c r="F32" s="200"/>
      <c r="G32" s="200"/>
      <c r="H32" s="200"/>
      <c r="I32" s="200"/>
      <c r="J32" s="200"/>
      <c r="K32" s="200"/>
      <c r="L32" s="200"/>
      <c r="M32" s="201"/>
    </row>
    <row r="33" spans="1:13" ht="15" customHeight="1">
      <c r="A33" s="199" t="s">
        <v>28</v>
      </c>
      <c r="B33" s="200"/>
      <c r="C33" s="200"/>
      <c r="D33" s="200"/>
      <c r="E33" s="200"/>
      <c r="F33" s="200"/>
      <c r="G33" s="200"/>
      <c r="H33" s="200"/>
      <c r="I33" s="200"/>
      <c r="J33" s="200"/>
      <c r="K33" s="200"/>
      <c r="L33" s="200"/>
      <c r="M33" s="201"/>
    </row>
    <row r="34" spans="1:13" ht="15" customHeight="1">
      <c r="A34" s="402" t="s">
        <v>160</v>
      </c>
      <c r="B34" s="402"/>
      <c r="C34" s="402"/>
      <c r="D34" s="402"/>
      <c r="E34" s="402"/>
      <c r="F34" s="402"/>
      <c r="G34" s="402"/>
      <c r="H34" s="402"/>
      <c r="I34" s="402"/>
      <c r="J34" s="200"/>
      <c r="K34" s="200"/>
      <c r="L34" s="200"/>
      <c r="M34" s="201"/>
    </row>
    <row r="35" spans="1:13" ht="15" customHeight="1">
      <c r="A35" s="402" t="s">
        <v>161</v>
      </c>
      <c r="B35" s="402"/>
      <c r="C35" s="402"/>
      <c r="D35" s="402"/>
      <c r="E35" s="402"/>
      <c r="F35" s="402"/>
      <c r="G35" s="402"/>
      <c r="H35" s="402"/>
      <c r="I35" s="402"/>
      <c r="J35" s="200"/>
      <c r="K35" s="200"/>
      <c r="L35" s="200"/>
      <c r="M35" s="201"/>
    </row>
    <row r="36" spans="1:13" ht="45" customHeight="1">
      <c r="A36" s="403" t="s">
        <v>184</v>
      </c>
      <c r="B36" s="403"/>
      <c r="C36" s="403"/>
      <c r="D36" s="403"/>
      <c r="E36" s="403"/>
      <c r="F36" s="403"/>
      <c r="G36" s="403"/>
      <c r="H36" s="403"/>
      <c r="I36" s="403"/>
      <c r="J36" s="200"/>
      <c r="K36" s="200"/>
      <c r="L36" s="200"/>
      <c r="M36" s="201"/>
    </row>
    <row r="37" spans="1:13" s="244" customFormat="1" ht="45" customHeight="1">
      <c r="A37" s="404" t="s">
        <v>209</v>
      </c>
      <c r="B37" s="404"/>
      <c r="C37" s="404"/>
      <c r="D37" s="404"/>
      <c r="E37" s="404"/>
      <c r="F37" s="404"/>
      <c r="G37" s="404"/>
      <c r="H37" s="404"/>
      <c r="I37" s="404"/>
      <c r="J37" s="200"/>
      <c r="K37" s="200"/>
      <c r="L37" s="200"/>
      <c r="M37" s="201"/>
    </row>
    <row r="38" spans="1:13" ht="15" customHeight="1">
      <c r="A38" s="402" t="s">
        <v>180</v>
      </c>
      <c r="B38" s="402"/>
      <c r="C38" s="402"/>
      <c r="D38" s="402"/>
      <c r="E38" s="402"/>
      <c r="F38" s="402"/>
      <c r="G38" s="402"/>
      <c r="H38" s="402"/>
      <c r="I38" s="402"/>
      <c r="J38" s="200"/>
      <c r="K38" s="200"/>
      <c r="L38" s="200"/>
      <c r="M38" s="201"/>
    </row>
    <row r="39" spans="1:13" ht="15" customHeight="1">
      <c r="A39" s="402" t="s">
        <v>181</v>
      </c>
      <c r="B39" s="402"/>
      <c r="C39" s="402"/>
      <c r="D39" s="402"/>
      <c r="E39" s="402"/>
      <c r="F39" s="402"/>
      <c r="G39" s="402"/>
      <c r="H39" s="402"/>
      <c r="I39" s="402"/>
      <c r="J39" s="200"/>
      <c r="K39" s="200"/>
      <c r="L39" s="200"/>
      <c r="M39" s="201"/>
    </row>
  </sheetData>
  <mergeCells count="13">
    <mergeCell ref="F15:G15"/>
    <mergeCell ref="A8:B8"/>
    <mergeCell ref="F8:G8"/>
    <mergeCell ref="A15:B15"/>
    <mergeCell ref="C3:E3"/>
    <mergeCell ref="C4:E4"/>
    <mergeCell ref="C5:E5"/>
    <mergeCell ref="A34:I34"/>
    <mergeCell ref="A35:I35"/>
    <mergeCell ref="A36:I36"/>
    <mergeCell ref="A38:I38"/>
    <mergeCell ref="A39:I39"/>
    <mergeCell ref="A37:I37"/>
  </mergeCells>
  <printOptions horizontalCentered="1"/>
  <pageMargins left="0.7" right="0.7" top="0.75" bottom="0.75" header="0.3" footer="0.3"/>
  <pageSetup scale="86" orientation="portrait" r:id="rId1"/>
  <headerFooter>
    <oddFooter>&amp;R8/13</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INT-Auto</vt:lpstr>
      <vt:lpstr>SUM-Auto</vt:lpstr>
      <vt:lpstr>RLI-Auto</vt:lpstr>
      <vt:lpstr>EXP-Auto</vt:lpstr>
      <vt:lpstr>TRD-Auto</vt:lpstr>
      <vt:lpstr>UW-Auto</vt:lpstr>
      <vt:lpstr>OB-Auto</vt:lpstr>
      <vt:lpstr>VAR-Auto</vt:lpstr>
      <vt:lpstr>PI-Auto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B. Wise</dc:creator>
  <cp:lastModifiedBy>User</cp:lastModifiedBy>
  <cp:lastPrinted>2013-08-13T13:27:47Z</cp:lastPrinted>
  <dcterms:created xsi:type="dcterms:W3CDTF">2012-07-31T14:00:58Z</dcterms:created>
  <dcterms:modified xsi:type="dcterms:W3CDTF">2013-08-27T16:27:59Z</dcterms:modified>
</cp:coreProperties>
</file>