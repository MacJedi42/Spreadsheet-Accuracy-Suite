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LLIE\Dropbox\Print this!!\Check this\"/>
    </mc:Choice>
  </mc:AlternateContent>
  <bookViews>
    <workbookView xWindow="0" yWindow="0" windowWidth="17970" windowHeight="6120"/>
  </bookViews>
  <sheets>
    <sheet name="Index 1 Student Achievement" sheetId="1" r:id="rId1"/>
    <sheet name="Index 3 Closing the Gap" sheetId="2" r:id="rId2"/>
    <sheet name="Postsecondary Readiness" sheetId="3" r:id="rId3"/>
  </sheets>
  <calcPr calcId="152511"/>
</workbook>
</file>

<file path=xl/calcChain.xml><?xml version="1.0" encoding="utf-8"?>
<calcChain xmlns="http://schemas.openxmlformats.org/spreadsheetml/2006/main">
  <c r="C14" i="1" l="1"/>
  <c r="J11" i="1"/>
  <c r="G11" i="1"/>
  <c r="D11" i="1"/>
  <c r="L12" i="1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F34" i="2"/>
  <c r="E34" i="2"/>
  <c r="F33" i="2"/>
  <c r="E33" i="2"/>
  <c r="F32" i="2"/>
  <c r="E32" i="2"/>
  <c r="F31" i="2"/>
  <c r="E31" i="2"/>
  <c r="C33" i="2"/>
  <c r="B33" i="2"/>
  <c r="C34" i="2"/>
  <c r="B34" i="2"/>
  <c r="B32" i="2"/>
  <c r="C32" i="2"/>
  <c r="C31" i="2"/>
  <c r="B31" i="2"/>
  <c r="L38" i="1" l="1"/>
  <c r="K38" i="1"/>
  <c r="I38" i="1"/>
  <c r="H38" i="1"/>
  <c r="F38" i="1"/>
  <c r="E38" i="1"/>
  <c r="C38" i="1"/>
  <c r="B38" i="1"/>
  <c r="O37" i="1"/>
  <c r="N37" i="1"/>
  <c r="M37" i="1"/>
  <c r="J37" i="1"/>
  <c r="G37" i="1"/>
  <c r="D37" i="1"/>
  <c r="O36" i="1"/>
  <c r="N36" i="1"/>
  <c r="M36" i="1"/>
  <c r="J36" i="1"/>
  <c r="G36" i="1"/>
  <c r="D36" i="1"/>
  <c r="O35" i="1"/>
  <c r="N35" i="1"/>
  <c r="M35" i="1"/>
  <c r="J35" i="1"/>
  <c r="G35" i="1"/>
  <c r="D35" i="1"/>
  <c r="O34" i="1"/>
  <c r="N34" i="1"/>
  <c r="M34" i="1"/>
  <c r="J34" i="1"/>
  <c r="G34" i="1"/>
  <c r="D34" i="1"/>
  <c r="L30" i="1"/>
  <c r="K30" i="1"/>
  <c r="I30" i="1"/>
  <c r="H30" i="1"/>
  <c r="F30" i="1"/>
  <c r="E30" i="1"/>
  <c r="C30" i="1"/>
  <c r="B30" i="1"/>
  <c r="D30" i="1" s="1"/>
  <c r="O29" i="1"/>
  <c r="N29" i="1"/>
  <c r="M29" i="1"/>
  <c r="J29" i="1"/>
  <c r="G29" i="1"/>
  <c r="D29" i="1"/>
  <c r="O28" i="1"/>
  <c r="N28" i="1"/>
  <c r="M28" i="1"/>
  <c r="J28" i="1"/>
  <c r="G28" i="1"/>
  <c r="D28" i="1"/>
  <c r="O27" i="1"/>
  <c r="N27" i="1"/>
  <c r="M27" i="1"/>
  <c r="J27" i="1"/>
  <c r="G27" i="1"/>
  <c r="D27" i="1"/>
  <c r="O26" i="1"/>
  <c r="N26" i="1"/>
  <c r="M26" i="1"/>
  <c r="J26" i="1"/>
  <c r="G26" i="1"/>
  <c r="D26" i="1"/>
  <c r="L11" i="1"/>
  <c r="K11" i="1"/>
  <c r="E14" i="1"/>
  <c r="D8" i="1"/>
  <c r="D9" i="1"/>
  <c r="D10" i="1"/>
  <c r="D12" i="1"/>
  <c r="D13" i="1"/>
  <c r="G8" i="1"/>
  <c r="G9" i="1"/>
  <c r="G10" i="1"/>
  <c r="G12" i="1"/>
  <c r="G13" i="1"/>
  <c r="J8" i="1"/>
  <c r="J9" i="1"/>
  <c r="J10" i="1"/>
  <c r="J12" i="1"/>
  <c r="J13" i="1"/>
  <c r="H14" i="1"/>
  <c r="B14" i="1"/>
  <c r="F14" i="1"/>
  <c r="L8" i="1"/>
  <c r="L9" i="1"/>
  <c r="L10" i="1"/>
  <c r="L13" i="1"/>
  <c r="K8" i="1"/>
  <c r="K9" i="1"/>
  <c r="K10" i="1"/>
  <c r="M10" i="1" s="1"/>
  <c r="K12" i="1"/>
  <c r="M12" i="1" s="1"/>
  <c r="K13" i="1"/>
  <c r="M9" i="1" l="1"/>
  <c r="M13" i="1"/>
  <c r="M11" i="1"/>
  <c r="M8" i="1"/>
  <c r="D38" i="1"/>
  <c r="P36" i="1"/>
  <c r="G38" i="1"/>
  <c r="P37" i="1"/>
  <c r="M30" i="1"/>
  <c r="P28" i="1"/>
  <c r="G30" i="1"/>
  <c r="O30" i="1"/>
  <c r="P29" i="1"/>
  <c r="P27" i="1"/>
  <c r="N30" i="1"/>
  <c r="P34" i="1"/>
  <c r="M38" i="1"/>
  <c r="J38" i="1"/>
  <c r="O38" i="1"/>
  <c r="N38" i="1"/>
  <c r="P35" i="1"/>
  <c r="J30" i="1"/>
  <c r="P26" i="1"/>
  <c r="G14" i="1"/>
  <c r="D14" i="1"/>
  <c r="I35" i="2"/>
  <c r="H33" i="2"/>
  <c r="L22" i="1"/>
  <c r="L42" i="1" s="1"/>
  <c r="K22" i="1"/>
  <c r="K42" i="1" s="1"/>
  <c r="I22" i="1"/>
  <c r="H22" i="1"/>
  <c r="H42" i="1" s="1"/>
  <c r="F22" i="1"/>
  <c r="F42" i="1" s="1"/>
  <c r="E22" i="1"/>
  <c r="E42" i="1" s="1"/>
  <c r="C22" i="1"/>
  <c r="C42" i="1" s="1"/>
  <c r="B22" i="1"/>
  <c r="B42" i="1" s="1"/>
  <c r="O21" i="1"/>
  <c r="N21" i="1"/>
  <c r="M21" i="1"/>
  <c r="J21" i="1"/>
  <c r="G21" i="1"/>
  <c r="D21" i="1"/>
  <c r="O20" i="1"/>
  <c r="N20" i="1"/>
  <c r="M20" i="1"/>
  <c r="J20" i="1"/>
  <c r="G20" i="1"/>
  <c r="D20" i="1"/>
  <c r="O19" i="1"/>
  <c r="N19" i="1"/>
  <c r="M19" i="1"/>
  <c r="J19" i="1"/>
  <c r="G19" i="1"/>
  <c r="D19" i="1"/>
  <c r="O18" i="1"/>
  <c r="N18" i="1"/>
  <c r="M18" i="1"/>
  <c r="J18" i="1"/>
  <c r="G18" i="1"/>
  <c r="D18" i="1"/>
  <c r="I14" i="1"/>
  <c r="L7" i="1"/>
  <c r="K7" i="1"/>
  <c r="J7" i="1"/>
  <c r="G7" i="1"/>
  <c r="D7" i="1"/>
  <c r="M7" i="1" l="1"/>
  <c r="P38" i="1"/>
  <c r="P30" i="1"/>
  <c r="J14" i="1"/>
  <c r="I42" i="1"/>
  <c r="G31" i="2"/>
  <c r="G32" i="2"/>
  <c r="D34" i="2"/>
  <c r="D31" i="2"/>
  <c r="D32" i="2"/>
  <c r="G34" i="2"/>
  <c r="J22" i="1"/>
  <c r="P19" i="1"/>
  <c r="P20" i="1"/>
  <c r="N22" i="1"/>
  <c r="P21" i="1"/>
  <c r="K14" i="1"/>
  <c r="P18" i="1"/>
  <c r="M22" i="1"/>
  <c r="D22" i="1"/>
  <c r="G22" i="1"/>
  <c r="O22" i="1"/>
  <c r="D42" i="1"/>
  <c r="L14" i="1"/>
  <c r="M42" i="1"/>
  <c r="H31" i="2" l="1"/>
  <c r="M14" i="1"/>
  <c r="P22" i="1"/>
  <c r="O42" i="1"/>
  <c r="N42" i="1"/>
  <c r="H34" i="2"/>
  <c r="H32" i="2"/>
  <c r="G42" i="1"/>
  <c r="J42" i="1"/>
  <c r="P42" i="1" l="1"/>
  <c r="H35" i="2"/>
  <c r="H36" i="2" s="1"/>
</calcChain>
</file>

<file path=xl/sharedStrings.xml><?xml version="1.0" encoding="utf-8"?>
<sst xmlns="http://schemas.openxmlformats.org/spreadsheetml/2006/main" count="180" uniqueCount="67">
  <si>
    <t xml:space="preserve">Reports: </t>
  </si>
  <si>
    <t># Met Level II</t>
  </si>
  <si>
    <t>Total Students Assessed</t>
  </si>
  <si>
    <t>Percentage of students meeting Level II</t>
  </si>
  <si>
    <t>STAAR</t>
  </si>
  <si>
    <t>STAAR Modified</t>
  </si>
  <si>
    <t>STAAR ALT</t>
  </si>
  <si>
    <t>Reading Overall</t>
  </si>
  <si>
    <t>Campus Math</t>
  </si>
  <si>
    <t>Math Overall</t>
  </si>
  <si>
    <t>All STAAR Assessments</t>
  </si>
  <si>
    <t xml:space="preserve"> All STAAR Modified Assessments</t>
  </si>
  <si>
    <t>All STAAR ALT Assessments</t>
  </si>
  <si>
    <t xml:space="preserve">Index 1 </t>
  </si>
  <si>
    <t>STAAR L</t>
  </si>
  <si>
    <t>All STAAR L Assessments</t>
  </si>
  <si>
    <t>Excluded Results:</t>
  </si>
  <si>
    <t>Index 1                 Break Down</t>
  </si>
  <si>
    <t>Math</t>
  </si>
  <si>
    <t>Science</t>
  </si>
  <si>
    <t>Total Points</t>
  </si>
  <si>
    <t>Total</t>
  </si>
  <si>
    <t>Index Score</t>
  </si>
  <si>
    <t># of Tests</t>
  </si>
  <si>
    <t>Economically Disadvanaged</t>
  </si>
  <si>
    <t>Lowest Performing Ethinicity Group 1</t>
  </si>
  <si>
    <t>Minimum size:</t>
  </si>
  <si>
    <t>Performance Rate</t>
  </si>
  <si>
    <t>Maximum Points 200  each for  two sub pops OR 300 for three sub pops</t>
  </si>
  <si>
    <t>Reports for Lowest Performing Ethnicities:</t>
  </si>
  <si>
    <t xml:space="preserve">Use Pinnacle.   For English results only:  Special Pops Tab --&gt;Selection Master:  Special population=Choose all then unclick LEP; Not LEP will appear in Current Selections --&gt;STAAR tab --&gt; Standard Selections: Enollment Status =Active and Snapshot Status=Active --&gt;Selection Master-Test Language= English--&gt;Select Analysis=Summary by Special Pop </t>
  </si>
  <si>
    <t>Use Pinnacle.   STAAR tab --&gt; Standard Selections: Enollment Status =Active and Snapshot Status=Active and Enthiciy=Hispanic for campuses --&gt;Select Analysis=Summary by Assessment</t>
  </si>
  <si>
    <t>25 students.  For 2013 the only ethinicity to meet the minimum size requirement is Hispanic; however, the district meet the Hispanic and African American Ethnicity/Race minumum size requirements.</t>
  </si>
  <si>
    <t>Reports for Econonically Disadvantaged English results:</t>
  </si>
  <si>
    <t>.</t>
  </si>
  <si>
    <t>Social Studies</t>
  </si>
  <si>
    <t>Algebra I</t>
  </si>
  <si>
    <t>EOC best results from Summer 2012, Fall 2012, or Spring 2013</t>
  </si>
  <si>
    <t>English I  Reading</t>
  </si>
  <si>
    <t>English I  Writing</t>
  </si>
  <si>
    <t>English II Reading</t>
  </si>
  <si>
    <t>English II Writing</t>
  </si>
  <si>
    <t>English III Reading</t>
  </si>
  <si>
    <t>English III Writing</t>
  </si>
  <si>
    <t>Use Pinnacle.  STAAR tab --&gt; Standard Selections: Enrollment Status =Active and Snapshot Status=Active --&gt;Selection Master-Special Pops  --&gt;Select Analysis=Summary by Assessment</t>
  </si>
  <si>
    <t>11th Grade TAKS</t>
  </si>
  <si>
    <t>Campus ELA</t>
  </si>
  <si>
    <t>Geometry</t>
  </si>
  <si>
    <t>Algebra II</t>
  </si>
  <si>
    <t>Biology</t>
  </si>
  <si>
    <t>Chemistry</t>
  </si>
  <si>
    <t>Physics</t>
  </si>
  <si>
    <t>World Geography</t>
  </si>
  <si>
    <t>World History</t>
  </si>
  <si>
    <t>US History</t>
  </si>
  <si>
    <t>Campus Science</t>
  </si>
  <si>
    <t>Campus Social Studies</t>
  </si>
  <si>
    <t>11th TAKS ELA</t>
  </si>
  <si>
    <t>11th TAKS Math</t>
  </si>
  <si>
    <t>11th TAKS Science</t>
  </si>
  <si>
    <t>11th TAKS Social Studies</t>
  </si>
  <si>
    <t xml:space="preserve">EOC best results from Summer 2012, Fall 2012, or Spring 2013-  Use selections above with the exception in Select Analysis: Choose HIGHEST Test Result </t>
  </si>
  <si>
    <t>ELA</t>
  </si>
  <si>
    <t>Warning! Type only in the white cells!</t>
  </si>
  <si>
    <t>o Students in US Schools Year 1, 2 or 3
o Asylees or refugees in US Schools Year 1, 2, 3, 4 or 5
o Recent immigrants entering grade 9 or above</t>
  </si>
  <si>
    <t>Warning!  Type only in the white cells!</t>
  </si>
  <si>
    <t xml:space="preserve">o ONLY LEP students tested on English Assessments 
o Asylees/refugees in US Schools Years 1, 2, 3, 4, 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</si>
</sst>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/>
      <diagonal/>
    </border>
    <border>
      <left style="medium">
        <color theme="0" tint="-0.34998626667073579"/>
      </left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/>
    <xf numFmtId="0" fontId="6" fillId="5" borderId="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1" fontId="2" fillId="5" borderId="10" xfId="1" applyNumberFormat="1" applyFont="1" applyFill="1" applyBorder="1" applyAlignment="1">
      <alignment horizontal="center" vertical="center"/>
    </xf>
    <xf numFmtId="1" fontId="2" fillId="5" borderId="14" xfId="1" applyNumberFormat="1" applyFont="1" applyFill="1" applyBorder="1" applyAlignment="1">
      <alignment horizontal="center" vertical="center"/>
    </xf>
    <xf numFmtId="1" fontId="2" fillId="5" borderId="18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7" xfId="0" applyFont="1" applyFill="1" applyBorder="1" applyAlignment="1" applyProtection="1">
      <alignment horizontal="center" vertical="center"/>
      <protection locked="0"/>
    </xf>
    <xf numFmtId="0" fontId="2" fillId="5" borderId="24" xfId="0" applyFont="1" applyFill="1" applyBorder="1"/>
    <xf numFmtId="0" fontId="2" fillId="5" borderId="25" xfId="0" applyFont="1" applyFill="1" applyBorder="1"/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" fontId="2" fillId="5" borderId="27" xfId="1" applyNumberFormat="1" applyFont="1" applyFill="1" applyBorder="1" applyAlignment="1">
      <alignment horizontal="center" vertical="center"/>
    </xf>
    <xf numFmtId="1" fontId="2" fillId="5" borderId="28" xfId="1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2" fillId="4" borderId="1" xfId="0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 wrapText="1"/>
    </xf>
    <xf numFmtId="0" fontId="6" fillId="4" borderId="34" xfId="0" applyFont="1" applyFill="1" applyBorder="1" applyAlignment="1">
      <alignment horizontal="center" wrapText="1"/>
    </xf>
    <xf numFmtId="0" fontId="2" fillId="4" borderId="35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3" xfId="0" applyFont="1" applyBorder="1" applyAlignment="1" applyProtection="1">
      <alignment horizontal="center"/>
      <protection locked="0"/>
    </xf>
    <xf numFmtId="0" fontId="7" fillId="3" borderId="2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6" fillId="2" borderId="9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2" fillId="0" borderId="9" xfId="0" applyFont="1" applyBorder="1" applyAlignment="1" applyProtection="1">
      <alignment horizontal="center"/>
      <protection locked="0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4" borderId="39" xfId="0" applyFont="1" applyFill="1" applyBorder="1"/>
    <xf numFmtId="0" fontId="2" fillId="4" borderId="40" xfId="0" applyFont="1" applyFill="1" applyBorder="1"/>
    <xf numFmtId="0" fontId="2" fillId="4" borderId="33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5" fillId="3" borderId="35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1" fontId="2" fillId="5" borderId="41" xfId="1" applyNumberFormat="1" applyFont="1" applyFill="1" applyBorder="1" applyAlignment="1">
      <alignment horizontal="center" vertical="center"/>
    </xf>
    <xf numFmtId="1" fontId="2" fillId="5" borderId="17" xfId="1" applyNumberFormat="1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1" fontId="2" fillId="5" borderId="9" xfId="0" applyNumberFormat="1" applyFont="1" applyFill="1" applyBorder="1" applyAlignment="1">
      <alignment horizontal="center" vertical="center"/>
    </xf>
    <xf numFmtId="1" fontId="2" fillId="5" borderId="11" xfId="0" applyNumberFormat="1" applyFont="1" applyFill="1" applyBorder="1" applyAlignment="1">
      <alignment horizontal="center" vertical="center"/>
    </xf>
    <xf numFmtId="0" fontId="2" fillId="5" borderId="27" xfId="0" applyFont="1" applyFill="1" applyBorder="1" applyAlignment="1" applyProtection="1">
      <alignment horizontal="center" vertical="center"/>
      <protection locked="0"/>
    </xf>
    <xf numFmtId="0" fontId="2" fillId="4" borderId="43" xfId="0" applyFont="1" applyFill="1" applyBorder="1"/>
    <xf numFmtId="0" fontId="5" fillId="3" borderId="44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6" fillId="6" borderId="33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34" xfId="0" applyFont="1" applyFill="1" applyBorder="1" applyAlignment="1">
      <alignment horizontal="center" wrapText="1"/>
    </xf>
    <xf numFmtId="0" fontId="2" fillId="6" borderId="39" xfId="0" applyFont="1" applyFill="1" applyBorder="1"/>
    <xf numFmtId="0" fontId="2" fillId="6" borderId="3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43" xfId="0" applyFont="1" applyFill="1" applyBorder="1"/>
    <xf numFmtId="0" fontId="2" fillId="6" borderId="40" xfId="0" applyFont="1" applyFill="1" applyBorder="1"/>
    <xf numFmtId="0" fontId="2" fillId="6" borderId="35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2" fillId="0" borderId="33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7" borderId="39" xfId="0" applyFont="1" applyFill="1" applyBorder="1"/>
    <xf numFmtId="0" fontId="2" fillId="7" borderId="43" xfId="0" applyFont="1" applyFill="1" applyBorder="1"/>
    <xf numFmtId="0" fontId="2" fillId="7" borderId="40" xfId="0" applyFont="1" applyFill="1" applyBorder="1" applyAlignment="1">
      <alignment wrapText="1"/>
    </xf>
    <xf numFmtId="0" fontId="6" fillId="7" borderId="33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7" borderId="34" xfId="0" applyFont="1" applyFill="1" applyBorder="1" applyAlignment="1">
      <alignment horizontal="center" wrapText="1"/>
    </xf>
    <xf numFmtId="0" fontId="2" fillId="7" borderId="3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7" borderId="36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" fontId="6" fillId="5" borderId="10" xfId="0" applyNumberFormat="1" applyFont="1" applyFill="1" applyBorder="1" applyAlignment="1">
      <alignment horizontal="center" vertical="center" wrapText="1"/>
    </xf>
    <xf numFmtId="1" fontId="6" fillId="5" borderId="27" xfId="0" applyNumberFormat="1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9" fontId="6" fillId="4" borderId="34" xfId="0" applyNumberFormat="1" applyFont="1" applyFill="1" applyBorder="1" applyAlignment="1">
      <alignment horizontal="center" wrapText="1"/>
    </xf>
    <xf numFmtId="9" fontId="6" fillId="6" borderId="34" xfId="0" applyNumberFormat="1" applyFont="1" applyFill="1" applyBorder="1" applyAlignment="1">
      <alignment horizontal="center" wrapText="1"/>
    </xf>
    <xf numFmtId="9" fontId="6" fillId="7" borderId="34" xfId="0" applyNumberFormat="1" applyFont="1" applyFill="1" applyBorder="1" applyAlignment="1">
      <alignment horizontal="center" wrapText="1"/>
    </xf>
    <xf numFmtId="9" fontId="7" fillId="3" borderId="34" xfId="0" applyNumberFormat="1" applyFont="1" applyFill="1" applyBorder="1" applyAlignment="1">
      <alignment horizontal="center" wrapText="1"/>
    </xf>
    <xf numFmtId="9" fontId="6" fillId="2" borderId="10" xfId="0" applyNumberFormat="1" applyFont="1" applyFill="1" applyBorder="1" applyAlignment="1">
      <alignment horizontal="center" wrapText="1"/>
    </xf>
    <xf numFmtId="9" fontId="7" fillId="3" borderId="10" xfId="0" applyNumberFormat="1" applyFont="1" applyFill="1" applyBorder="1" applyAlignment="1">
      <alignment horizontal="center" wrapText="1"/>
    </xf>
    <xf numFmtId="0" fontId="2" fillId="4" borderId="38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6" borderId="39" xfId="0" applyFont="1" applyFill="1" applyBorder="1" applyAlignment="1">
      <alignment horizontal="center"/>
    </xf>
    <xf numFmtId="0" fontId="2" fillId="6" borderId="30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/>
    </xf>
    <xf numFmtId="0" fontId="5" fillId="3" borderId="47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30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7" borderId="38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right"/>
    </xf>
    <xf numFmtId="0" fontId="2" fillId="5" borderId="26" xfId="0" applyFont="1" applyFill="1" applyBorder="1" applyAlignment="1">
      <alignment horizontal="right"/>
    </xf>
    <xf numFmtId="0" fontId="2" fillId="5" borderId="29" xfId="0" applyFont="1" applyFill="1" applyBorder="1" applyAlignment="1">
      <alignment horizontal="right"/>
    </xf>
    <xf numFmtId="0" fontId="2" fillId="5" borderId="22" xfId="0" applyFont="1" applyFill="1" applyBorder="1" applyAlignment="1">
      <alignment horizontal="right"/>
    </xf>
    <xf numFmtId="0" fontId="2" fillId="5" borderId="23" xfId="0" applyFont="1" applyFill="1" applyBorder="1" applyAlignment="1">
      <alignment horizontal="right"/>
    </xf>
    <xf numFmtId="0" fontId="2" fillId="5" borderId="3" xfId="0" applyFont="1" applyFill="1" applyBorder="1" applyAlignment="1">
      <alignment horizontal="center" vertical="top"/>
    </xf>
    <xf numFmtId="0" fontId="2" fillId="5" borderId="4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1" fontId="2" fillId="5" borderId="18" xfId="1" applyNumberFormat="1" applyFont="1" applyFill="1" applyBorder="1" applyAlignment="1">
      <alignment horizontal="center" vertical="center"/>
    </xf>
    <xf numFmtId="1" fontId="2" fillId="5" borderId="19" xfId="1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9" fontId="2" fillId="2" borderId="10" xfId="1" applyFont="1" applyFill="1" applyBorder="1" applyAlignment="1">
      <alignment horizontal="center"/>
    </xf>
    <xf numFmtId="9" fontId="2" fillId="2" borderId="27" xfId="1" applyFont="1" applyFill="1" applyBorder="1" applyAlignment="1">
      <alignment horizontal="center"/>
    </xf>
    <xf numFmtId="9" fontId="2" fillId="4" borderId="34" xfId="1" applyFont="1" applyFill="1" applyBorder="1" applyAlignment="1">
      <alignment horizontal="center"/>
    </xf>
    <xf numFmtId="9" fontId="2" fillId="4" borderId="37" xfId="1" applyFont="1" applyFill="1" applyBorder="1" applyAlignment="1">
      <alignment horizontal="center"/>
    </xf>
    <xf numFmtId="9" fontId="2" fillId="6" borderId="34" xfId="1" applyFont="1" applyFill="1" applyBorder="1" applyAlignment="1">
      <alignment horizontal="center"/>
    </xf>
    <xf numFmtId="9" fontId="2" fillId="6" borderId="37" xfId="1" applyFont="1" applyFill="1" applyBorder="1" applyAlignment="1">
      <alignment horizontal="center"/>
    </xf>
    <xf numFmtId="9" fontId="2" fillId="7" borderId="34" xfId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9" fontId="5" fillId="3" borderId="45" xfId="1" applyFont="1" applyFill="1" applyBorder="1" applyAlignment="1">
      <alignment horizontal="center"/>
    </xf>
    <xf numFmtId="9" fontId="2" fillId="2" borderId="10" xfId="0" applyNumberFormat="1" applyFont="1" applyFill="1" applyBorder="1" applyAlignment="1">
      <alignment horizontal="center"/>
    </xf>
    <xf numFmtId="9" fontId="2" fillId="2" borderId="27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4" borderId="34" xfId="0" applyNumberFormat="1" applyFont="1" applyFill="1" applyBorder="1" applyAlignment="1">
      <alignment horizontal="center"/>
    </xf>
    <xf numFmtId="9" fontId="2" fillId="4" borderId="37" xfId="0" applyNumberFormat="1" applyFont="1" applyFill="1" applyBorder="1" applyAlignment="1">
      <alignment horizontal="center"/>
    </xf>
    <xf numFmtId="9" fontId="2" fillId="6" borderId="34" xfId="0" applyNumberFormat="1" applyFont="1" applyFill="1" applyBorder="1" applyAlignment="1">
      <alignment horizontal="center"/>
    </xf>
    <xf numFmtId="9" fontId="2" fillId="6" borderId="37" xfId="0" applyNumberFormat="1" applyFont="1" applyFill="1" applyBorder="1" applyAlignment="1">
      <alignment horizontal="center"/>
    </xf>
    <xf numFmtId="9" fontId="2" fillId="7" borderId="34" xfId="0" applyNumberFormat="1" applyFont="1" applyFill="1" applyBorder="1" applyAlignment="1">
      <alignment horizontal="center"/>
    </xf>
    <xf numFmtId="9" fontId="2" fillId="7" borderId="37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5" fillId="3" borderId="27" xfId="0" applyNumberFormat="1" applyFont="1" applyFill="1" applyBorder="1" applyAlignment="1">
      <alignment horizontal="center"/>
    </xf>
    <xf numFmtId="9" fontId="5" fillId="3" borderId="37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FF"/>
      <color rgb="FFFFFFCC"/>
      <color rgb="FF99FF99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P42"/>
  <sheetViews>
    <sheetView tabSelected="1" view="pageLayout" zoomScale="60" zoomScaleNormal="100" zoomScalePageLayoutView="60" workbookViewId="0">
      <selection activeCell="S8" sqref="S8"/>
    </sheetView>
  </sheetViews>
  <sheetFormatPr defaultRowHeight="15" x14ac:dyDescent="0.25"/>
  <cols>
    <col min="1" max="1" width="19" customWidth="1"/>
    <col min="2" max="3" width="9.140625" style="2"/>
    <col min="4" max="4" width="15.140625" style="109" customWidth="1"/>
    <col min="5" max="6" width="9.140625" style="2"/>
    <col min="7" max="7" width="14.5703125" style="190" customWidth="1"/>
    <col min="8" max="9" width="9.140625" style="2"/>
    <col min="10" max="10" width="14.42578125" style="190" customWidth="1"/>
    <col min="11" max="12" width="9.140625" style="2"/>
    <col min="13" max="13" width="14.42578125" style="190" customWidth="1"/>
    <col min="14" max="15" width="9.140625" style="2"/>
    <col min="16" max="16" width="14.42578125" style="190" customWidth="1"/>
  </cols>
  <sheetData>
    <row r="1" spans="1:16" x14ac:dyDescent="0.25">
      <c r="A1" s="122" t="s">
        <v>63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s="1" customFormat="1" ht="29.25" customHeight="1" x14ac:dyDescent="0.2">
      <c r="A2" s="1" t="s">
        <v>0</v>
      </c>
      <c r="B2" s="121" t="s">
        <v>44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</row>
    <row r="3" spans="1:16" s="1" customFormat="1" ht="14.25" customHeight="1" x14ac:dyDescent="0.2">
      <c r="B3" s="121" t="s">
        <v>37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</row>
    <row r="4" spans="1:16" s="1" customFormat="1" ht="52.5" customHeight="1" thickBot="1" x14ac:dyDescent="0.25">
      <c r="A4" s="3" t="s">
        <v>16</v>
      </c>
      <c r="B4" s="121" t="s">
        <v>64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</row>
    <row r="5" spans="1:16" s="1" customFormat="1" ht="14.25" x14ac:dyDescent="0.2">
      <c r="A5" s="131"/>
      <c r="B5" s="128" t="s">
        <v>4</v>
      </c>
      <c r="C5" s="129"/>
      <c r="D5" s="130"/>
      <c r="E5" s="128" t="s">
        <v>5</v>
      </c>
      <c r="F5" s="129"/>
      <c r="G5" s="130"/>
      <c r="H5" s="128" t="s">
        <v>6</v>
      </c>
      <c r="I5" s="129"/>
      <c r="J5" s="130"/>
      <c r="K5" s="128" t="s">
        <v>7</v>
      </c>
      <c r="L5" s="129"/>
      <c r="M5" s="130"/>
      <c r="N5" s="4"/>
      <c r="O5" s="4"/>
      <c r="P5" s="183"/>
    </row>
    <row r="6" spans="1:16" s="1" customFormat="1" ht="41.25" customHeight="1" x14ac:dyDescent="0.2">
      <c r="A6" s="132"/>
      <c r="B6" s="55" t="s">
        <v>2</v>
      </c>
      <c r="C6" s="50" t="s">
        <v>1</v>
      </c>
      <c r="D6" s="56" t="s">
        <v>3</v>
      </c>
      <c r="E6" s="55" t="s">
        <v>2</v>
      </c>
      <c r="F6" s="50" t="s">
        <v>1</v>
      </c>
      <c r="G6" s="114" t="s">
        <v>3</v>
      </c>
      <c r="H6" s="55" t="s">
        <v>2</v>
      </c>
      <c r="I6" s="50" t="s">
        <v>1</v>
      </c>
      <c r="J6" s="114" t="s">
        <v>3</v>
      </c>
      <c r="K6" s="55" t="s">
        <v>2</v>
      </c>
      <c r="L6" s="50" t="s">
        <v>1</v>
      </c>
      <c r="M6" s="114" t="s">
        <v>3</v>
      </c>
      <c r="N6" s="4"/>
      <c r="O6" s="4"/>
      <c r="P6" s="183"/>
    </row>
    <row r="7" spans="1:16" s="1" customFormat="1" ht="14.25" x14ac:dyDescent="0.2">
      <c r="A7" s="53" t="s">
        <v>38</v>
      </c>
      <c r="B7" s="57">
        <v>2</v>
      </c>
      <c r="C7" s="51">
        <v>1</v>
      </c>
      <c r="D7" s="172">
        <f>IFERROR((SUM(C7/B7)), "")</f>
        <v>0.5</v>
      </c>
      <c r="E7" s="57">
        <v>2</v>
      </c>
      <c r="F7" s="51">
        <v>1</v>
      </c>
      <c r="G7" s="181">
        <f>IFERROR((SUM(F7/E7)), "")</f>
        <v>0.5</v>
      </c>
      <c r="H7" s="57">
        <v>2</v>
      </c>
      <c r="I7" s="51">
        <v>1</v>
      </c>
      <c r="J7" s="181">
        <f>IFERROR((SUM(I7/H7)), "")</f>
        <v>0.5</v>
      </c>
      <c r="K7" s="60">
        <f t="shared" ref="K7:L13" si="0">B7+E7+H7</f>
        <v>6</v>
      </c>
      <c r="L7" s="52">
        <f t="shared" si="0"/>
        <v>3</v>
      </c>
      <c r="M7" s="181">
        <f>IFERROR((SUM(L7/K7)), "")</f>
        <v>0.5</v>
      </c>
      <c r="N7" s="4"/>
      <c r="O7" s="4"/>
      <c r="P7" s="183"/>
    </row>
    <row r="8" spans="1:16" s="1" customFormat="1" ht="14.25" x14ac:dyDescent="0.2">
      <c r="A8" s="53" t="s">
        <v>39</v>
      </c>
      <c r="B8" s="57"/>
      <c r="C8" s="51"/>
      <c r="D8" s="172" t="str">
        <f t="shared" ref="D8:D14" si="1">IFERROR((SUM(C8/B8)), "")</f>
        <v/>
      </c>
      <c r="E8" s="57"/>
      <c r="F8" s="51"/>
      <c r="G8" s="181" t="str">
        <f t="shared" ref="G8:G14" si="2">IFERROR((SUM(F8/E8)), "")</f>
        <v/>
      </c>
      <c r="H8" s="57"/>
      <c r="I8" s="51"/>
      <c r="J8" s="181" t="str">
        <f t="shared" ref="J8:J14" si="3">IFERROR((SUM(I8/H8)), "")</f>
        <v/>
      </c>
      <c r="K8" s="60">
        <f t="shared" si="0"/>
        <v>0</v>
      </c>
      <c r="L8" s="52">
        <f t="shared" si="0"/>
        <v>0</v>
      </c>
      <c r="M8" s="181" t="str">
        <f t="shared" ref="M8:M14" si="4">IFERROR((SUM(L8/K8)), "")</f>
        <v/>
      </c>
      <c r="N8" s="4"/>
      <c r="O8" s="4"/>
      <c r="P8" s="183"/>
    </row>
    <row r="9" spans="1:16" s="1" customFormat="1" ht="14.25" x14ac:dyDescent="0.2">
      <c r="A9" s="53" t="s">
        <v>40</v>
      </c>
      <c r="B9" s="57"/>
      <c r="C9" s="51"/>
      <c r="D9" s="172" t="str">
        <f t="shared" si="1"/>
        <v/>
      </c>
      <c r="E9" s="57"/>
      <c r="F9" s="51"/>
      <c r="G9" s="181" t="str">
        <f t="shared" si="2"/>
        <v/>
      </c>
      <c r="H9" s="57"/>
      <c r="I9" s="51"/>
      <c r="J9" s="181" t="str">
        <f t="shared" si="3"/>
        <v/>
      </c>
      <c r="K9" s="60">
        <f t="shared" si="0"/>
        <v>0</v>
      </c>
      <c r="L9" s="52">
        <f t="shared" si="0"/>
        <v>0</v>
      </c>
      <c r="M9" s="181" t="str">
        <f t="shared" si="4"/>
        <v/>
      </c>
      <c r="N9" s="4"/>
      <c r="O9" s="4"/>
      <c r="P9" s="183"/>
    </row>
    <row r="10" spans="1:16" s="1" customFormat="1" ht="14.25" x14ac:dyDescent="0.2">
      <c r="A10" s="53" t="s">
        <v>41</v>
      </c>
      <c r="B10" s="57"/>
      <c r="C10" s="51"/>
      <c r="D10" s="172" t="str">
        <f t="shared" si="1"/>
        <v/>
      </c>
      <c r="E10" s="57"/>
      <c r="F10" s="51"/>
      <c r="G10" s="181" t="str">
        <f t="shared" si="2"/>
        <v/>
      </c>
      <c r="H10" s="57"/>
      <c r="I10" s="51"/>
      <c r="J10" s="181" t="str">
        <f t="shared" si="3"/>
        <v/>
      </c>
      <c r="K10" s="60">
        <f t="shared" si="0"/>
        <v>0</v>
      </c>
      <c r="L10" s="52">
        <f t="shared" si="0"/>
        <v>0</v>
      </c>
      <c r="M10" s="181" t="str">
        <f t="shared" si="4"/>
        <v/>
      </c>
      <c r="N10" s="4"/>
      <c r="O10" s="4"/>
      <c r="P10" s="183"/>
    </row>
    <row r="11" spans="1:16" s="1" customFormat="1" ht="14.25" x14ac:dyDescent="0.2">
      <c r="A11" s="53" t="s">
        <v>42</v>
      </c>
      <c r="B11" s="57"/>
      <c r="C11" s="51"/>
      <c r="D11" s="172" t="str">
        <f t="shared" si="1"/>
        <v/>
      </c>
      <c r="E11" s="57"/>
      <c r="F11" s="51"/>
      <c r="G11" s="181" t="str">
        <f t="shared" si="2"/>
        <v/>
      </c>
      <c r="H11" s="57"/>
      <c r="I11" s="51"/>
      <c r="J11" s="181" t="str">
        <f t="shared" si="3"/>
        <v/>
      </c>
      <c r="K11" s="60">
        <f t="shared" si="0"/>
        <v>0</v>
      </c>
      <c r="L11" s="52">
        <f t="shared" si="0"/>
        <v>0</v>
      </c>
      <c r="M11" s="181" t="str">
        <f t="shared" si="4"/>
        <v/>
      </c>
      <c r="N11" s="4"/>
      <c r="O11" s="4"/>
      <c r="P11" s="183"/>
    </row>
    <row r="12" spans="1:16" s="1" customFormat="1" ht="14.25" x14ac:dyDescent="0.2">
      <c r="A12" s="53" t="s">
        <v>43</v>
      </c>
      <c r="B12" s="57"/>
      <c r="C12" s="51"/>
      <c r="D12" s="172" t="str">
        <f t="shared" si="1"/>
        <v/>
      </c>
      <c r="E12" s="57"/>
      <c r="F12" s="51"/>
      <c r="G12" s="181" t="str">
        <f t="shared" si="2"/>
        <v/>
      </c>
      <c r="H12" s="57"/>
      <c r="I12" s="51"/>
      <c r="J12" s="181" t="str">
        <f t="shared" si="3"/>
        <v/>
      </c>
      <c r="K12" s="60">
        <f t="shared" si="0"/>
        <v>0</v>
      </c>
      <c r="L12" s="52">
        <f t="shared" si="0"/>
        <v>0</v>
      </c>
      <c r="M12" s="181" t="str">
        <f t="shared" si="4"/>
        <v/>
      </c>
      <c r="N12" s="4"/>
      <c r="O12" s="4"/>
      <c r="P12" s="183"/>
    </row>
    <row r="13" spans="1:16" s="1" customFormat="1" ht="14.25" x14ac:dyDescent="0.2">
      <c r="A13" s="53" t="s">
        <v>45</v>
      </c>
      <c r="B13" s="57"/>
      <c r="C13" s="51"/>
      <c r="D13" s="172" t="str">
        <f t="shared" si="1"/>
        <v/>
      </c>
      <c r="E13" s="57"/>
      <c r="F13" s="51"/>
      <c r="G13" s="181" t="str">
        <f t="shared" si="2"/>
        <v/>
      </c>
      <c r="H13" s="57"/>
      <c r="I13" s="51"/>
      <c r="J13" s="181" t="str">
        <f t="shared" si="3"/>
        <v/>
      </c>
      <c r="K13" s="60">
        <f t="shared" si="0"/>
        <v>0</v>
      </c>
      <c r="L13" s="52">
        <f t="shared" si="0"/>
        <v>0</v>
      </c>
      <c r="M13" s="181" t="str">
        <f t="shared" si="4"/>
        <v/>
      </c>
      <c r="N13" s="4"/>
      <c r="O13" s="4"/>
      <c r="P13" s="183"/>
    </row>
    <row r="14" spans="1:16" s="1" customFormat="1" thickBot="1" x14ac:dyDescent="0.25">
      <c r="A14" s="54" t="s">
        <v>46</v>
      </c>
      <c r="B14" s="58">
        <f>SUM(B7:B13)</f>
        <v>2</v>
      </c>
      <c r="C14" s="59">
        <f>SUM(C7:C13)</f>
        <v>1</v>
      </c>
      <c r="D14" s="173">
        <f t="shared" si="1"/>
        <v>0.5</v>
      </c>
      <c r="E14" s="58">
        <f>SUM(E7:E13)</f>
        <v>2</v>
      </c>
      <c r="F14" s="59">
        <f>SUM(F7:F13)</f>
        <v>1</v>
      </c>
      <c r="G14" s="182">
        <f t="shared" si="2"/>
        <v>0.5</v>
      </c>
      <c r="H14" s="58">
        <f>SUM(H7:H13)</f>
        <v>2</v>
      </c>
      <c r="I14" s="59">
        <f>SUM(I7:I13)</f>
        <v>1</v>
      </c>
      <c r="J14" s="182">
        <f t="shared" si="3"/>
        <v>0.5</v>
      </c>
      <c r="K14" s="58">
        <f>SUM(K7:K13)</f>
        <v>6</v>
      </c>
      <c r="L14" s="59">
        <f>SUM(L7:L13)</f>
        <v>3</v>
      </c>
      <c r="M14" s="181">
        <f t="shared" si="4"/>
        <v>0.5</v>
      </c>
      <c r="N14" s="4"/>
      <c r="O14" s="4"/>
      <c r="P14" s="183"/>
    </row>
    <row r="15" spans="1:16" s="1" customFormat="1" thickBot="1" x14ac:dyDescent="0.25">
      <c r="B15" s="4"/>
      <c r="C15" s="4"/>
      <c r="D15" s="4"/>
      <c r="E15" s="4"/>
      <c r="F15" s="4"/>
      <c r="G15" s="183"/>
      <c r="H15" s="4"/>
      <c r="I15" s="4"/>
      <c r="J15" s="183"/>
      <c r="K15" s="4"/>
      <c r="L15" s="4"/>
      <c r="M15" s="183"/>
      <c r="N15" s="4"/>
      <c r="O15" s="4"/>
      <c r="P15" s="183"/>
    </row>
    <row r="16" spans="1:16" s="1" customFormat="1" ht="14.25" x14ac:dyDescent="0.2">
      <c r="A16" s="116"/>
      <c r="B16" s="118" t="s">
        <v>4</v>
      </c>
      <c r="C16" s="119"/>
      <c r="D16" s="120"/>
      <c r="E16" s="118" t="s">
        <v>5</v>
      </c>
      <c r="F16" s="119"/>
      <c r="G16" s="120"/>
      <c r="H16" s="118" t="s">
        <v>6</v>
      </c>
      <c r="I16" s="119"/>
      <c r="J16" s="120"/>
      <c r="K16" s="118" t="s">
        <v>14</v>
      </c>
      <c r="L16" s="119"/>
      <c r="M16" s="120"/>
      <c r="N16" s="118" t="s">
        <v>9</v>
      </c>
      <c r="O16" s="119"/>
      <c r="P16" s="120"/>
    </row>
    <row r="17" spans="1:16" s="1" customFormat="1" ht="38.25" customHeight="1" x14ac:dyDescent="0.2">
      <c r="A17" s="117"/>
      <c r="B17" s="39" t="s">
        <v>2</v>
      </c>
      <c r="C17" s="5" t="s">
        <v>1</v>
      </c>
      <c r="D17" s="40" t="s">
        <v>3</v>
      </c>
      <c r="E17" s="39" t="s">
        <v>2</v>
      </c>
      <c r="F17" s="5" t="s">
        <v>1</v>
      </c>
      <c r="G17" s="110" t="s">
        <v>3</v>
      </c>
      <c r="H17" s="39" t="s">
        <v>2</v>
      </c>
      <c r="I17" s="5" t="s">
        <v>1</v>
      </c>
      <c r="J17" s="110" t="s">
        <v>3</v>
      </c>
      <c r="K17" s="39" t="s">
        <v>2</v>
      </c>
      <c r="L17" s="5" t="s">
        <v>1</v>
      </c>
      <c r="M17" s="110" t="s">
        <v>3</v>
      </c>
      <c r="N17" s="39" t="s">
        <v>2</v>
      </c>
      <c r="O17" s="5" t="s">
        <v>1</v>
      </c>
      <c r="P17" s="110" t="s">
        <v>3</v>
      </c>
    </row>
    <row r="18" spans="1:16" s="1" customFormat="1" ht="14.25" x14ac:dyDescent="0.2">
      <c r="A18" s="61" t="s">
        <v>36</v>
      </c>
      <c r="B18" s="44"/>
      <c r="C18" s="43"/>
      <c r="D18" s="174" t="str">
        <f>IFERROR((SUM(C18/B18)), "")</f>
        <v/>
      </c>
      <c r="E18" s="44"/>
      <c r="F18" s="43"/>
      <c r="G18" s="184" t="str">
        <f>IFERROR((SUM(F18/E18)), "")</f>
        <v/>
      </c>
      <c r="H18" s="44"/>
      <c r="I18" s="43"/>
      <c r="J18" s="184" t="str">
        <f>IFERROR((SUM(I18/H18)), "")</f>
        <v/>
      </c>
      <c r="K18" s="44">
        <v>2</v>
      </c>
      <c r="L18" s="43">
        <v>1</v>
      </c>
      <c r="M18" s="184">
        <f>IFERROR((SUM(L18/K18)), "")</f>
        <v>0.5</v>
      </c>
      <c r="N18" s="63">
        <f t="shared" ref="N18:O21" si="5">B18+E18+H18+K18</f>
        <v>2</v>
      </c>
      <c r="O18" s="38">
        <f t="shared" si="5"/>
        <v>1</v>
      </c>
      <c r="P18" s="184">
        <f>IFERROR((SUM(O18/N18)), "")</f>
        <v>0.5</v>
      </c>
    </row>
    <row r="19" spans="1:16" s="1" customFormat="1" ht="14.25" x14ac:dyDescent="0.2">
      <c r="A19" s="61" t="s">
        <v>47</v>
      </c>
      <c r="B19" s="44"/>
      <c r="C19" s="43"/>
      <c r="D19" s="174" t="str">
        <f>IFERROR((SUM(C19/B19)), "")</f>
        <v/>
      </c>
      <c r="E19" s="44"/>
      <c r="F19" s="43"/>
      <c r="G19" s="184" t="str">
        <f>IFERROR((SUM(F19/E19)), "")</f>
        <v/>
      </c>
      <c r="H19" s="44"/>
      <c r="I19" s="43"/>
      <c r="J19" s="184" t="str">
        <f>IFERROR((SUM(I19/H19)), "")</f>
        <v/>
      </c>
      <c r="K19" s="44"/>
      <c r="L19" s="43"/>
      <c r="M19" s="184" t="str">
        <f>IFERROR((SUM(L19/K19)), "")</f>
        <v/>
      </c>
      <c r="N19" s="63">
        <f t="shared" si="5"/>
        <v>0</v>
      </c>
      <c r="O19" s="38">
        <f t="shared" si="5"/>
        <v>0</v>
      </c>
      <c r="P19" s="184" t="str">
        <f>IFERROR((SUM(O19/N19)), "")</f>
        <v/>
      </c>
    </row>
    <row r="20" spans="1:16" s="1" customFormat="1" ht="14.25" x14ac:dyDescent="0.2">
      <c r="A20" s="61" t="s">
        <v>48</v>
      </c>
      <c r="B20" s="44"/>
      <c r="C20" s="43"/>
      <c r="D20" s="174" t="str">
        <f>IFERROR((SUM(C20/B20)), "")</f>
        <v/>
      </c>
      <c r="E20" s="44"/>
      <c r="F20" s="43"/>
      <c r="G20" s="184" t="str">
        <f>IFERROR((SUM(F20/E20)), "")</f>
        <v/>
      </c>
      <c r="H20" s="44"/>
      <c r="I20" s="43"/>
      <c r="J20" s="184" t="str">
        <f>IFERROR((SUM(I20/H20)), "")</f>
        <v/>
      </c>
      <c r="K20" s="44"/>
      <c r="L20" s="43"/>
      <c r="M20" s="184" t="str">
        <f>IFERROR((SUM(L20/K20)), "")</f>
        <v/>
      </c>
      <c r="N20" s="63">
        <f t="shared" si="5"/>
        <v>0</v>
      </c>
      <c r="O20" s="38">
        <f t="shared" si="5"/>
        <v>0</v>
      </c>
      <c r="P20" s="184" t="str">
        <f>IFERROR((SUM(O20/N20)), "")</f>
        <v/>
      </c>
    </row>
    <row r="21" spans="1:16" s="1" customFormat="1" ht="14.25" x14ac:dyDescent="0.2">
      <c r="A21" s="75" t="s">
        <v>45</v>
      </c>
      <c r="B21" s="44"/>
      <c r="C21" s="43"/>
      <c r="D21" s="174" t="str">
        <f>IFERROR((SUM(C21/B21)), "")</f>
        <v/>
      </c>
      <c r="E21" s="44"/>
      <c r="F21" s="43"/>
      <c r="G21" s="184" t="str">
        <f>IFERROR((SUM(F21/E21)), "")</f>
        <v/>
      </c>
      <c r="H21" s="44"/>
      <c r="I21" s="43"/>
      <c r="J21" s="184" t="str">
        <f>IFERROR((SUM(I21/H21)), "")</f>
        <v/>
      </c>
      <c r="K21" s="44"/>
      <c r="L21" s="43"/>
      <c r="M21" s="184" t="str">
        <f>IFERROR((SUM(L21/K21)), "")</f>
        <v/>
      </c>
      <c r="N21" s="63">
        <f t="shared" si="5"/>
        <v>0</v>
      </c>
      <c r="O21" s="38">
        <f t="shared" si="5"/>
        <v>0</v>
      </c>
      <c r="P21" s="184" t="str">
        <f>IFERROR((SUM(O21/N21)), "")</f>
        <v/>
      </c>
    </row>
    <row r="22" spans="1:16" s="1" customFormat="1" thickBot="1" x14ac:dyDescent="0.25">
      <c r="A22" s="62" t="s">
        <v>8</v>
      </c>
      <c r="B22" s="41">
        <f>SUM(B18:B21)</f>
        <v>0</v>
      </c>
      <c r="C22" s="42">
        <f>SUM(C18:C21)</f>
        <v>0</v>
      </c>
      <c r="D22" s="175" t="str">
        <f>IFERROR((SUM(C22/B22)), "")</f>
        <v/>
      </c>
      <c r="E22" s="41">
        <f>SUM(E18:E21)</f>
        <v>0</v>
      </c>
      <c r="F22" s="42">
        <f>SUM(F18:F21)</f>
        <v>0</v>
      </c>
      <c r="G22" s="185" t="str">
        <f>IFERROR((SUM(F22/E22)), "")</f>
        <v/>
      </c>
      <c r="H22" s="41">
        <f>SUM(H18:H21)</f>
        <v>0</v>
      </c>
      <c r="I22" s="42">
        <f>SUM(I18:I21)</f>
        <v>0</v>
      </c>
      <c r="J22" s="185" t="str">
        <f>IFERROR((SUM(I22/H22)), "")</f>
        <v/>
      </c>
      <c r="K22" s="41">
        <f>SUM(K18:K21)</f>
        <v>2</v>
      </c>
      <c r="L22" s="42">
        <f>SUM(L18:L21)</f>
        <v>1</v>
      </c>
      <c r="M22" s="185">
        <f>IFERROR((SUM(L22/K22)), "")</f>
        <v>0.5</v>
      </c>
      <c r="N22" s="41">
        <f>SUM(N18:N21)</f>
        <v>2</v>
      </c>
      <c r="O22" s="42">
        <f>SUM(O18:O21)</f>
        <v>1</v>
      </c>
      <c r="P22" s="185">
        <f>IFERROR((SUM(O22/N22)), "")</f>
        <v>0.5</v>
      </c>
    </row>
    <row r="23" spans="1:16" s="1" customFormat="1" thickBot="1" x14ac:dyDescent="0.25">
      <c r="B23" s="4"/>
      <c r="C23" s="4"/>
      <c r="D23" s="4"/>
      <c r="E23" s="4"/>
      <c r="F23" s="4"/>
      <c r="G23" s="183"/>
      <c r="H23" s="4"/>
      <c r="I23" s="4"/>
      <c r="J23" s="183"/>
      <c r="K23" s="4"/>
      <c r="L23" s="4"/>
      <c r="M23" s="183"/>
      <c r="N23" s="4"/>
      <c r="O23" s="4"/>
      <c r="P23" s="183"/>
    </row>
    <row r="24" spans="1:16" s="1" customFormat="1" ht="14.25" x14ac:dyDescent="0.2">
      <c r="A24" s="123"/>
      <c r="B24" s="125" t="s">
        <v>4</v>
      </c>
      <c r="C24" s="126"/>
      <c r="D24" s="127"/>
      <c r="E24" s="125" t="s">
        <v>5</v>
      </c>
      <c r="F24" s="126"/>
      <c r="G24" s="127"/>
      <c r="H24" s="125" t="s">
        <v>6</v>
      </c>
      <c r="I24" s="126"/>
      <c r="J24" s="127"/>
      <c r="K24" s="125" t="s">
        <v>14</v>
      </c>
      <c r="L24" s="126"/>
      <c r="M24" s="127"/>
      <c r="N24" s="125" t="s">
        <v>9</v>
      </c>
      <c r="O24" s="126"/>
      <c r="P24" s="127"/>
    </row>
    <row r="25" spans="1:16" s="1" customFormat="1" ht="38.25" customHeight="1" x14ac:dyDescent="0.2">
      <c r="A25" s="124"/>
      <c r="B25" s="79" t="s">
        <v>2</v>
      </c>
      <c r="C25" s="80" t="s">
        <v>1</v>
      </c>
      <c r="D25" s="81" t="s">
        <v>3</v>
      </c>
      <c r="E25" s="79" t="s">
        <v>2</v>
      </c>
      <c r="F25" s="80" t="s">
        <v>1</v>
      </c>
      <c r="G25" s="111" t="s">
        <v>3</v>
      </c>
      <c r="H25" s="79" t="s">
        <v>2</v>
      </c>
      <c r="I25" s="80" t="s">
        <v>1</v>
      </c>
      <c r="J25" s="111" t="s">
        <v>3</v>
      </c>
      <c r="K25" s="79" t="s">
        <v>2</v>
      </c>
      <c r="L25" s="80" t="s">
        <v>1</v>
      </c>
      <c r="M25" s="111" t="s">
        <v>3</v>
      </c>
      <c r="N25" s="79" t="s">
        <v>2</v>
      </c>
      <c r="O25" s="80" t="s">
        <v>1</v>
      </c>
      <c r="P25" s="111" t="s">
        <v>3</v>
      </c>
    </row>
    <row r="26" spans="1:16" s="1" customFormat="1" ht="14.25" x14ac:dyDescent="0.2">
      <c r="A26" s="82" t="s">
        <v>49</v>
      </c>
      <c r="B26" s="89"/>
      <c r="C26" s="90"/>
      <c r="D26" s="176" t="str">
        <f>IFERROR((SUM(C26/B26)), "")</f>
        <v/>
      </c>
      <c r="E26" s="89"/>
      <c r="F26" s="90"/>
      <c r="G26" s="186" t="str">
        <f>IFERROR((SUM(F26/E26)), "")</f>
        <v/>
      </c>
      <c r="H26" s="89"/>
      <c r="I26" s="90"/>
      <c r="J26" s="186" t="str">
        <f>IFERROR((SUM(I26/H26)), "")</f>
        <v/>
      </c>
      <c r="K26" s="89"/>
      <c r="L26" s="90"/>
      <c r="M26" s="186" t="str">
        <f>IFERROR((SUM(L26/K26)), "")</f>
        <v/>
      </c>
      <c r="N26" s="83">
        <f t="shared" ref="N26:N29" si="6">B26+E26+H26+K26</f>
        <v>0</v>
      </c>
      <c r="O26" s="84">
        <f t="shared" ref="O26:O29" si="7">C26+F26+I26+L26</f>
        <v>0</v>
      </c>
      <c r="P26" s="186" t="str">
        <f>IFERROR((SUM(O26/N26)), "")</f>
        <v/>
      </c>
    </row>
    <row r="27" spans="1:16" s="1" customFormat="1" ht="14.25" x14ac:dyDescent="0.2">
      <c r="A27" s="82" t="s">
        <v>50</v>
      </c>
      <c r="B27" s="89"/>
      <c r="C27" s="90"/>
      <c r="D27" s="176" t="str">
        <f>IFERROR((SUM(C27/B27)), "")</f>
        <v/>
      </c>
      <c r="E27" s="89"/>
      <c r="F27" s="90"/>
      <c r="G27" s="186" t="str">
        <f>IFERROR((SUM(F27/E27)), "")</f>
        <v/>
      </c>
      <c r="H27" s="89"/>
      <c r="I27" s="90"/>
      <c r="J27" s="186" t="str">
        <f>IFERROR((SUM(I27/H27)), "")</f>
        <v/>
      </c>
      <c r="K27" s="89"/>
      <c r="L27" s="90"/>
      <c r="M27" s="186" t="str">
        <f>IFERROR((SUM(L27/K27)), "")</f>
        <v/>
      </c>
      <c r="N27" s="83">
        <f t="shared" si="6"/>
        <v>0</v>
      </c>
      <c r="O27" s="84">
        <f t="shared" si="7"/>
        <v>0</v>
      </c>
      <c r="P27" s="186" t="str">
        <f>IFERROR((SUM(O27/N27)), "")</f>
        <v/>
      </c>
    </row>
    <row r="28" spans="1:16" s="1" customFormat="1" ht="14.25" x14ac:dyDescent="0.2">
      <c r="A28" s="82" t="s">
        <v>51</v>
      </c>
      <c r="B28" s="89"/>
      <c r="C28" s="90"/>
      <c r="D28" s="176" t="str">
        <f>IFERROR((SUM(C28/B28)), "")</f>
        <v/>
      </c>
      <c r="E28" s="89"/>
      <c r="F28" s="90"/>
      <c r="G28" s="186" t="str">
        <f>IFERROR((SUM(F28/E28)), "")</f>
        <v/>
      </c>
      <c r="H28" s="89"/>
      <c r="I28" s="90"/>
      <c r="J28" s="186" t="str">
        <f>IFERROR((SUM(I28/H28)), "")</f>
        <v/>
      </c>
      <c r="K28" s="89"/>
      <c r="L28" s="90"/>
      <c r="M28" s="186" t="str">
        <f>IFERROR((SUM(L28/K28)), "")</f>
        <v/>
      </c>
      <c r="N28" s="83">
        <f t="shared" si="6"/>
        <v>0</v>
      </c>
      <c r="O28" s="84">
        <f t="shared" si="7"/>
        <v>0</v>
      </c>
      <c r="P28" s="186" t="str">
        <f>IFERROR((SUM(O28/N28)), "")</f>
        <v/>
      </c>
    </row>
    <row r="29" spans="1:16" s="1" customFormat="1" ht="14.25" x14ac:dyDescent="0.2">
      <c r="A29" s="85" t="s">
        <v>45</v>
      </c>
      <c r="B29" s="89"/>
      <c r="C29" s="90"/>
      <c r="D29" s="176" t="str">
        <f>IFERROR((SUM(C29/B29)), "")</f>
        <v/>
      </c>
      <c r="E29" s="89"/>
      <c r="F29" s="90"/>
      <c r="G29" s="186" t="str">
        <f>IFERROR((SUM(F29/E29)), "")</f>
        <v/>
      </c>
      <c r="H29" s="89"/>
      <c r="I29" s="90"/>
      <c r="J29" s="186" t="str">
        <f>IFERROR((SUM(I29/H29)), "")</f>
        <v/>
      </c>
      <c r="K29" s="89"/>
      <c r="L29" s="90"/>
      <c r="M29" s="186" t="str">
        <f>IFERROR((SUM(L29/K29)), "")</f>
        <v/>
      </c>
      <c r="N29" s="83">
        <f t="shared" si="6"/>
        <v>0</v>
      </c>
      <c r="O29" s="84">
        <f t="shared" si="7"/>
        <v>0</v>
      </c>
      <c r="P29" s="186" t="str">
        <f>IFERROR((SUM(O29/N29)), "")</f>
        <v/>
      </c>
    </row>
    <row r="30" spans="1:16" s="1" customFormat="1" thickBot="1" x14ac:dyDescent="0.25">
      <c r="A30" s="86" t="s">
        <v>55</v>
      </c>
      <c r="B30" s="87">
        <f>SUM(B26:B29)</f>
        <v>0</v>
      </c>
      <c r="C30" s="88">
        <f>SUM(C26:C29)</f>
        <v>0</v>
      </c>
      <c r="D30" s="177" t="str">
        <f>IFERROR((SUM(C30/B30)), "")</f>
        <v/>
      </c>
      <c r="E30" s="87">
        <f>SUM(E26:E29)</f>
        <v>0</v>
      </c>
      <c r="F30" s="88">
        <f>SUM(F26:F29)</f>
        <v>0</v>
      </c>
      <c r="G30" s="187" t="str">
        <f>IFERROR((SUM(F30/E30)), "")</f>
        <v/>
      </c>
      <c r="H30" s="87">
        <f>SUM(H26:H29)</f>
        <v>0</v>
      </c>
      <c r="I30" s="88">
        <f>SUM(I26:I29)</f>
        <v>0</v>
      </c>
      <c r="J30" s="187" t="str">
        <f>IFERROR((SUM(I30/H30)), "")</f>
        <v/>
      </c>
      <c r="K30" s="87">
        <f>SUM(K26:K29)</f>
        <v>0</v>
      </c>
      <c r="L30" s="88">
        <f>SUM(L26:L29)</f>
        <v>0</v>
      </c>
      <c r="M30" s="187" t="str">
        <f>IFERROR((SUM(L30/K30)), "")</f>
        <v/>
      </c>
      <c r="N30" s="87">
        <f>SUM(N26:N29)</f>
        <v>0</v>
      </c>
      <c r="O30" s="88">
        <f>SUM(O26:O29)</f>
        <v>0</v>
      </c>
      <c r="P30" s="187" t="str">
        <f>IFERROR((SUM(O30/N30)), "")</f>
        <v/>
      </c>
    </row>
    <row r="31" spans="1:16" s="1" customFormat="1" thickBot="1" x14ac:dyDescent="0.25">
      <c r="B31" s="4"/>
      <c r="C31" s="4"/>
      <c r="D31" s="4"/>
      <c r="E31" s="4"/>
      <c r="F31" s="4"/>
      <c r="G31" s="183"/>
      <c r="H31" s="4"/>
      <c r="I31" s="4"/>
      <c r="J31" s="183"/>
      <c r="K31" s="4"/>
      <c r="L31" s="4"/>
      <c r="M31" s="183"/>
      <c r="N31" s="4"/>
      <c r="O31" s="4"/>
      <c r="P31" s="183" t="s">
        <v>34</v>
      </c>
    </row>
    <row r="32" spans="1:16" s="1" customFormat="1" ht="14.25" x14ac:dyDescent="0.2">
      <c r="A32" s="147"/>
      <c r="B32" s="144" t="s">
        <v>4</v>
      </c>
      <c r="C32" s="145"/>
      <c r="D32" s="146"/>
      <c r="E32" s="144" t="s">
        <v>5</v>
      </c>
      <c r="F32" s="145"/>
      <c r="G32" s="146"/>
      <c r="H32" s="144" t="s">
        <v>6</v>
      </c>
      <c r="I32" s="145"/>
      <c r="J32" s="146"/>
      <c r="K32" s="144" t="s">
        <v>14</v>
      </c>
      <c r="L32" s="145"/>
      <c r="M32" s="146"/>
      <c r="N32" s="144" t="s">
        <v>9</v>
      </c>
      <c r="O32" s="145"/>
      <c r="P32" s="146"/>
    </row>
    <row r="33" spans="1:16" s="1" customFormat="1" ht="38.25" customHeight="1" x14ac:dyDescent="0.2">
      <c r="A33" s="148"/>
      <c r="B33" s="94" t="s">
        <v>2</v>
      </c>
      <c r="C33" s="95" t="s">
        <v>1</v>
      </c>
      <c r="D33" s="96" t="s">
        <v>3</v>
      </c>
      <c r="E33" s="94" t="s">
        <v>2</v>
      </c>
      <c r="F33" s="95" t="s">
        <v>1</v>
      </c>
      <c r="G33" s="112" t="s">
        <v>3</v>
      </c>
      <c r="H33" s="94" t="s">
        <v>2</v>
      </c>
      <c r="I33" s="95" t="s">
        <v>1</v>
      </c>
      <c r="J33" s="112" t="s">
        <v>3</v>
      </c>
      <c r="K33" s="94" t="s">
        <v>2</v>
      </c>
      <c r="L33" s="95" t="s">
        <v>1</v>
      </c>
      <c r="M33" s="112" t="s">
        <v>3</v>
      </c>
      <c r="N33" s="94" t="s">
        <v>2</v>
      </c>
      <c r="O33" s="95" t="s">
        <v>1</v>
      </c>
      <c r="P33" s="112" t="s">
        <v>3</v>
      </c>
    </row>
    <row r="34" spans="1:16" s="1" customFormat="1" ht="14.25" x14ac:dyDescent="0.2">
      <c r="A34" s="91" t="s">
        <v>52</v>
      </c>
      <c r="B34" s="89"/>
      <c r="C34" s="90"/>
      <c r="D34" s="178" t="str">
        <f>IFERROR((SUM(C34/B34)), "")</f>
        <v/>
      </c>
      <c r="E34" s="89"/>
      <c r="F34" s="90"/>
      <c r="G34" s="188" t="str">
        <f>IFERROR((SUM(F34/E34)), "")</f>
        <v/>
      </c>
      <c r="H34" s="89"/>
      <c r="I34" s="90"/>
      <c r="J34" s="188" t="str">
        <f>IFERROR((SUM(I34/H34)), "")</f>
        <v/>
      </c>
      <c r="K34" s="89"/>
      <c r="L34" s="90"/>
      <c r="M34" s="188" t="str">
        <f>IFERROR((SUM(L34/K34)), "")</f>
        <v/>
      </c>
      <c r="N34" s="97">
        <f t="shared" ref="N34:N37" si="8">B34+E34+H34+K34</f>
        <v>0</v>
      </c>
      <c r="O34" s="98">
        <f t="shared" ref="O34:O37" si="9">C34+F34+I34+L34</f>
        <v>0</v>
      </c>
      <c r="P34" s="188" t="str">
        <f>IFERROR((SUM(O34/N34)), "")</f>
        <v/>
      </c>
    </row>
    <row r="35" spans="1:16" s="1" customFormat="1" ht="14.25" x14ac:dyDescent="0.2">
      <c r="A35" s="91" t="s">
        <v>53</v>
      </c>
      <c r="B35" s="89"/>
      <c r="C35" s="90"/>
      <c r="D35" s="178" t="str">
        <f>IFERROR((SUM(C35/B35)), "")</f>
        <v/>
      </c>
      <c r="E35" s="89"/>
      <c r="F35" s="90"/>
      <c r="G35" s="188" t="str">
        <f>IFERROR((SUM(F35/E35)), "")</f>
        <v/>
      </c>
      <c r="H35" s="89"/>
      <c r="I35" s="90"/>
      <c r="J35" s="188" t="str">
        <f>IFERROR((SUM(I35/H35)), "")</f>
        <v/>
      </c>
      <c r="K35" s="89"/>
      <c r="L35" s="90"/>
      <c r="M35" s="188" t="str">
        <f>IFERROR((SUM(L35/K35)), "")</f>
        <v/>
      </c>
      <c r="N35" s="97">
        <f t="shared" si="8"/>
        <v>0</v>
      </c>
      <c r="O35" s="98">
        <f t="shared" si="9"/>
        <v>0</v>
      </c>
      <c r="P35" s="188" t="str">
        <f>IFERROR((SUM(O35/N35)), "")</f>
        <v/>
      </c>
    </row>
    <row r="36" spans="1:16" s="1" customFormat="1" ht="14.25" x14ac:dyDescent="0.2">
      <c r="A36" s="91" t="s">
        <v>54</v>
      </c>
      <c r="B36" s="89"/>
      <c r="C36" s="90"/>
      <c r="D36" s="178" t="str">
        <f>IFERROR((SUM(C36/B36)), "")</f>
        <v/>
      </c>
      <c r="E36" s="89"/>
      <c r="F36" s="90"/>
      <c r="G36" s="188" t="str">
        <f>IFERROR((SUM(F36/E36)), "")</f>
        <v/>
      </c>
      <c r="H36" s="89"/>
      <c r="I36" s="90"/>
      <c r="J36" s="188" t="str">
        <f>IFERROR((SUM(I36/H36)), "")</f>
        <v/>
      </c>
      <c r="K36" s="89"/>
      <c r="L36" s="90"/>
      <c r="M36" s="188" t="str">
        <f>IFERROR((SUM(L36/K36)), "")</f>
        <v/>
      </c>
      <c r="N36" s="97">
        <f t="shared" si="8"/>
        <v>0</v>
      </c>
      <c r="O36" s="98">
        <f t="shared" si="9"/>
        <v>0</v>
      </c>
      <c r="P36" s="188" t="str">
        <f>IFERROR((SUM(O36/N36)), "")</f>
        <v/>
      </c>
    </row>
    <row r="37" spans="1:16" s="1" customFormat="1" ht="14.25" x14ac:dyDescent="0.2">
      <c r="A37" s="92" t="s">
        <v>45</v>
      </c>
      <c r="B37" s="89"/>
      <c r="C37" s="90"/>
      <c r="D37" s="178" t="str">
        <f>IFERROR((SUM(C37/B37)), "")</f>
        <v/>
      </c>
      <c r="E37" s="89"/>
      <c r="F37" s="90"/>
      <c r="G37" s="188" t="str">
        <f>IFERROR((SUM(F37/E37)), "")</f>
        <v/>
      </c>
      <c r="H37" s="89"/>
      <c r="I37" s="90"/>
      <c r="J37" s="188" t="str">
        <f>IFERROR((SUM(I37/H37)), "")</f>
        <v/>
      </c>
      <c r="K37" s="89"/>
      <c r="L37" s="90"/>
      <c r="M37" s="188" t="str">
        <f>IFERROR((SUM(L37/K37)), "")</f>
        <v/>
      </c>
      <c r="N37" s="97">
        <f t="shared" si="8"/>
        <v>0</v>
      </c>
      <c r="O37" s="98">
        <f t="shared" si="9"/>
        <v>0</v>
      </c>
      <c r="P37" s="188" t="str">
        <f>IFERROR((SUM(O37/N37)), "")</f>
        <v/>
      </c>
    </row>
    <row r="38" spans="1:16" s="1" customFormat="1" ht="29.25" thickBot="1" x14ac:dyDescent="0.25">
      <c r="A38" s="93" t="s">
        <v>56</v>
      </c>
      <c r="B38" s="99">
        <f>SUM(B34:B37)</f>
        <v>0</v>
      </c>
      <c r="C38" s="100">
        <f>SUM(C34:C37)</f>
        <v>0</v>
      </c>
      <c r="D38" s="179" t="str">
        <f>IFERROR((SUM(C38/B38)), "")</f>
        <v/>
      </c>
      <c r="E38" s="99">
        <f>SUM(E34:E37)</f>
        <v>0</v>
      </c>
      <c r="F38" s="100">
        <f>SUM(F34:F37)</f>
        <v>0</v>
      </c>
      <c r="G38" s="189" t="str">
        <f>IFERROR((SUM(F38/E38)), "")</f>
        <v/>
      </c>
      <c r="H38" s="99">
        <f>SUM(H34:H37)</f>
        <v>0</v>
      </c>
      <c r="I38" s="100">
        <f>SUM(I34:I37)</f>
        <v>0</v>
      </c>
      <c r="J38" s="189" t="str">
        <f>IFERROR((SUM(I38/H38)), "")</f>
        <v/>
      </c>
      <c r="K38" s="99">
        <f>SUM(K34:K37)</f>
        <v>0</v>
      </c>
      <c r="L38" s="100">
        <f>SUM(L34:L37)</f>
        <v>0</v>
      </c>
      <c r="M38" s="189" t="str">
        <f>IFERROR((SUM(L38/K38)), "")</f>
        <v/>
      </c>
      <c r="N38" s="99">
        <f>SUM(N34:N37)</f>
        <v>0</v>
      </c>
      <c r="O38" s="100">
        <f>SUM(O34:O37)</f>
        <v>0</v>
      </c>
      <c r="P38" s="189" t="str">
        <f>IFERROR((SUM(O38/N38)), "")</f>
        <v/>
      </c>
    </row>
    <row r="39" spans="1:16" ht="15.75" thickBot="1" x14ac:dyDescent="0.3"/>
    <row r="40" spans="1:16" x14ac:dyDescent="0.25">
      <c r="A40" s="133"/>
      <c r="B40" s="135" t="s">
        <v>10</v>
      </c>
      <c r="C40" s="136"/>
      <c r="D40" s="137"/>
      <c r="E40" s="138" t="s">
        <v>11</v>
      </c>
      <c r="F40" s="139"/>
      <c r="G40" s="140"/>
      <c r="H40" s="135" t="s">
        <v>12</v>
      </c>
      <c r="I40" s="136"/>
      <c r="J40" s="137"/>
      <c r="K40" s="135" t="s">
        <v>15</v>
      </c>
      <c r="L40" s="136"/>
      <c r="M40" s="137"/>
      <c r="N40" s="141" t="s">
        <v>13</v>
      </c>
      <c r="O40" s="142"/>
      <c r="P40" s="143"/>
    </row>
    <row r="41" spans="1:16" ht="36.75" x14ac:dyDescent="0.25">
      <c r="A41" s="134"/>
      <c r="B41" s="77" t="s">
        <v>2</v>
      </c>
      <c r="C41" s="78" t="s">
        <v>1</v>
      </c>
      <c r="D41" s="47" t="s">
        <v>3</v>
      </c>
      <c r="E41" s="46" t="s">
        <v>2</v>
      </c>
      <c r="F41" s="45" t="s">
        <v>1</v>
      </c>
      <c r="G41" s="115" t="s">
        <v>3</v>
      </c>
      <c r="H41" s="46" t="s">
        <v>2</v>
      </c>
      <c r="I41" s="45" t="s">
        <v>1</v>
      </c>
      <c r="J41" s="115" t="s">
        <v>3</v>
      </c>
      <c r="K41" s="46" t="s">
        <v>2</v>
      </c>
      <c r="L41" s="45" t="s">
        <v>1</v>
      </c>
      <c r="M41" s="115" t="s">
        <v>3</v>
      </c>
      <c r="N41" s="64" t="s">
        <v>2</v>
      </c>
      <c r="O41" s="6" t="s">
        <v>1</v>
      </c>
      <c r="P41" s="113" t="s">
        <v>3</v>
      </c>
    </row>
    <row r="42" spans="1:16" ht="30" thickBot="1" x14ac:dyDescent="0.3">
      <c r="A42" s="76" t="s">
        <v>17</v>
      </c>
      <c r="B42" s="48">
        <f>SUM(B22+B38+B30+B14)</f>
        <v>2</v>
      </c>
      <c r="C42" s="49">
        <f>SUM(C22+C38+C30+C14)</f>
        <v>1</v>
      </c>
      <c r="D42" s="180">
        <f>IFERROR((SUM(C42/B42)), "")</f>
        <v>0.5</v>
      </c>
      <c r="E42" s="48">
        <f>SUM(E14+E22+E30+E38)</f>
        <v>2</v>
      </c>
      <c r="F42" s="49">
        <f>SUM(F14+F22+F30+F38)</f>
        <v>1</v>
      </c>
      <c r="G42" s="191">
        <f>IFERROR((SUM(F42/E42)), "")</f>
        <v>0.5</v>
      </c>
      <c r="H42" s="48">
        <f>H14+H22+H30+H38</f>
        <v>2</v>
      </c>
      <c r="I42" s="49">
        <f>I14+I22+I30+I38</f>
        <v>1</v>
      </c>
      <c r="J42" s="191">
        <f>IFERROR((SUM(I42/H42)), "")</f>
        <v>0.5</v>
      </c>
      <c r="K42" s="48">
        <f>K22+K30+K38</f>
        <v>2</v>
      </c>
      <c r="L42" s="49">
        <f>L22+L30+L38</f>
        <v>1</v>
      </c>
      <c r="M42" s="191">
        <f>IFERROR((SUM(L42/K42)), "")</f>
        <v>0.5</v>
      </c>
      <c r="N42" s="65">
        <f>N22+K14+N30+N38</f>
        <v>8</v>
      </c>
      <c r="O42" s="66">
        <f>O22+L14+O30+O38</f>
        <v>4</v>
      </c>
      <c r="P42" s="192">
        <f>IFERROR((SUM(O42/N42)), "")</f>
        <v>0.5</v>
      </c>
    </row>
  </sheetData>
  <sheetProtection algorithmName="SHA-512" hashValue="1thN44wzpe1mYlX43N6n83gPp0m2wFSftcRBV3ADfutdlm4xltk9IdjyTgFCSoD9TDpGPYj+EcYK7YSQ6HizTg==" saltValue="2ZNGadTMz7GysXGXfc7NFA==" spinCount="100000" sheet="1" objects="1" scenarios="1"/>
  <mergeCells count="33">
    <mergeCell ref="N32:P32"/>
    <mergeCell ref="A32:A33"/>
    <mergeCell ref="B32:D32"/>
    <mergeCell ref="E32:G32"/>
    <mergeCell ref="H32:J32"/>
    <mergeCell ref="K32:M32"/>
    <mergeCell ref="A40:A41"/>
    <mergeCell ref="B40:D40"/>
    <mergeCell ref="E40:G40"/>
    <mergeCell ref="H40:J40"/>
    <mergeCell ref="N40:P40"/>
    <mergeCell ref="K40:M40"/>
    <mergeCell ref="B3:P3"/>
    <mergeCell ref="A1:P1"/>
    <mergeCell ref="B2:P2"/>
    <mergeCell ref="A24:A25"/>
    <mergeCell ref="B24:D24"/>
    <mergeCell ref="E24:G24"/>
    <mergeCell ref="H24:J24"/>
    <mergeCell ref="K24:M24"/>
    <mergeCell ref="N24:P24"/>
    <mergeCell ref="B4:P4"/>
    <mergeCell ref="B5:D5"/>
    <mergeCell ref="E5:G5"/>
    <mergeCell ref="H5:J5"/>
    <mergeCell ref="K5:M5"/>
    <mergeCell ref="A5:A6"/>
    <mergeCell ref="A16:A17"/>
    <mergeCell ref="B16:D16"/>
    <mergeCell ref="E16:G16"/>
    <mergeCell ref="N16:P16"/>
    <mergeCell ref="K16:M16"/>
    <mergeCell ref="H16:J16"/>
  </mergeCells>
  <dataValidations count="1">
    <dataValidation type="whole" allowBlank="1" showInputMessage="1" showErrorMessage="1" sqref="H34:I37 B7:C13 E7:F13 H7:I13 B18:C21 E18:F21 H18:I21 K18:L21 B26:C29 E26:F29 H26:I29 K26:L29 B34:C37 E34:F37 K34:L37">
      <formula1>0</formula1>
      <formula2>1000</formula2>
    </dataValidation>
  </dataValidations>
  <pageMargins left="0.69" right="0.7" top="0.62" bottom="0.4" header="0.25" footer="0.25"/>
  <pageSetup scale="66" orientation="landscape" horizontalDpi="4294967293" r:id="rId1"/>
  <headerFooter>
    <oddHeader>&amp;C&amp;"Cambria,Bold"&amp;12Index 1: Student Achievement
2012-2013</oddHeader>
    <oddFooter>&amp;CCreated by E. Gearhart Adapted from Technical Description: Performance Index Indicators and Index Construction Guide from TEA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M36"/>
  <sheetViews>
    <sheetView zoomScaleNormal="100" zoomScalePageLayoutView="70" workbookViewId="0">
      <selection activeCell="H14" sqref="H14"/>
    </sheetView>
  </sheetViews>
  <sheetFormatPr defaultRowHeight="15" x14ac:dyDescent="0.25"/>
  <cols>
    <col min="1" max="1" width="21.7109375" customWidth="1"/>
    <col min="3" max="3" width="12.42578125" customWidth="1"/>
    <col min="4" max="4" width="17.5703125" customWidth="1"/>
    <col min="6" max="6" width="15.28515625" customWidth="1"/>
    <col min="7" max="7" width="17" customWidth="1"/>
    <col min="8" max="8" width="14" customWidth="1"/>
    <col min="9" max="9" width="19" customWidth="1"/>
    <col min="10" max="10" width="13.85546875" customWidth="1"/>
  </cols>
  <sheetData>
    <row r="1" spans="1:13" x14ac:dyDescent="0.25">
      <c r="A1" s="149" t="s">
        <v>65</v>
      </c>
      <c r="B1" s="149"/>
      <c r="C1" s="149"/>
      <c r="D1" s="149"/>
      <c r="E1" s="149"/>
      <c r="F1" s="149"/>
      <c r="G1" s="149"/>
      <c r="H1" s="149"/>
      <c r="I1" s="149"/>
      <c r="J1" s="149"/>
      <c r="K1" s="37"/>
      <c r="L1" s="37"/>
      <c r="M1" s="11"/>
    </row>
    <row r="2" spans="1:13" s="1" customFormat="1" ht="43.5" customHeight="1" x14ac:dyDescent="0.2">
      <c r="A2" s="19" t="s">
        <v>33</v>
      </c>
      <c r="B2" s="121" t="s">
        <v>30</v>
      </c>
      <c r="C2" s="121"/>
      <c r="D2" s="121"/>
      <c r="E2" s="121"/>
      <c r="F2" s="121"/>
      <c r="G2" s="121"/>
      <c r="H2" s="121"/>
      <c r="I2" s="121"/>
      <c r="J2" s="121"/>
      <c r="K2" s="10"/>
      <c r="L2" s="10"/>
      <c r="M2" s="10"/>
    </row>
    <row r="3" spans="1:13" s="1" customFormat="1" ht="30" customHeight="1" x14ac:dyDescent="0.2">
      <c r="A3" s="19" t="s">
        <v>29</v>
      </c>
      <c r="B3" s="121" t="s">
        <v>31</v>
      </c>
      <c r="C3" s="121"/>
      <c r="D3" s="121"/>
      <c r="E3" s="121"/>
      <c r="F3" s="121"/>
      <c r="G3" s="121"/>
      <c r="H3" s="121"/>
      <c r="I3" s="121"/>
      <c r="J3" s="121"/>
      <c r="K3" s="10"/>
      <c r="L3" s="10"/>
      <c r="M3" s="10"/>
    </row>
    <row r="4" spans="1:13" s="1" customFormat="1" ht="14.25" x14ac:dyDescent="0.2">
      <c r="A4" s="150" t="s">
        <v>61</v>
      </c>
      <c r="B4" s="150"/>
      <c r="C4" s="150"/>
      <c r="D4" s="150"/>
      <c r="E4" s="150"/>
      <c r="F4" s="150"/>
      <c r="G4" s="150"/>
      <c r="H4" s="150"/>
      <c r="I4" s="150"/>
      <c r="J4" s="150"/>
      <c r="K4" s="10"/>
      <c r="L4" s="10"/>
      <c r="M4" s="10"/>
    </row>
    <row r="5" spans="1:13" s="1" customFormat="1" ht="32.25" customHeight="1" x14ac:dyDescent="0.2">
      <c r="A5" s="3" t="s">
        <v>16</v>
      </c>
      <c r="B5" s="121" t="s">
        <v>66</v>
      </c>
      <c r="C5" s="121"/>
      <c r="D5" s="121"/>
      <c r="E5" s="121"/>
      <c r="F5" s="121"/>
      <c r="G5" s="121"/>
      <c r="H5" s="121"/>
      <c r="I5" s="121"/>
      <c r="J5" s="121"/>
      <c r="K5" s="10"/>
      <c r="L5" s="10"/>
      <c r="M5" s="10"/>
    </row>
    <row r="6" spans="1:13" s="1" customFormat="1" ht="30" customHeight="1" thickBot="1" x14ac:dyDescent="0.25">
      <c r="A6" s="3" t="s">
        <v>26</v>
      </c>
      <c r="B6" s="121" t="s">
        <v>32</v>
      </c>
      <c r="C6" s="121"/>
      <c r="D6" s="121"/>
      <c r="E6" s="121"/>
      <c r="F6" s="121"/>
      <c r="G6" s="121"/>
      <c r="H6" s="121"/>
      <c r="I6" s="121"/>
      <c r="J6" s="121"/>
      <c r="K6" s="10"/>
      <c r="L6" s="10"/>
      <c r="M6" s="8"/>
    </row>
    <row r="7" spans="1:13" ht="27.75" customHeight="1" x14ac:dyDescent="0.25">
      <c r="A7" s="159"/>
      <c r="B7" s="151" t="s">
        <v>24</v>
      </c>
      <c r="C7" s="152"/>
      <c r="D7" s="153"/>
      <c r="E7" s="161" t="s">
        <v>25</v>
      </c>
      <c r="F7" s="162"/>
      <c r="G7" s="163"/>
      <c r="H7" s="8"/>
      <c r="I7" s="8"/>
    </row>
    <row r="8" spans="1:13" s="7" customFormat="1" x14ac:dyDescent="0.25">
      <c r="A8" s="160"/>
      <c r="B8" s="12" t="s">
        <v>23</v>
      </c>
      <c r="C8" s="13" t="s">
        <v>1</v>
      </c>
      <c r="D8" s="14" t="s">
        <v>27</v>
      </c>
      <c r="E8" s="12" t="s">
        <v>23</v>
      </c>
      <c r="F8" s="13" t="s">
        <v>1</v>
      </c>
      <c r="G8" s="14" t="s">
        <v>27</v>
      </c>
      <c r="H8" s="1"/>
      <c r="I8" s="1"/>
    </row>
    <row r="9" spans="1:13" s="7" customFormat="1" x14ac:dyDescent="0.25">
      <c r="A9" s="107" t="s">
        <v>38</v>
      </c>
      <c r="B9" s="101"/>
      <c r="C9" s="102"/>
      <c r="D9" s="103" t="str">
        <f t="shared" ref="D9:D27" si="0">IFERROR((SUM((C9/B9)*100)), "")</f>
        <v/>
      </c>
      <c r="E9" s="101"/>
      <c r="F9" s="102"/>
      <c r="G9" s="103" t="str">
        <f t="shared" ref="G9:G27" si="1">IFERROR((SUM((F9/E9)*100)), "")</f>
        <v/>
      </c>
      <c r="H9" s="1"/>
      <c r="I9" s="1"/>
    </row>
    <row r="10" spans="1:13" s="7" customFormat="1" x14ac:dyDescent="0.25">
      <c r="A10" s="107" t="s">
        <v>39</v>
      </c>
      <c r="B10" s="101"/>
      <c r="C10" s="102"/>
      <c r="D10" s="14" t="str">
        <f t="shared" si="0"/>
        <v/>
      </c>
      <c r="E10" s="101"/>
      <c r="F10" s="102"/>
      <c r="G10" s="103" t="str">
        <f t="shared" si="1"/>
        <v/>
      </c>
      <c r="H10" s="1"/>
      <c r="I10" s="1"/>
    </row>
    <row r="11" spans="1:13" s="7" customFormat="1" x14ac:dyDescent="0.25">
      <c r="A11" s="107" t="s">
        <v>40</v>
      </c>
      <c r="B11" s="101"/>
      <c r="C11" s="102"/>
      <c r="D11" s="14" t="str">
        <f t="shared" si="0"/>
        <v/>
      </c>
      <c r="E11" s="101"/>
      <c r="F11" s="102"/>
      <c r="G11" s="103" t="str">
        <f t="shared" si="1"/>
        <v/>
      </c>
      <c r="H11" s="1"/>
      <c r="I11" s="1"/>
    </row>
    <row r="12" spans="1:13" s="7" customFormat="1" x14ac:dyDescent="0.25">
      <c r="A12" s="107" t="s">
        <v>41</v>
      </c>
      <c r="B12" s="101"/>
      <c r="C12" s="102"/>
      <c r="D12" s="14" t="str">
        <f t="shared" si="0"/>
        <v/>
      </c>
      <c r="E12" s="101"/>
      <c r="F12" s="102"/>
      <c r="G12" s="103" t="str">
        <f t="shared" si="1"/>
        <v/>
      </c>
      <c r="H12" s="1"/>
      <c r="I12" s="1"/>
    </row>
    <row r="13" spans="1:13" s="7" customFormat="1" x14ac:dyDescent="0.25">
      <c r="A13" s="107" t="s">
        <v>42</v>
      </c>
      <c r="B13" s="101"/>
      <c r="C13" s="102"/>
      <c r="D13" s="14" t="str">
        <f t="shared" si="0"/>
        <v/>
      </c>
      <c r="E13" s="101"/>
      <c r="F13" s="102"/>
      <c r="G13" s="103" t="str">
        <f t="shared" si="1"/>
        <v/>
      </c>
      <c r="H13" s="1"/>
      <c r="I13" s="1"/>
    </row>
    <row r="14" spans="1:13" s="7" customFormat="1" x14ac:dyDescent="0.25">
      <c r="A14" s="107" t="s">
        <v>43</v>
      </c>
      <c r="B14" s="101"/>
      <c r="C14" s="102"/>
      <c r="D14" s="14" t="str">
        <f t="shared" si="0"/>
        <v/>
      </c>
      <c r="E14" s="101"/>
      <c r="F14" s="102"/>
      <c r="G14" s="103" t="str">
        <f t="shared" si="1"/>
        <v/>
      </c>
      <c r="H14" s="1"/>
      <c r="I14" s="1"/>
    </row>
    <row r="15" spans="1:13" s="7" customFormat="1" x14ac:dyDescent="0.25">
      <c r="A15" s="107" t="s">
        <v>57</v>
      </c>
      <c r="B15" s="24"/>
      <c r="C15" s="21"/>
      <c r="D15" s="14" t="str">
        <f t="shared" si="0"/>
        <v/>
      </c>
      <c r="E15" s="24"/>
      <c r="F15" s="21"/>
      <c r="G15" s="103" t="str">
        <f t="shared" si="1"/>
        <v/>
      </c>
      <c r="H15" s="1"/>
      <c r="I15" s="1"/>
    </row>
    <row r="16" spans="1:13" s="7" customFormat="1" x14ac:dyDescent="0.25">
      <c r="A16" s="108" t="s">
        <v>36</v>
      </c>
      <c r="B16" s="101"/>
      <c r="C16" s="102"/>
      <c r="D16" s="14" t="str">
        <f t="shared" si="0"/>
        <v/>
      </c>
      <c r="E16" s="101"/>
      <c r="F16" s="102"/>
      <c r="G16" s="103" t="str">
        <f t="shared" si="1"/>
        <v/>
      </c>
      <c r="H16" s="1"/>
      <c r="I16" s="1"/>
    </row>
    <row r="17" spans="1:9" s="7" customFormat="1" x14ac:dyDescent="0.25">
      <c r="A17" s="108" t="s">
        <v>47</v>
      </c>
      <c r="B17" s="101"/>
      <c r="C17" s="102"/>
      <c r="D17" s="14" t="str">
        <f t="shared" si="0"/>
        <v/>
      </c>
      <c r="E17" s="101"/>
      <c r="F17" s="102"/>
      <c r="G17" s="103" t="str">
        <f t="shared" si="1"/>
        <v/>
      </c>
      <c r="H17" s="1"/>
      <c r="I17" s="1"/>
    </row>
    <row r="18" spans="1:9" s="7" customFormat="1" x14ac:dyDescent="0.25">
      <c r="A18" s="108" t="s">
        <v>48</v>
      </c>
      <c r="B18" s="101"/>
      <c r="C18" s="102"/>
      <c r="D18" s="14" t="str">
        <f t="shared" si="0"/>
        <v/>
      </c>
      <c r="E18" s="101"/>
      <c r="F18" s="102"/>
      <c r="G18" s="103" t="str">
        <f t="shared" si="1"/>
        <v/>
      </c>
      <c r="H18" s="1"/>
      <c r="I18" s="1"/>
    </row>
    <row r="19" spans="1:9" s="7" customFormat="1" x14ac:dyDescent="0.25">
      <c r="A19" s="107" t="s">
        <v>58</v>
      </c>
      <c r="B19" s="24"/>
      <c r="C19" s="21"/>
      <c r="D19" s="14" t="str">
        <f t="shared" si="0"/>
        <v/>
      </c>
      <c r="E19" s="24"/>
      <c r="F19" s="21"/>
      <c r="G19" s="103" t="str">
        <f t="shared" si="1"/>
        <v/>
      </c>
      <c r="H19" s="1"/>
      <c r="I19" s="1"/>
    </row>
    <row r="20" spans="1:9" s="7" customFormat="1" ht="16.5" customHeight="1" x14ac:dyDescent="0.25">
      <c r="A20" s="107" t="s">
        <v>49</v>
      </c>
      <c r="B20" s="23"/>
      <c r="C20" s="20"/>
      <c r="D20" s="14" t="str">
        <f t="shared" si="0"/>
        <v/>
      </c>
      <c r="E20" s="23"/>
      <c r="F20" s="20"/>
      <c r="G20" s="103" t="str">
        <f t="shared" si="1"/>
        <v/>
      </c>
      <c r="H20" s="9"/>
      <c r="I20" s="9"/>
    </row>
    <row r="21" spans="1:9" ht="16.5" customHeight="1" x14ac:dyDescent="0.25">
      <c r="A21" s="107" t="s">
        <v>50</v>
      </c>
      <c r="B21" s="23"/>
      <c r="C21" s="20"/>
      <c r="D21" s="14" t="str">
        <f t="shared" si="0"/>
        <v/>
      </c>
      <c r="E21" s="23"/>
      <c r="F21" s="20"/>
      <c r="G21" s="103" t="str">
        <f t="shared" si="1"/>
        <v/>
      </c>
      <c r="H21" s="9"/>
      <c r="I21" s="9"/>
    </row>
    <row r="22" spans="1:9" ht="16.5" customHeight="1" x14ac:dyDescent="0.25">
      <c r="A22" s="107" t="s">
        <v>51</v>
      </c>
      <c r="B22" s="24"/>
      <c r="C22" s="21"/>
      <c r="D22" s="14" t="str">
        <f t="shared" si="0"/>
        <v/>
      </c>
      <c r="E22" s="24"/>
      <c r="F22" s="21"/>
      <c r="G22" s="103" t="str">
        <f t="shared" si="1"/>
        <v/>
      </c>
      <c r="H22" s="1"/>
      <c r="I22" s="1"/>
    </row>
    <row r="23" spans="1:9" ht="16.5" customHeight="1" x14ac:dyDescent="0.25">
      <c r="A23" s="107" t="s">
        <v>59</v>
      </c>
      <c r="B23" s="24"/>
      <c r="C23" s="21"/>
      <c r="D23" s="14" t="str">
        <f t="shared" si="0"/>
        <v/>
      </c>
      <c r="E23" s="24"/>
      <c r="F23" s="21"/>
      <c r="G23" s="103" t="str">
        <f t="shared" si="1"/>
        <v/>
      </c>
      <c r="H23" s="1"/>
      <c r="I23" s="1"/>
    </row>
    <row r="24" spans="1:9" ht="16.5" customHeight="1" x14ac:dyDescent="0.25">
      <c r="A24" s="107" t="s">
        <v>52</v>
      </c>
      <c r="B24" s="24"/>
      <c r="C24" s="21"/>
      <c r="D24" s="14" t="str">
        <f t="shared" si="0"/>
        <v/>
      </c>
      <c r="E24" s="24"/>
      <c r="F24" s="21"/>
      <c r="G24" s="103" t="str">
        <f t="shared" si="1"/>
        <v/>
      </c>
      <c r="H24" s="1"/>
      <c r="I24" s="1"/>
    </row>
    <row r="25" spans="1:9" ht="16.5" customHeight="1" x14ac:dyDescent="0.25">
      <c r="A25" s="107" t="s">
        <v>53</v>
      </c>
      <c r="B25" s="24"/>
      <c r="C25" s="21"/>
      <c r="D25" s="14" t="str">
        <f t="shared" si="0"/>
        <v/>
      </c>
      <c r="E25" s="24"/>
      <c r="F25" s="21"/>
      <c r="G25" s="103" t="str">
        <f t="shared" si="1"/>
        <v/>
      </c>
      <c r="H25" s="1"/>
      <c r="I25" s="1"/>
    </row>
    <row r="26" spans="1:9" ht="16.5" customHeight="1" x14ac:dyDescent="0.25">
      <c r="A26" s="107" t="s">
        <v>54</v>
      </c>
      <c r="B26" s="24"/>
      <c r="C26" s="21"/>
      <c r="D26" s="14" t="str">
        <f t="shared" si="0"/>
        <v/>
      </c>
      <c r="E26" s="24"/>
      <c r="F26" s="21"/>
      <c r="G26" s="103" t="str">
        <f t="shared" si="1"/>
        <v/>
      </c>
      <c r="H26" s="1"/>
      <c r="I26" s="1"/>
    </row>
    <row r="27" spans="1:9" ht="16.5" customHeight="1" thickBot="1" x14ac:dyDescent="0.3">
      <c r="A27" s="106" t="s">
        <v>60</v>
      </c>
      <c r="B27" s="25"/>
      <c r="C27" s="22"/>
      <c r="D27" s="105" t="str">
        <f t="shared" si="0"/>
        <v/>
      </c>
      <c r="E27" s="25"/>
      <c r="F27" s="22"/>
      <c r="G27" s="104" t="str">
        <f t="shared" si="1"/>
        <v/>
      </c>
      <c r="H27" s="1"/>
      <c r="I27" s="1"/>
    </row>
    <row r="28" spans="1:9" ht="15.75" thickBot="1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36" customHeight="1" x14ac:dyDescent="0.25">
      <c r="A29" s="166"/>
      <c r="B29" s="151" t="s">
        <v>24</v>
      </c>
      <c r="C29" s="152"/>
      <c r="D29" s="168"/>
      <c r="E29" s="161" t="s">
        <v>25</v>
      </c>
      <c r="F29" s="162"/>
      <c r="G29" s="163"/>
      <c r="H29" s="161" t="s">
        <v>20</v>
      </c>
      <c r="I29" s="170" t="s">
        <v>28</v>
      </c>
    </row>
    <row r="30" spans="1:9" ht="28.5" customHeight="1" x14ac:dyDescent="0.25">
      <c r="A30" s="167"/>
      <c r="B30" s="12" t="s">
        <v>23</v>
      </c>
      <c r="C30" s="13" t="s">
        <v>1</v>
      </c>
      <c r="D30" s="15" t="s">
        <v>27</v>
      </c>
      <c r="E30" s="12" t="s">
        <v>23</v>
      </c>
      <c r="F30" s="13" t="s">
        <v>1</v>
      </c>
      <c r="G30" s="14" t="s">
        <v>27</v>
      </c>
      <c r="H30" s="169"/>
      <c r="I30" s="171"/>
    </row>
    <row r="31" spans="1:9" x14ac:dyDescent="0.25">
      <c r="A31" s="31" t="s">
        <v>62</v>
      </c>
      <c r="B31" s="16">
        <f>SUM(B9:B15)</f>
        <v>0</v>
      </c>
      <c r="C31" s="17">
        <f>SUM(C9:C15)</f>
        <v>0</v>
      </c>
      <c r="D31" s="27" t="str">
        <f>IFERROR((SUM((C31/B31)*100)), "")</f>
        <v/>
      </c>
      <c r="E31" s="16">
        <f>SUM(E9:E15)</f>
        <v>0</v>
      </c>
      <c r="F31" s="17">
        <f>SUM(F9:F15)</f>
        <v>0</v>
      </c>
      <c r="G31" s="26" t="str">
        <f>IFERROR((SUM((F31/E31)*100)), "")</f>
        <v/>
      </c>
      <c r="H31" s="72" t="str">
        <f>IFERROR((SUM(D31+G31)), "")</f>
        <v/>
      </c>
      <c r="I31" s="29">
        <v>200</v>
      </c>
    </row>
    <row r="32" spans="1:9" x14ac:dyDescent="0.25">
      <c r="A32" s="31" t="s">
        <v>18</v>
      </c>
      <c r="B32" s="16">
        <f>SUM(B16:B19)</f>
        <v>0</v>
      </c>
      <c r="C32" s="17">
        <f>SUM(C16:C19)</f>
        <v>0</v>
      </c>
      <c r="D32" s="27" t="str">
        <f>IFERROR((SUM((C32/B32)*100)), "")</f>
        <v/>
      </c>
      <c r="E32" s="16">
        <f>SUM(E16:E19)</f>
        <v>0</v>
      </c>
      <c r="F32" s="17">
        <f>SUM(F16:F19)</f>
        <v>0</v>
      </c>
      <c r="G32" s="26" t="str">
        <f>IFERROR((SUM((F32/E32)*100)), "")</f>
        <v/>
      </c>
      <c r="H32" s="72" t="str">
        <f>IFERROR((SUM(D32+G32)), "")</f>
        <v/>
      </c>
      <c r="I32" s="29">
        <v>200</v>
      </c>
    </row>
    <row r="33" spans="1:9" x14ac:dyDescent="0.25">
      <c r="A33" s="32" t="s">
        <v>35</v>
      </c>
      <c r="B33" s="67">
        <f>SUM(B24:B27)</f>
        <v>0</v>
      </c>
      <c r="C33" s="68">
        <f>SUM(C24:C27)</f>
        <v>0</v>
      </c>
      <c r="D33" s="69"/>
      <c r="E33" s="71">
        <f>SUM(E24:E27)</f>
        <v>0</v>
      </c>
      <c r="F33" s="68">
        <f>SUM(F24:F27)</f>
        <v>0</v>
      </c>
      <c r="G33" s="70"/>
      <c r="H33" s="72">
        <f>IFERROR((SUM(D33+G33)), "")</f>
        <v>0</v>
      </c>
      <c r="I33" s="30">
        <v>200</v>
      </c>
    </row>
    <row r="34" spans="1:9" ht="15.75" thickBot="1" x14ac:dyDescent="0.3">
      <c r="A34" s="32" t="s">
        <v>19</v>
      </c>
      <c r="B34" s="33">
        <f>SUM(B20:B23)</f>
        <v>0</v>
      </c>
      <c r="C34" s="34">
        <f>SUM(C20:C23)</f>
        <v>0</v>
      </c>
      <c r="D34" s="36" t="str">
        <f>IFERROR((SUM((C34/B34)*100)), "")</f>
        <v/>
      </c>
      <c r="E34" s="33">
        <f>SUM(E20:E23)</f>
        <v>0</v>
      </c>
      <c r="F34" s="34">
        <f>SUM(F20:F23)</f>
        <v>0</v>
      </c>
      <c r="G34" s="35" t="str">
        <f>IFERROR((SUM((F34/E34)*100)), "")</f>
        <v/>
      </c>
      <c r="H34" s="73" t="str">
        <f>IFERROR((SUM(D34+G34)), "")</f>
        <v/>
      </c>
      <c r="I34" s="74">
        <v>200</v>
      </c>
    </row>
    <row r="35" spans="1:9" ht="15.75" thickBot="1" x14ac:dyDescent="0.3">
      <c r="A35" s="154" t="s">
        <v>21</v>
      </c>
      <c r="B35" s="155"/>
      <c r="C35" s="155"/>
      <c r="D35" s="155"/>
      <c r="E35" s="155"/>
      <c r="F35" s="155"/>
      <c r="G35" s="156"/>
      <c r="H35" s="28">
        <f>IFERROR((SUM(H31:H34)), "")</f>
        <v>0</v>
      </c>
      <c r="I35" s="18">
        <f>SUM(I31:I34)</f>
        <v>800</v>
      </c>
    </row>
    <row r="36" spans="1:9" ht="15.75" thickBot="1" x14ac:dyDescent="0.3">
      <c r="A36" s="154" t="s">
        <v>22</v>
      </c>
      <c r="B36" s="157"/>
      <c r="C36" s="157"/>
      <c r="D36" s="157"/>
      <c r="E36" s="157"/>
      <c r="F36" s="157"/>
      <c r="G36" s="158"/>
      <c r="H36" s="164">
        <f>IFERROR((SUM(H35/I35)), "")</f>
        <v>0</v>
      </c>
      <c r="I36" s="165"/>
    </row>
  </sheetData>
  <sheetProtection algorithmName="SHA-512" hashValue="65Ej0aUKwd2Gp3Aw8/NnoWSkD5rCDLTH8XzwRyGspwxe0zXwlSJ8F19CkSt5LTVFg1aXIWH4E2+UYfuwNH2Qqg==" saltValue="r1y3nfHvebCCRUh/1N6kew==" spinCount="100000" sheet="1" objects="1" scenarios="1"/>
  <mergeCells count="17">
    <mergeCell ref="B7:D7"/>
    <mergeCell ref="A35:G35"/>
    <mergeCell ref="A36:G36"/>
    <mergeCell ref="B6:J6"/>
    <mergeCell ref="A7:A8"/>
    <mergeCell ref="E7:G7"/>
    <mergeCell ref="H36:I36"/>
    <mergeCell ref="A29:A30"/>
    <mergeCell ref="B29:D29"/>
    <mergeCell ref="E29:G29"/>
    <mergeCell ref="H29:H30"/>
    <mergeCell ref="I29:I30"/>
    <mergeCell ref="A1:J1"/>
    <mergeCell ref="B2:J2"/>
    <mergeCell ref="B3:J3"/>
    <mergeCell ref="B5:J5"/>
    <mergeCell ref="A4:J4"/>
  </mergeCells>
  <dataValidations disablePrompts="1" count="1">
    <dataValidation type="whole" allowBlank="1" showInputMessage="1" showErrorMessage="1" sqref="E15:F15 B15:C15 B19:C27 E19:F27">
      <formula1>0</formula1>
      <formula2>1000</formula2>
    </dataValidation>
  </dataValidations>
  <pageMargins left="0.43" right="0.19" top="0.7" bottom="0.53" header="0.24" footer="0.3"/>
  <pageSetup scale="79" fitToWidth="0" orientation="landscape" horizontalDpi="4294967294" r:id="rId1"/>
  <headerFooter>
    <oddHeader>&amp;C&amp;"Cambria,Bold"&amp;12Index 3:  Closing Performance Gaps
2012-2013</oddHeader>
    <oddFooter>&amp;CCreated by E. Gearhart Addapted from Technical Description: Performance Index Indicators and Index Construction Guide from TEA&amp;R&amp;P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4:H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1 Student Achievement</vt:lpstr>
      <vt:lpstr>Index 3 Closing the Gap</vt:lpstr>
      <vt:lpstr>Postsecondary Readiness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GEARHART</dc:creator>
  <cp:lastModifiedBy>ELLIE GEARHART</cp:lastModifiedBy>
  <cp:lastPrinted>2013-05-21T21:09:37Z</cp:lastPrinted>
  <dcterms:created xsi:type="dcterms:W3CDTF">2013-05-19T15:35:03Z</dcterms:created>
  <dcterms:modified xsi:type="dcterms:W3CDTF">2013-05-22T02:50:23Z</dcterms:modified>
</cp:coreProperties>
</file>